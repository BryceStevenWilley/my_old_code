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5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840" yWindow="2205" windowWidth="19440" windowHeight="156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5" i="2" l="1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6" i="2"/>
  <c r="AL53" i="2"/>
  <c r="AL54" i="2"/>
  <c r="AL57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2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6" i="2"/>
  <c r="AL263" i="2"/>
  <c r="AL264" i="2"/>
  <c r="AL265" i="2"/>
  <c r="AN6" i="2"/>
  <c r="AN9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AA62" i="2"/>
  <c r="AA67" i="2"/>
  <c r="AA70" i="2"/>
  <c r="AA73" i="2"/>
  <c r="AA76" i="2"/>
  <c r="AA78" i="2"/>
  <c r="AA80" i="2"/>
  <c r="AA91" i="2"/>
  <c r="AA92" i="2"/>
  <c r="AA93" i="2"/>
  <c r="AA95" i="2"/>
  <c r="AA96" i="2"/>
  <c r="AA99" i="2"/>
  <c r="AA101" i="2"/>
  <c r="AA104" i="2"/>
  <c r="AA106" i="2"/>
  <c r="AA185" i="2"/>
  <c r="AA188" i="2"/>
  <c r="AA191" i="2"/>
  <c r="AA194" i="2"/>
  <c r="AA196" i="2"/>
  <c r="AA198" i="2"/>
  <c r="AA209" i="2"/>
  <c r="AA210" i="2"/>
  <c r="AA211" i="2"/>
  <c r="AA213" i="2"/>
  <c r="AA214" i="2"/>
  <c r="AA217" i="2"/>
  <c r="AA219" i="2"/>
  <c r="AA220" i="2"/>
  <c r="AA222" i="2"/>
  <c r="AA224" i="2"/>
  <c r="AA302" i="2"/>
  <c r="AA303" i="2"/>
  <c r="AN15" i="2"/>
  <c r="AN18" i="2"/>
  <c r="AN30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L308" i="2"/>
  <c r="AL309" i="2"/>
  <c r="AL310" i="2"/>
  <c r="AL311" i="2"/>
  <c r="AL312" i="2"/>
  <c r="AL313" i="2"/>
  <c r="AL314" i="2"/>
  <c r="AL315" i="2"/>
  <c r="AL316" i="2"/>
  <c r="AL317" i="2"/>
  <c r="AL318" i="2"/>
  <c r="AL332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37" i="2"/>
  <c r="AN309" i="2"/>
  <c r="AN312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AA336" i="2"/>
  <c r="AA340" i="2"/>
  <c r="AA343" i="2"/>
  <c r="AA344" i="2"/>
  <c r="AA345" i="2"/>
  <c r="AA351" i="2"/>
  <c r="AA353" i="2"/>
  <c r="AA356" i="2"/>
  <c r="AA357" i="2"/>
  <c r="AA358" i="2"/>
  <c r="AA399" i="2"/>
  <c r="AA402" i="2"/>
  <c r="AA403" i="2"/>
  <c r="AA404" i="2"/>
  <c r="AA410" i="2"/>
  <c r="AA412" i="2"/>
  <c r="AA415" i="2"/>
  <c r="AA416" i="2"/>
  <c r="AA417" i="2"/>
  <c r="AA456" i="2"/>
  <c r="AN318" i="2"/>
  <c r="AN321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L461" i="2"/>
  <c r="AL462" i="2"/>
  <c r="AL463" i="2"/>
  <c r="AL464" i="2"/>
  <c r="AL465" i="2"/>
  <c r="AL487" i="2"/>
  <c r="AL488" i="2"/>
  <c r="AL489" i="2"/>
  <c r="AL490" i="2"/>
  <c r="AL491" i="2"/>
  <c r="AL492" i="2"/>
  <c r="AL513" i="2"/>
  <c r="AL514" i="2"/>
  <c r="AL515" i="2"/>
  <c r="AL516" i="2"/>
  <c r="AL517" i="2"/>
  <c r="AL518" i="2"/>
  <c r="AL525" i="2"/>
  <c r="AN462" i="2"/>
  <c r="AN465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AA478" i="2"/>
  <c r="AA479" i="2"/>
  <c r="AA482" i="2"/>
  <c r="AA483" i="2"/>
  <c r="AA485" i="2"/>
  <c r="AA506" i="2"/>
  <c r="AA508" i="2"/>
  <c r="AA514" i="2"/>
  <c r="AA515" i="2"/>
  <c r="AN471" i="2"/>
  <c r="AN474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L539" i="2"/>
  <c r="AL540" i="2"/>
  <c r="AL552" i="2"/>
  <c r="AL553" i="2"/>
  <c r="AL554" i="2"/>
  <c r="AL565" i="2"/>
  <c r="AL566" i="2"/>
  <c r="AL567" i="2"/>
  <c r="AN540" i="2"/>
  <c r="AN543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AA547" i="2"/>
  <c r="AA549" i="2"/>
  <c r="AA561" i="2"/>
  <c r="AA562" i="2"/>
  <c r="AA565" i="2"/>
  <c r="AN549" i="2"/>
  <c r="AN552" i="2"/>
  <c r="W17" i="1"/>
  <c r="W16" i="1"/>
  <c r="W15" i="1"/>
  <c r="W14" i="1"/>
  <c r="L442" i="1"/>
  <c r="L445" i="1"/>
  <c r="M442" i="1"/>
  <c r="E5" i="1"/>
  <c r="E8" i="1"/>
  <c r="T25" i="1"/>
  <c r="T24" i="1"/>
  <c r="T23" i="1"/>
  <c r="T22" i="1"/>
  <c r="T17" i="1"/>
  <c r="T16" i="1"/>
  <c r="T15" i="1"/>
  <c r="T14" i="1"/>
  <c r="M433" i="1"/>
  <c r="L433" i="1"/>
  <c r="L436" i="1"/>
  <c r="L379" i="1"/>
  <c r="L382" i="1"/>
  <c r="M379" i="1"/>
  <c r="L248" i="1"/>
  <c r="L370" i="1"/>
  <c r="L373" i="1"/>
  <c r="M370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K248" i="1"/>
  <c r="L16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K16" i="1"/>
  <c r="K19" i="1"/>
  <c r="L7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K7" i="1"/>
  <c r="K10" i="1"/>
  <c r="L257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K257" i="1"/>
  <c r="K260" i="1"/>
  <c r="K251" i="1"/>
  <c r="D363" i="1"/>
  <c r="D362" i="1"/>
  <c r="D361" i="1"/>
  <c r="D360" i="1"/>
  <c r="D359" i="1"/>
  <c r="D358" i="1"/>
  <c r="D357" i="1"/>
  <c r="D356" i="1"/>
  <c r="D355" i="1"/>
  <c r="D354" i="1"/>
  <c r="D353" i="1"/>
  <c r="I352" i="1"/>
  <c r="D352" i="1"/>
  <c r="I351" i="1"/>
  <c r="D351" i="1"/>
  <c r="I350" i="1"/>
  <c r="D350" i="1"/>
  <c r="I349" i="1"/>
  <c r="D349" i="1"/>
  <c r="I348" i="1"/>
  <c r="D348" i="1"/>
  <c r="I347" i="1"/>
  <c r="D347" i="1"/>
  <c r="I346" i="1"/>
  <c r="D346" i="1"/>
  <c r="I345" i="1"/>
  <c r="D345" i="1"/>
  <c r="I344" i="1"/>
  <c r="D344" i="1"/>
  <c r="I343" i="1"/>
  <c r="D343" i="1"/>
  <c r="I342" i="1"/>
  <c r="D342" i="1"/>
  <c r="I341" i="1"/>
  <c r="D341" i="1"/>
  <c r="I340" i="1"/>
  <c r="D340" i="1"/>
  <c r="I339" i="1"/>
  <c r="D339" i="1"/>
  <c r="I338" i="1"/>
  <c r="D338" i="1"/>
  <c r="I337" i="1"/>
  <c r="D337" i="1"/>
  <c r="I336" i="1"/>
  <c r="D336" i="1"/>
  <c r="I335" i="1"/>
  <c r="D335" i="1"/>
  <c r="I334" i="1"/>
  <c r="D334" i="1"/>
  <c r="I333" i="1"/>
  <c r="D333" i="1"/>
  <c r="I332" i="1"/>
  <c r="D332" i="1"/>
  <c r="I331" i="1"/>
  <c r="D331" i="1"/>
  <c r="I330" i="1"/>
  <c r="D330" i="1"/>
  <c r="I329" i="1"/>
  <c r="D329" i="1"/>
  <c r="I328" i="1"/>
  <c r="D328" i="1"/>
  <c r="I327" i="1"/>
  <c r="D327" i="1"/>
  <c r="I326" i="1"/>
  <c r="D326" i="1"/>
  <c r="I325" i="1"/>
  <c r="D325" i="1"/>
  <c r="I324" i="1"/>
  <c r="D324" i="1"/>
  <c r="I323" i="1"/>
  <c r="D323" i="1"/>
  <c r="I322" i="1"/>
  <c r="D322" i="1"/>
  <c r="I321" i="1"/>
  <c r="D321" i="1"/>
  <c r="I320" i="1"/>
  <c r="D320" i="1"/>
  <c r="I319" i="1"/>
  <c r="D319" i="1"/>
  <c r="I318" i="1"/>
  <c r="D318" i="1"/>
  <c r="I317" i="1"/>
  <c r="D317" i="1"/>
  <c r="I316" i="1"/>
  <c r="D316" i="1"/>
  <c r="I315" i="1"/>
  <c r="D315" i="1"/>
  <c r="I314" i="1"/>
  <c r="D314" i="1"/>
  <c r="I313" i="1"/>
  <c r="D313" i="1"/>
  <c r="I312" i="1"/>
  <c r="D312" i="1"/>
  <c r="I311" i="1"/>
  <c r="D311" i="1"/>
  <c r="I310" i="1"/>
  <c r="D310" i="1"/>
  <c r="I309" i="1"/>
  <c r="D309" i="1"/>
  <c r="I308" i="1"/>
  <c r="D308" i="1"/>
  <c r="I307" i="1"/>
  <c r="D307" i="1"/>
  <c r="I306" i="1"/>
  <c r="D306" i="1"/>
  <c r="I305" i="1"/>
  <c r="D305" i="1"/>
  <c r="I304" i="1"/>
  <c r="D304" i="1"/>
  <c r="I303" i="1"/>
  <c r="D303" i="1"/>
  <c r="I302" i="1"/>
  <c r="D302" i="1"/>
  <c r="I301" i="1"/>
  <c r="D301" i="1"/>
  <c r="I300" i="1"/>
  <c r="D300" i="1"/>
  <c r="I299" i="1"/>
  <c r="D299" i="1"/>
  <c r="I298" i="1"/>
  <c r="D298" i="1"/>
  <c r="I297" i="1"/>
  <c r="D297" i="1"/>
  <c r="I296" i="1"/>
  <c r="D296" i="1"/>
  <c r="I295" i="1"/>
  <c r="D295" i="1"/>
  <c r="I294" i="1"/>
  <c r="D294" i="1"/>
  <c r="I293" i="1"/>
  <c r="D293" i="1"/>
  <c r="I292" i="1"/>
  <c r="D292" i="1"/>
  <c r="I291" i="1"/>
  <c r="D291" i="1"/>
  <c r="I290" i="1"/>
  <c r="D290" i="1"/>
  <c r="I289" i="1"/>
  <c r="D289" i="1"/>
  <c r="I288" i="1"/>
  <c r="D288" i="1"/>
  <c r="I287" i="1"/>
  <c r="D287" i="1"/>
  <c r="I286" i="1"/>
  <c r="D286" i="1"/>
  <c r="I285" i="1"/>
  <c r="D285" i="1"/>
  <c r="I284" i="1"/>
  <c r="D284" i="1"/>
  <c r="I283" i="1"/>
  <c r="D283" i="1"/>
  <c r="I282" i="1"/>
  <c r="D282" i="1"/>
  <c r="I281" i="1"/>
  <c r="D281" i="1"/>
  <c r="I280" i="1"/>
  <c r="D280" i="1"/>
  <c r="I279" i="1"/>
  <c r="D279" i="1"/>
  <c r="I278" i="1"/>
  <c r="D278" i="1"/>
  <c r="I277" i="1"/>
  <c r="D277" i="1"/>
  <c r="I276" i="1"/>
  <c r="D276" i="1"/>
  <c r="I275" i="1"/>
  <c r="D275" i="1"/>
  <c r="I274" i="1"/>
  <c r="D274" i="1"/>
  <c r="I273" i="1"/>
  <c r="D273" i="1"/>
  <c r="I272" i="1"/>
  <c r="D272" i="1"/>
  <c r="I271" i="1"/>
  <c r="D271" i="1"/>
  <c r="I270" i="1"/>
  <c r="D270" i="1"/>
  <c r="I269" i="1"/>
  <c r="D269" i="1"/>
  <c r="I268" i="1"/>
  <c r="D268" i="1"/>
  <c r="I267" i="1"/>
  <c r="D267" i="1"/>
  <c r="I266" i="1"/>
  <c r="D266" i="1"/>
  <c r="I265" i="1"/>
  <c r="D265" i="1"/>
  <c r="I264" i="1"/>
  <c r="D264" i="1"/>
  <c r="I263" i="1"/>
  <c r="D263" i="1"/>
  <c r="I262" i="1"/>
  <c r="D262" i="1"/>
  <c r="I261" i="1"/>
  <c r="D261" i="1"/>
  <c r="I260" i="1"/>
  <c r="D260" i="1"/>
  <c r="I259" i="1"/>
  <c r="D259" i="1"/>
  <c r="I258" i="1"/>
  <c r="D258" i="1"/>
  <c r="I257" i="1"/>
  <c r="D257" i="1"/>
  <c r="I256" i="1"/>
  <c r="D256" i="1"/>
  <c r="I255" i="1"/>
  <c r="D255" i="1"/>
  <c r="I254" i="1"/>
  <c r="D254" i="1"/>
  <c r="I253" i="1"/>
  <c r="D253" i="1"/>
  <c r="I252" i="1"/>
  <c r="D252" i="1"/>
  <c r="I251" i="1"/>
  <c r="D251" i="1"/>
  <c r="I250" i="1"/>
  <c r="D250" i="1"/>
  <c r="I249" i="1"/>
  <c r="D249" i="1"/>
  <c r="I248" i="1"/>
  <c r="D248" i="1"/>
  <c r="I247" i="1"/>
  <c r="D247" i="1"/>
  <c r="I246" i="1"/>
  <c r="D246" i="1"/>
  <c r="I245" i="1"/>
  <c r="D245" i="1"/>
  <c r="D4" i="1"/>
  <c r="D11" i="1"/>
  <c r="I19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D9" i="1"/>
  <c r="D8" i="1"/>
  <c r="D7" i="1"/>
  <c r="D6" i="1"/>
  <c r="D5" i="1"/>
  <c r="U4" i="2"/>
  <c r="U5" i="2"/>
  <c r="AW73" i="2"/>
  <c r="AW72" i="2"/>
  <c r="AW71" i="2"/>
  <c r="AW70" i="2"/>
  <c r="AW68" i="2"/>
  <c r="AW67" i="2"/>
  <c r="AW66" i="2"/>
  <c r="AW65" i="2"/>
  <c r="AT73" i="2"/>
  <c r="AT72" i="2"/>
  <c r="AT71" i="2"/>
  <c r="AT70" i="2"/>
  <c r="AT68" i="2"/>
  <c r="AT67" i="2"/>
  <c r="AT66" i="2"/>
  <c r="AT65" i="2"/>
  <c r="AO549" i="2"/>
  <c r="AO540" i="2"/>
  <c r="U575" i="2"/>
  <c r="U574" i="2"/>
  <c r="U573" i="2"/>
  <c r="U572" i="2"/>
  <c r="U571" i="2"/>
  <c r="AE570" i="2"/>
  <c r="U570" i="2"/>
  <c r="AE569" i="2"/>
  <c r="U569" i="2"/>
  <c r="AE568" i="2"/>
  <c r="U568" i="2"/>
  <c r="AK567" i="2"/>
  <c r="AE567" i="2"/>
  <c r="U567" i="2"/>
  <c r="AK566" i="2"/>
  <c r="AE566" i="2"/>
  <c r="U566" i="2"/>
  <c r="AK565" i="2"/>
  <c r="AE565" i="2"/>
  <c r="Z565" i="2"/>
  <c r="U565" i="2"/>
  <c r="AE564" i="2"/>
  <c r="U564" i="2"/>
  <c r="AE563" i="2"/>
  <c r="U563" i="2"/>
  <c r="AE562" i="2"/>
  <c r="Z562" i="2"/>
  <c r="U562" i="2"/>
  <c r="AE561" i="2"/>
  <c r="Z561" i="2"/>
  <c r="U561" i="2"/>
  <c r="AE560" i="2"/>
  <c r="U560" i="2"/>
  <c r="AE559" i="2"/>
  <c r="U559" i="2"/>
  <c r="AE558" i="2"/>
  <c r="U558" i="2"/>
  <c r="AE557" i="2"/>
  <c r="U557" i="2"/>
  <c r="AE556" i="2"/>
  <c r="U556" i="2"/>
  <c r="AE555" i="2"/>
  <c r="U555" i="2"/>
  <c r="AK554" i="2"/>
  <c r="AE554" i="2"/>
  <c r="U554" i="2"/>
  <c r="AK553" i="2"/>
  <c r="AE553" i="2"/>
  <c r="U553" i="2"/>
  <c r="AK552" i="2"/>
  <c r="AE552" i="2"/>
  <c r="U552" i="2"/>
  <c r="AE551" i="2"/>
  <c r="U551" i="2"/>
  <c r="AE550" i="2"/>
  <c r="U550" i="2"/>
  <c r="AE549" i="2"/>
  <c r="Z549" i="2"/>
  <c r="U549" i="2"/>
  <c r="AE548" i="2"/>
  <c r="U548" i="2"/>
  <c r="AE547" i="2"/>
  <c r="Z547" i="2"/>
  <c r="U547" i="2"/>
  <c r="AE546" i="2"/>
  <c r="U546" i="2"/>
  <c r="AE545" i="2"/>
  <c r="U545" i="2"/>
  <c r="AE544" i="2"/>
  <c r="U544" i="2"/>
  <c r="AE543" i="2"/>
  <c r="U543" i="2"/>
  <c r="AE542" i="2"/>
  <c r="U542" i="2"/>
  <c r="AE541" i="2"/>
  <c r="U541" i="2"/>
  <c r="AK540" i="2"/>
  <c r="AE540" i="2"/>
  <c r="U540" i="2"/>
  <c r="AK539" i="2"/>
  <c r="AE539" i="2"/>
  <c r="U539" i="2"/>
  <c r="AK538" i="2"/>
  <c r="AE538" i="2"/>
  <c r="U538" i="2"/>
  <c r="AO471" i="2"/>
  <c r="AO318" i="2"/>
  <c r="AO309" i="2"/>
  <c r="AO462" i="2"/>
  <c r="U534" i="2"/>
  <c r="U533" i="2"/>
  <c r="U532" i="2"/>
  <c r="U531" i="2"/>
  <c r="U530" i="2"/>
  <c r="U529" i="2"/>
  <c r="U528" i="2"/>
  <c r="U527" i="2"/>
  <c r="U526" i="2"/>
  <c r="AK525" i="2"/>
  <c r="AE525" i="2"/>
  <c r="U525" i="2"/>
  <c r="AE524" i="2"/>
  <c r="U524" i="2"/>
  <c r="AE523" i="2"/>
  <c r="U523" i="2"/>
  <c r="AE522" i="2"/>
  <c r="U522" i="2"/>
  <c r="AE521" i="2"/>
  <c r="U521" i="2"/>
  <c r="AE520" i="2"/>
  <c r="U520" i="2"/>
  <c r="AE519" i="2"/>
  <c r="U519" i="2"/>
  <c r="AK518" i="2"/>
  <c r="AE518" i="2"/>
  <c r="U518" i="2"/>
  <c r="AK517" i="2"/>
  <c r="AE517" i="2"/>
  <c r="U517" i="2"/>
  <c r="AK516" i="2"/>
  <c r="AE516" i="2"/>
  <c r="U516" i="2"/>
  <c r="AK515" i="2"/>
  <c r="AE515" i="2"/>
  <c r="Z515" i="2"/>
  <c r="U515" i="2"/>
  <c r="AK514" i="2"/>
  <c r="AE514" i="2"/>
  <c r="Z514" i="2"/>
  <c r="U514" i="2"/>
  <c r="AK513" i="2"/>
  <c r="AE513" i="2"/>
  <c r="U513" i="2"/>
  <c r="AE512" i="2"/>
  <c r="U512" i="2"/>
  <c r="AE511" i="2"/>
  <c r="U511" i="2"/>
  <c r="AE510" i="2"/>
  <c r="U510" i="2"/>
  <c r="AE509" i="2"/>
  <c r="U509" i="2"/>
  <c r="AE508" i="2"/>
  <c r="Z508" i="2"/>
  <c r="U508" i="2"/>
  <c r="AE507" i="2"/>
  <c r="U507" i="2"/>
  <c r="AE506" i="2"/>
  <c r="Z506" i="2"/>
  <c r="U506" i="2"/>
  <c r="AE505" i="2"/>
  <c r="U505" i="2"/>
  <c r="AE504" i="2"/>
  <c r="U504" i="2"/>
  <c r="AE503" i="2"/>
  <c r="U503" i="2"/>
  <c r="AE502" i="2"/>
  <c r="U502" i="2"/>
  <c r="AE501" i="2"/>
  <c r="U501" i="2"/>
  <c r="AE500" i="2"/>
  <c r="U500" i="2"/>
  <c r="AE499" i="2"/>
  <c r="U499" i="2"/>
  <c r="AE498" i="2"/>
  <c r="U498" i="2"/>
  <c r="AE497" i="2"/>
  <c r="U497" i="2"/>
  <c r="AE496" i="2"/>
  <c r="U496" i="2"/>
  <c r="AE495" i="2"/>
  <c r="U495" i="2"/>
  <c r="AE494" i="2"/>
  <c r="U494" i="2"/>
  <c r="AE493" i="2"/>
  <c r="U493" i="2"/>
  <c r="AK492" i="2"/>
  <c r="AE492" i="2"/>
  <c r="U492" i="2"/>
  <c r="AK491" i="2"/>
  <c r="AE491" i="2"/>
  <c r="U491" i="2"/>
  <c r="AK490" i="2"/>
  <c r="AE490" i="2"/>
  <c r="U490" i="2"/>
  <c r="AK489" i="2"/>
  <c r="AE489" i="2"/>
  <c r="U489" i="2"/>
  <c r="AK488" i="2"/>
  <c r="AE488" i="2"/>
  <c r="U488" i="2"/>
  <c r="AK487" i="2"/>
  <c r="AE487" i="2"/>
  <c r="U487" i="2"/>
  <c r="AE486" i="2"/>
  <c r="U486" i="2"/>
  <c r="AE485" i="2"/>
  <c r="Z485" i="2"/>
  <c r="U485" i="2"/>
  <c r="AE484" i="2"/>
  <c r="U484" i="2"/>
  <c r="AE483" i="2"/>
  <c r="Z483" i="2"/>
  <c r="U483" i="2"/>
  <c r="AE482" i="2"/>
  <c r="Z482" i="2"/>
  <c r="U482" i="2"/>
  <c r="AE481" i="2"/>
  <c r="U481" i="2"/>
  <c r="AE480" i="2"/>
  <c r="U480" i="2"/>
  <c r="AE479" i="2"/>
  <c r="Z479" i="2"/>
  <c r="U479" i="2"/>
  <c r="AE478" i="2"/>
  <c r="Z478" i="2"/>
  <c r="U478" i="2"/>
  <c r="AE477" i="2"/>
  <c r="U477" i="2"/>
  <c r="AE476" i="2"/>
  <c r="U476" i="2"/>
  <c r="AE475" i="2"/>
  <c r="U475" i="2"/>
  <c r="AE474" i="2"/>
  <c r="U474" i="2"/>
  <c r="AE473" i="2"/>
  <c r="U473" i="2"/>
  <c r="AE472" i="2"/>
  <c r="U472" i="2"/>
  <c r="AE471" i="2"/>
  <c r="U471" i="2"/>
  <c r="AE470" i="2"/>
  <c r="U470" i="2"/>
  <c r="AE469" i="2"/>
  <c r="U469" i="2"/>
  <c r="AE468" i="2"/>
  <c r="U468" i="2"/>
  <c r="AE467" i="2"/>
  <c r="U467" i="2"/>
  <c r="AE466" i="2"/>
  <c r="U466" i="2"/>
  <c r="AK465" i="2"/>
  <c r="AE465" i="2"/>
  <c r="U465" i="2"/>
  <c r="AK464" i="2"/>
  <c r="AE464" i="2"/>
  <c r="U464" i="2"/>
  <c r="AK463" i="2"/>
  <c r="AE463" i="2"/>
  <c r="U463" i="2"/>
  <c r="AK462" i="2"/>
  <c r="AE462" i="2"/>
  <c r="U462" i="2"/>
  <c r="AK461" i="2"/>
  <c r="AE461" i="2"/>
  <c r="U461" i="2"/>
  <c r="AK460" i="2"/>
  <c r="AE460" i="2"/>
  <c r="U460" i="2"/>
  <c r="Z456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AK437" i="2"/>
  <c r="AE437" i="2"/>
  <c r="U437" i="2"/>
  <c r="AE436" i="2"/>
  <c r="U436" i="2"/>
  <c r="AE435" i="2"/>
  <c r="U435" i="2"/>
  <c r="AE434" i="2"/>
  <c r="U434" i="2"/>
  <c r="AE433" i="2"/>
  <c r="U433" i="2"/>
  <c r="AE432" i="2"/>
  <c r="U432" i="2"/>
  <c r="AE431" i="2"/>
  <c r="U431" i="2"/>
  <c r="AE430" i="2"/>
  <c r="U430" i="2"/>
  <c r="AE429" i="2"/>
  <c r="U429" i="2"/>
  <c r="AE428" i="2"/>
  <c r="U428" i="2"/>
  <c r="AE427" i="2"/>
  <c r="U427" i="2"/>
  <c r="AE426" i="2"/>
  <c r="U426" i="2"/>
  <c r="AE425" i="2"/>
  <c r="U425" i="2"/>
  <c r="AE424" i="2"/>
  <c r="U424" i="2"/>
  <c r="AK423" i="2"/>
  <c r="AE423" i="2"/>
  <c r="U423" i="2"/>
  <c r="AK422" i="2"/>
  <c r="AE422" i="2"/>
  <c r="U422" i="2"/>
  <c r="AK421" i="2"/>
  <c r="AE421" i="2"/>
  <c r="U421" i="2"/>
  <c r="AK420" i="2"/>
  <c r="AE420" i="2"/>
  <c r="U420" i="2"/>
  <c r="AK419" i="2"/>
  <c r="AE419" i="2"/>
  <c r="U419" i="2"/>
  <c r="AK418" i="2"/>
  <c r="AE418" i="2"/>
  <c r="U418" i="2"/>
  <c r="AK417" i="2"/>
  <c r="AE417" i="2"/>
  <c r="Z417" i="2"/>
  <c r="U417" i="2"/>
  <c r="AK416" i="2"/>
  <c r="AE416" i="2"/>
  <c r="Z416" i="2"/>
  <c r="U416" i="2"/>
  <c r="AK415" i="2"/>
  <c r="AE415" i="2"/>
  <c r="Z415" i="2"/>
  <c r="U415" i="2"/>
  <c r="AK414" i="2"/>
  <c r="AE414" i="2"/>
  <c r="U414" i="2"/>
  <c r="AK413" i="2"/>
  <c r="AE413" i="2"/>
  <c r="U413" i="2"/>
  <c r="AK412" i="2"/>
  <c r="AE412" i="2"/>
  <c r="Z412" i="2"/>
  <c r="U412" i="2"/>
  <c r="AE411" i="2"/>
  <c r="U411" i="2"/>
  <c r="AE410" i="2"/>
  <c r="Z410" i="2"/>
  <c r="U410" i="2"/>
  <c r="AE409" i="2"/>
  <c r="U409" i="2"/>
  <c r="AE408" i="2"/>
  <c r="U408" i="2"/>
  <c r="AE407" i="2"/>
  <c r="U407" i="2"/>
  <c r="AE406" i="2"/>
  <c r="U406" i="2"/>
  <c r="AE405" i="2"/>
  <c r="U405" i="2"/>
  <c r="AE404" i="2"/>
  <c r="Z404" i="2"/>
  <c r="U404" i="2"/>
  <c r="AE403" i="2"/>
  <c r="Z403" i="2"/>
  <c r="U403" i="2"/>
  <c r="AE402" i="2"/>
  <c r="Z402" i="2"/>
  <c r="U402" i="2"/>
  <c r="AE401" i="2"/>
  <c r="U401" i="2"/>
  <c r="AE400" i="2"/>
  <c r="U400" i="2"/>
  <c r="AE399" i="2"/>
  <c r="Z399" i="2"/>
  <c r="U399" i="2"/>
  <c r="AE398" i="2"/>
  <c r="U398" i="2"/>
  <c r="AE397" i="2"/>
  <c r="U397" i="2"/>
  <c r="AE396" i="2"/>
  <c r="U396" i="2"/>
  <c r="AE395" i="2"/>
  <c r="U395" i="2"/>
  <c r="AE394" i="2"/>
  <c r="U394" i="2"/>
  <c r="AE393" i="2"/>
  <c r="U393" i="2"/>
  <c r="AE392" i="2"/>
  <c r="U392" i="2"/>
  <c r="AE391" i="2"/>
  <c r="U391" i="2"/>
  <c r="AE390" i="2"/>
  <c r="U390" i="2"/>
  <c r="AE389" i="2"/>
  <c r="U389" i="2"/>
  <c r="AE388" i="2"/>
  <c r="U388" i="2"/>
  <c r="AE387" i="2"/>
  <c r="U387" i="2"/>
  <c r="AE386" i="2"/>
  <c r="U386" i="2"/>
  <c r="AE385" i="2"/>
  <c r="U385" i="2"/>
  <c r="AE384" i="2"/>
  <c r="U384" i="2"/>
  <c r="AE383" i="2"/>
  <c r="U383" i="2"/>
  <c r="AE382" i="2"/>
  <c r="U382" i="2"/>
  <c r="AE381" i="2"/>
  <c r="U381" i="2"/>
  <c r="AE380" i="2"/>
  <c r="U380" i="2"/>
  <c r="AE379" i="2"/>
  <c r="U379" i="2"/>
  <c r="AE378" i="2"/>
  <c r="U378" i="2"/>
  <c r="AE377" i="2"/>
  <c r="U377" i="2"/>
  <c r="AE376" i="2"/>
  <c r="U376" i="2"/>
  <c r="AE375" i="2"/>
  <c r="U375" i="2"/>
  <c r="AE374" i="2"/>
  <c r="U374" i="2"/>
  <c r="AE373" i="2"/>
  <c r="U373" i="2"/>
  <c r="AE372" i="2"/>
  <c r="U372" i="2"/>
  <c r="AK371" i="2"/>
  <c r="AE371" i="2"/>
  <c r="U371" i="2"/>
  <c r="AK370" i="2"/>
  <c r="AE370" i="2"/>
  <c r="U370" i="2"/>
  <c r="AK369" i="2"/>
  <c r="AE369" i="2"/>
  <c r="U369" i="2"/>
  <c r="AK368" i="2"/>
  <c r="AE368" i="2"/>
  <c r="U368" i="2"/>
  <c r="AK367" i="2"/>
  <c r="AE367" i="2"/>
  <c r="U367" i="2"/>
  <c r="AK366" i="2"/>
  <c r="AE366" i="2"/>
  <c r="U366" i="2"/>
  <c r="AK365" i="2"/>
  <c r="AE365" i="2"/>
  <c r="U365" i="2"/>
  <c r="AK364" i="2"/>
  <c r="AE364" i="2"/>
  <c r="U364" i="2"/>
  <c r="AK363" i="2"/>
  <c r="AE363" i="2"/>
  <c r="U363" i="2"/>
  <c r="AK362" i="2"/>
  <c r="AE362" i="2"/>
  <c r="U362" i="2"/>
  <c r="AK361" i="2"/>
  <c r="AE361" i="2"/>
  <c r="U361" i="2"/>
  <c r="AK360" i="2"/>
  <c r="AE360" i="2"/>
  <c r="U360" i="2"/>
  <c r="AE359" i="2"/>
  <c r="U359" i="2"/>
  <c r="AE358" i="2"/>
  <c r="Z358" i="2"/>
  <c r="U358" i="2"/>
  <c r="AE357" i="2"/>
  <c r="Z357" i="2"/>
  <c r="U357" i="2"/>
  <c r="AE356" i="2"/>
  <c r="Z356" i="2"/>
  <c r="U356" i="2"/>
  <c r="AE355" i="2"/>
  <c r="U355" i="2"/>
  <c r="AE354" i="2"/>
  <c r="U354" i="2"/>
  <c r="AE353" i="2"/>
  <c r="Z353" i="2"/>
  <c r="U353" i="2"/>
  <c r="AE352" i="2"/>
  <c r="U352" i="2"/>
  <c r="AE351" i="2"/>
  <c r="Z351" i="2"/>
  <c r="U351" i="2"/>
  <c r="AE350" i="2"/>
  <c r="U350" i="2"/>
  <c r="AE349" i="2"/>
  <c r="U349" i="2"/>
  <c r="AE348" i="2"/>
  <c r="U348" i="2"/>
  <c r="AE347" i="2"/>
  <c r="U347" i="2"/>
  <c r="AE346" i="2"/>
  <c r="U346" i="2"/>
  <c r="AE345" i="2"/>
  <c r="Z345" i="2"/>
  <c r="U345" i="2"/>
  <c r="AE344" i="2"/>
  <c r="Z344" i="2"/>
  <c r="U344" i="2"/>
  <c r="AE343" i="2"/>
  <c r="Z343" i="2"/>
  <c r="U343" i="2"/>
  <c r="AE342" i="2"/>
  <c r="U342" i="2"/>
  <c r="AE341" i="2"/>
  <c r="U341" i="2"/>
  <c r="AE340" i="2"/>
  <c r="Z340" i="2"/>
  <c r="U340" i="2"/>
  <c r="AE339" i="2"/>
  <c r="U339" i="2"/>
  <c r="AE338" i="2"/>
  <c r="U338" i="2"/>
  <c r="AE337" i="2"/>
  <c r="U337" i="2"/>
  <c r="AE336" i="2"/>
  <c r="Z336" i="2"/>
  <c r="U336" i="2"/>
  <c r="AE335" i="2"/>
  <c r="U335" i="2"/>
  <c r="AE334" i="2"/>
  <c r="U334" i="2"/>
  <c r="AE333" i="2"/>
  <c r="U333" i="2"/>
  <c r="AK332" i="2"/>
  <c r="AE332" i="2"/>
  <c r="U332" i="2"/>
  <c r="AE331" i="2"/>
  <c r="U331" i="2"/>
  <c r="AE330" i="2"/>
  <c r="U330" i="2"/>
  <c r="AE329" i="2"/>
  <c r="U329" i="2"/>
  <c r="AE328" i="2"/>
  <c r="U328" i="2"/>
  <c r="AE327" i="2"/>
  <c r="U327" i="2"/>
  <c r="AE326" i="2"/>
  <c r="U326" i="2"/>
  <c r="AE325" i="2"/>
  <c r="U325" i="2"/>
  <c r="AE324" i="2"/>
  <c r="U324" i="2"/>
  <c r="AE323" i="2"/>
  <c r="U323" i="2"/>
  <c r="AE322" i="2"/>
  <c r="U322" i="2"/>
  <c r="AE321" i="2"/>
  <c r="U321" i="2"/>
  <c r="AE320" i="2"/>
  <c r="U320" i="2"/>
  <c r="AE319" i="2"/>
  <c r="U319" i="2"/>
  <c r="AK318" i="2"/>
  <c r="AE318" i="2"/>
  <c r="U318" i="2"/>
  <c r="AK317" i="2"/>
  <c r="AE317" i="2"/>
  <c r="U317" i="2"/>
  <c r="AK316" i="2"/>
  <c r="AE316" i="2"/>
  <c r="U316" i="2"/>
  <c r="AK315" i="2"/>
  <c r="AE315" i="2"/>
  <c r="U315" i="2"/>
  <c r="AK314" i="2"/>
  <c r="AE314" i="2"/>
  <c r="U314" i="2"/>
  <c r="AK313" i="2"/>
  <c r="AE313" i="2"/>
  <c r="U313" i="2"/>
  <c r="AK312" i="2"/>
  <c r="AE312" i="2"/>
  <c r="U312" i="2"/>
  <c r="AK311" i="2"/>
  <c r="AE311" i="2"/>
  <c r="U311" i="2"/>
  <c r="AK310" i="2"/>
  <c r="AE310" i="2"/>
  <c r="U310" i="2"/>
  <c r="AK309" i="2"/>
  <c r="AE309" i="2"/>
  <c r="U309" i="2"/>
  <c r="AK308" i="2"/>
  <c r="AE308" i="2"/>
  <c r="U308" i="2"/>
  <c r="AK307" i="2"/>
  <c r="AE307" i="2"/>
  <c r="U307" i="2"/>
  <c r="AO15" i="2"/>
  <c r="AO6" i="2"/>
  <c r="AE109" i="2"/>
  <c r="AK265" i="2"/>
  <c r="AE265" i="2"/>
  <c r="Z303" i="2"/>
  <c r="U303" i="2"/>
  <c r="AK264" i="2"/>
  <c r="AE264" i="2"/>
  <c r="Z302" i="2"/>
  <c r="U302" i="2"/>
  <c r="U301" i="2"/>
  <c r="AK263" i="2"/>
  <c r="AE263" i="2"/>
  <c r="U300" i="2"/>
  <c r="U299" i="2"/>
  <c r="AE262" i="2"/>
  <c r="AE261" i="2"/>
  <c r="AE260" i="2"/>
  <c r="U298" i="2"/>
  <c r="U297" i="2"/>
  <c r="U296" i="2"/>
  <c r="AE259" i="2"/>
  <c r="AE258" i="2"/>
  <c r="AE257" i="2"/>
  <c r="U295" i="2"/>
  <c r="U294" i="2"/>
  <c r="AE256" i="2"/>
  <c r="AE255" i="2"/>
  <c r="AE254" i="2"/>
  <c r="AE253" i="2"/>
  <c r="AE252" i="2"/>
  <c r="AE251" i="2"/>
  <c r="AE250" i="2"/>
  <c r="U293" i="2"/>
  <c r="U292" i="2"/>
  <c r="AE249" i="2"/>
  <c r="U291" i="2"/>
  <c r="AE248" i="2"/>
  <c r="U290" i="2"/>
  <c r="U289" i="2"/>
  <c r="AE247" i="2"/>
  <c r="U288" i="2"/>
  <c r="AE246" i="2"/>
  <c r="U287" i="2"/>
  <c r="AE245" i="2"/>
  <c r="U286" i="2"/>
  <c r="AE244" i="2"/>
  <c r="U285" i="2"/>
  <c r="AE243" i="2"/>
  <c r="U284" i="2"/>
  <c r="AE242" i="2"/>
  <c r="U283" i="2"/>
  <c r="AE241" i="2"/>
  <c r="U282" i="2"/>
  <c r="AE240" i="2"/>
  <c r="U281" i="2"/>
  <c r="U280" i="2"/>
  <c r="AE239" i="2"/>
  <c r="U279" i="2"/>
  <c r="AE238" i="2"/>
  <c r="U278" i="2"/>
  <c r="AE237" i="2"/>
  <c r="AK236" i="2"/>
  <c r="AE236" i="2"/>
  <c r="AE235" i="2"/>
  <c r="AK234" i="2"/>
  <c r="AE234" i="2"/>
  <c r="U277" i="2"/>
  <c r="U276" i="2"/>
  <c r="AK233" i="2"/>
  <c r="AE233" i="2"/>
  <c r="U275" i="2"/>
  <c r="AK232" i="2"/>
  <c r="AE232" i="2"/>
  <c r="U274" i="2"/>
  <c r="U273" i="2"/>
  <c r="AK231" i="2"/>
  <c r="AE231" i="2"/>
  <c r="U272" i="2"/>
  <c r="AK230" i="2"/>
  <c r="AE230" i="2"/>
  <c r="U271" i="2"/>
  <c r="AK229" i="2"/>
  <c r="AE229" i="2"/>
  <c r="AK228" i="2"/>
  <c r="AE228" i="2"/>
  <c r="U270" i="2"/>
  <c r="U269" i="2"/>
  <c r="AK227" i="2"/>
  <c r="AE227" i="2"/>
  <c r="U268" i="2"/>
  <c r="AK226" i="2"/>
  <c r="AE226" i="2"/>
  <c r="U267" i="2"/>
  <c r="AK225" i="2"/>
  <c r="AE225" i="2"/>
  <c r="U266" i="2"/>
  <c r="AK224" i="2"/>
  <c r="AE224" i="2"/>
  <c r="U265" i="2"/>
  <c r="U264" i="2"/>
  <c r="AK223" i="2"/>
  <c r="AE223" i="2"/>
  <c r="U263" i="2"/>
  <c r="AK222" i="2"/>
  <c r="AE222" i="2"/>
  <c r="U262" i="2"/>
  <c r="AK221" i="2"/>
  <c r="AE221" i="2"/>
  <c r="AK220" i="2"/>
  <c r="AE220" i="2"/>
  <c r="AK219" i="2"/>
  <c r="AE219" i="2"/>
  <c r="AK218" i="2"/>
  <c r="AE218" i="2"/>
  <c r="U261" i="2"/>
  <c r="U260" i="2"/>
  <c r="AK217" i="2"/>
  <c r="AE217" i="2"/>
  <c r="U259" i="2"/>
  <c r="AK216" i="2"/>
  <c r="AE216" i="2"/>
  <c r="U258" i="2"/>
  <c r="U257" i="2"/>
  <c r="AK215" i="2"/>
  <c r="AE215" i="2"/>
  <c r="U256" i="2"/>
  <c r="AK214" i="2"/>
  <c r="AE214" i="2"/>
  <c r="U255" i="2"/>
  <c r="U254" i="2"/>
  <c r="AE213" i="2"/>
  <c r="U253" i="2"/>
  <c r="U252" i="2"/>
  <c r="U251" i="2"/>
  <c r="AE212" i="2"/>
  <c r="U250" i="2"/>
  <c r="U249" i="2"/>
  <c r="AE211" i="2"/>
  <c r="U248" i="2"/>
  <c r="U247" i="2"/>
  <c r="U246" i="2"/>
  <c r="AE210" i="2"/>
  <c r="U245" i="2"/>
  <c r="AE209" i="2"/>
  <c r="AE208" i="2"/>
  <c r="U244" i="2"/>
  <c r="AE207" i="2"/>
  <c r="U243" i="2"/>
  <c r="AE206" i="2"/>
  <c r="U242" i="2"/>
  <c r="AE205" i="2"/>
  <c r="U241" i="2"/>
  <c r="AE204" i="2"/>
  <c r="U240" i="2"/>
  <c r="AE203" i="2"/>
  <c r="U239" i="2"/>
  <c r="AE202" i="2"/>
  <c r="U238" i="2"/>
  <c r="AE201" i="2"/>
  <c r="U237" i="2"/>
  <c r="AE200" i="2"/>
  <c r="U236" i="2"/>
  <c r="AE199" i="2"/>
  <c r="U235" i="2"/>
  <c r="AE198" i="2"/>
  <c r="U234" i="2"/>
  <c r="AE197" i="2"/>
  <c r="U233" i="2"/>
  <c r="AE196" i="2"/>
  <c r="U232" i="2"/>
  <c r="AE195" i="2"/>
  <c r="U231" i="2"/>
  <c r="AE194" i="2"/>
  <c r="U230" i="2"/>
  <c r="AE193" i="2"/>
  <c r="U229" i="2"/>
  <c r="AE192" i="2"/>
  <c r="U228" i="2"/>
  <c r="AE191" i="2"/>
  <c r="U227" i="2"/>
  <c r="AE190" i="2"/>
  <c r="U226" i="2"/>
  <c r="AE189" i="2"/>
  <c r="U225" i="2"/>
  <c r="Z224" i="2"/>
  <c r="U224" i="2"/>
  <c r="AE188" i="2"/>
  <c r="U223" i="2"/>
  <c r="AE187" i="2"/>
  <c r="Z222" i="2"/>
  <c r="U222" i="2"/>
  <c r="AE186" i="2"/>
  <c r="U221" i="2"/>
  <c r="Z220" i="2"/>
  <c r="U220" i="2"/>
  <c r="AE185" i="2"/>
  <c r="Z219" i="2"/>
  <c r="U219" i="2"/>
  <c r="AE184" i="2"/>
  <c r="U218" i="2"/>
  <c r="Z217" i="2"/>
  <c r="U217" i="2"/>
  <c r="AE183" i="2"/>
  <c r="U216" i="2"/>
  <c r="AE182" i="2"/>
  <c r="U215" i="2"/>
  <c r="Z214" i="2"/>
  <c r="U214" i="2"/>
  <c r="AE181" i="2"/>
  <c r="Z213" i="2"/>
  <c r="U213" i="2"/>
  <c r="AE180" i="2"/>
  <c r="U212" i="2"/>
  <c r="Z211" i="2"/>
  <c r="U211" i="2"/>
  <c r="Z210" i="2"/>
  <c r="U210" i="2"/>
  <c r="Z209" i="2"/>
  <c r="U209" i="2"/>
  <c r="AE179" i="2"/>
  <c r="U208" i="2"/>
  <c r="AE178" i="2"/>
  <c r="U207" i="2"/>
  <c r="AE177" i="2"/>
  <c r="U206" i="2"/>
  <c r="AE176" i="2"/>
  <c r="U205" i="2"/>
  <c r="AE175" i="2"/>
  <c r="U204" i="2"/>
  <c r="AE174" i="2"/>
  <c r="U203" i="2"/>
  <c r="AE173" i="2"/>
  <c r="U202" i="2"/>
  <c r="AE172" i="2"/>
  <c r="U201" i="2"/>
  <c r="AE171" i="2"/>
  <c r="U200" i="2"/>
  <c r="AE170" i="2"/>
  <c r="U199" i="2"/>
  <c r="Z198" i="2"/>
  <c r="U198" i="2"/>
  <c r="AE169" i="2"/>
  <c r="U197" i="2"/>
  <c r="AE168" i="2"/>
  <c r="Z196" i="2"/>
  <c r="U196" i="2"/>
  <c r="AE167" i="2"/>
  <c r="U195" i="2"/>
  <c r="Z194" i="2"/>
  <c r="U194" i="2"/>
  <c r="AE166" i="2"/>
  <c r="U193" i="2"/>
  <c r="AE165" i="2"/>
  <c r="U192" i="2"/>
  <c r="Z191" i="2"/>
  <c r="U191" i="2"/>
  <c r="AE164" i="2"/>
  <c r="U190" i="2"/>
  <c r="AE163" i="2"/>
  <c r="U189" i="2"/>
  <c r="Z188" i="2"/>
  <c r="U188" i="2"/>
  <c r="AE162" i="2"/>
  <c r="U187" i="2"/>
  <c r="AE161" i="2"/>
  <c r="U186" i="2"/>
  <c r="AE160" i="2"/>
  <c r="Z185" i="2"/>
  <c r="U185" i="2"/>
  <c r="U184" i="2"/>
  <c r="AE159" i="2"/>
  <c r="U183" i="2"/>
  <c r="U182" i="2"/>
  <c r="AE158" i="2"/>
  <c r="AE157" i="2"/>
  <c r="AE156" i="2"/>
  <c r="U181" i="2"/>
  <c r="U180" i="2"/>
  <c r="U179" i="2"/>
  <c r="AE155" i="2"/>
  <c r="AE154" i="2"/>
  <c r="AE153" i="2"/>
  <c r="U178" i="2"/>
  <c r="U177" i="2"/>
  <c r="AE152" i="2"/>
  <c r="AE151" i="2"/>
  <c r="AE150" i="2"/>
  <c r="AE149" i="2"/>
  <c r="AE148" i="2"/>
  <c r="AE147" i="2"/>
  <c r="AE146" i="2"/>
  <c r="U176" i="2"/>
  <c r="U175" i="2"/>
  <c r="AE145" i="2"/>
  <c r="U174" i="2"/>
  <c r="AE144" i="2"/>
  <c r="U173" i="2"/>
  <c r="U172" i="2"/>
  <c r="AE143" i="2"/>
  <c r="U171" i="2"/>
  <c r="AE142" i="2"/>
  <c r="U170" i="2"/>
  <c r="AE141" i="2"/>
  <c r="U169" i="2"/>
  <c r="AE140" i="2"/>
  <c r="U168" i="2"/>
  <c r="U167" i="2"/>
  <c r="AE139" i="2"/>
  <c r="U166" i="2"/>
  <c r="AE138" i="2"/>
  <c r="U165" i="2"/>
  <c r="AE137" i="2"/>
  <c r="U164" i="2"/>
  <c r="AE136" i="2"/>
  <c r="U163" i="2"/>
  <c r="U162" i="2"/>
  <c r="AE135" i="2"/>
  <c r="U161" i="2"/>
  <c r="AE134" i="2"/>
  <c r="U160" i="2"/>
  <c r="AE133" i="2"/>
  <c r="AK132" i="2"/>
  <c r="AE132" i="2"/>
  <c r="AE131" i="2"/>
  <c r="AK130" i="2"/>
  <c r="AE130" i="2"/>
  <c r="U159" i="2"/>
  <c r="U158" i="2"/>
  <c r="AK129" i="2"/>
  <c r="AE129" i="2"/>
  <c r="U157" i="2"/>
  <c r="AK128" i="2"/>
  <c r="AE128" i="2"/>
  <c r="U156" i="2"/>
  <c r="U155" i="2"/>
  <c r="AK127" i="2"/>
  <c r="AE127" i="2"/>
  <c r="U154" i="2"/>
  <c r="AK126" i="2"/>
  <c r="AE126" i="2"/>
  <c r="U153" i="2"/>
  <c r="AK125" i="2"/>
  <c r="AE125" i="2"/>
  <c r="AK124" i="2"/>
  <c r="AE124" i="2"/>
  <c r="U152" i="2"/>
  <c r="U151" i="2"/>
  <c r="AK123" i="2"/>
  <c r="AE123" i="2"/>
  <c r="U150" i="2"/>
  <c r="AK122" i="2"/>
  <c r="AE122" i="2"/>
  <c r="U149" i="2"/>
  <c r="AK121" i="2"/>
  <c r="AE121" i="2"/>
  <c r="U148" i="2"/>
  <c r="AK120" i="2"/>
  <c r="AE120" i="2"/>
  <c r="U147" i="2"/>
  <c r="U146" i="2"/>
  <c r="AK119" i="2"/>
  <c r="AE119" i="2"/>
  <c r="U145" i="2"/>
  <c r="AK118" i="2"/>
  <c r="AE118" i="2"/>
  <c r="U144" i="2"/>
  <c r="AK117" i="2"/>
  <c r="AE117" i="2"/>
  <c r="AK116" i="2"/>
  <c r="AE116" i="2"/>
  <c r="AK115" i="2"/>
  <c r="AE115" i="2"/>
  <c r="AK114" i="2"/>
  <c r="AE114" i="2"/>
  <c r="U143" i="2"/>
  <c r="U142" i="2"/>
  <c r="AK113" i="2"/>
  <c r="AE113" i="2"/>
  <c r="U141" i="2"/>
  <c r="AK112" i="2"/>
  <c r="AE112" i="2"/>
  <c r="U140" i="2"/>
  <c r="U139" i="2"/>
  <c r="AK111" i="2"/>
  <c r="AE111" i="2"/>
  <c r="U138" i="2"/>
  <c r="AK110" i="2"/>
  <c r="AE110" i="2"/>
  <c r="U137" i="2"/>
  <c r="U136" i="2"/>
  <c r="U135" i="2"/>
  <c r="U134" i="2"/>
  <c r="U133" i="2"/>
  <c r="AE108" i="2"/>
  <c r="U132" i="2"/>
  <c r="U131" i="2"/>
  <c r="AE107" i="2"/>
  <c r="U130" i="2"/>
  <c r="U129" i="2"/>
  <c r="U128" i="2"/>
  <c r="AE106" i="2"/>
  <c r="U127" i="2"/>
  <c r="AE105" i="2"/>
  <c r="AE104" i="2"/>
  <c r="U126" i="2"/>
  <c r="AE103" i="2"/>
  <c r="U125" i="2"/>
  <c r="AE102" i="2"/>
  <c r="U124" i="2"/>
  <c r="AE101" i="2"/>
  <c r="U123" i="2"/>
  <c r="AE100" i="2"/>
  <c r="U122" i="2"/>
  <c r="AE99" i="2"/>
  <c r="U121" i="2"/>
  <c r="AE98" i="2"/>
  <c r="U120" i="2"/>
  <c r="AE97" i="2"/>
  <c r="U119" i="2"/>
  <c r="AE96" i="2"/>
  <c r="U118" i="2"/>
  <c r="AE95" i="2"/>
  <c r="U117" i="2"/>
  <c r="AE94" i="2"/>
  <c r="U116" i="2"/>
  <c r="AE93" i="2"/>
  <c r="U115" i="2"/>
  <c r="AE92" i="2"/>
  <c r="U114" i="2"/>
  <c r="AE91" i="2"/>
  <c r="U113" i="2"/>
  <c r="AE90" i="2"/>
  <c r="U112" i="2"/>
  <c r="AE89" i="2"/>
  <c r="U111" i="2"/>
  <c r="AE88" i="2"/>
  <c r="U110" i="2"/>
  <c r="AE87" i="2"/>
  <c r="U109" i="2"/>
  <c r="AE86" i="2"/>
  <c r="U108" i="2"/>
  <c r="AE85" i="2"/>
  <c r="U107" i="2"/>
  <c r="Z106" i="2"/>
  <c r="U106" i="2"/>
  <c r="AE84" i="2"/>
  <c r="U105" i="2"/>
  <c r="AE83" i="2"/>
  <c r="Z104" i="2"/>
  <c r="U104" i="2"/>
  <c r="AE82" i="2"/>
  <c r="U103" i="2"/>
  <c r="Z102" i="2"/>
  <c r="U102" i="2"/>
  <c r="AE81" i="2"/>
  <c r="Z101" i="2"/>
  <c r="U101" i="2"/>
  <c r="AE80" i="2"/>
  <c r="U100" i="2"/>
  <c r="Z99" i="2"/>
  <c r="U99" i="2"/>
  <c r="AE79" i="2"/>
  <c r="U98" i="2"/>
  <c r="U97" i="2"/>
  <c r="Z96" i="2"/>
  <c r="U96" i="2"/>
  <c r="AE78" i="2"/>
  <c r="Z95" i="2"/>
  <c r="U95" i="2"/>
  <c r="AE77" i="2"/>
  <c r="U94" i="2"/>
  <c r="Z93" i="2"/>
  <c r="U93" i="2"/>
  <c r="Z92" i="2"/>
  <c r="U92" i="2"/>
  <c r="Z91" i="2"/>
  <c r="U91" i="2"/>
  <c r="AE76" i="2"/>
  <c r="U90" i="2"/>
  <c r="AE75" i="2"/>
  <c r="U89" i="2"/>
  <c r="AE74" i="2"/>
  <c r="U88" i="2"/>
  <c r="AE73" i="2"/>
  <c r="U87" i="2"/>
  <c r="AE72" i="2"/>
  <c r="U86" i="2"/>
  <c r="AE71" i="2"/>
  <c r="U85" i="2"/>
  <c r="AE70" i="2"/>
  <c r="U84" i="2"/>
  <c r="AE69" i="2"/>
  <c r="U83" i="2"/>
  <c r="AE68" i="2"/>
  <c r="U82" i="2"/>
  <c r="AE67" i="2"/>
  <c r="U81" i="2"/>
  <c r="Z80" i="2"/>
  <c r="U80" i="2"/>
  <c r="AE66" i="2"/>
  <c r="U79" i="2"/>
  <c r="AE65" i="2"/>
  <c r="Z78" i="2"/>
  <c r="U78" i="2"/>
  <c r="AE64" i="2"/>
  <c r="U77" i="2"/>
  <c r="Z76" i="2"/>
  <c r="U76" i="2"/>
  <c r="AE63" i="2"/>
  <c r="U75" i="2"/>
  <c r="AE62" i="2"/>
  <c r="U74" i="2"/>
  <c r="Z73" i="2"/>
  <c r="U73" i="2"/>
  <c r="AE61" i="2"/>
  <c r="U72" i="2"/>
  <c r="AE60" i="2"/>
  <c r="U71" i="2"/>
  <c r="Z70" i="2"/>
  <c r="U70" i="2"/>
  <c r="AE59" i="2"/>
  <c r="U69" i="2"/>
  <c r="AE58" i="2"/>
  <c r="U68" i="2"/>
  <c r="Z67" i="2"/>
  <c r="U67" i="2"/>
  <c r="U66" i="2"/>
  <c r="U65" i="2"/>
  <c r="AK57" i="2"/>
  <c r="AE57" i="2"/>
  <c r="U64" i="2"/>
  <c r="AE56" i="2"/>
  <c r="U63" i="2"/>
  <c r="AE55" i="2"/>
  <c r="AK54" i="2"/>
  <c r="AE54" i="2"/>
  <c r="Z62" i="2"/>
  <c r="U62" i="2"/>
  <c r="U61" i="2"/>
  <c r="AK53" i="2"/>
  <c r="AE53" i="2"/>
  <c r="U60" i="2"/>
  <c r="U59" i="2"/>
  <c r="AE52" i="2"/>
  <c r="AE51" i="2"/>
  <c r="AE50" i="2"/>
  <c r="U58" i="2"/>
  <c r="U57" i="2"/>
  <c r="U56" i="2"/>
  <c r="AE49" i="2"/>
  <c r="AE48" i="2"/>
  <c r="AE47" i="2"/>
  <c r="U55" i="2"/>
  <c r="U54" i="2"/>
  <c r="AE46" i="2"/>
  <c r="AE45" i="2"/>
  <c r="AE44" i="2"/>
  <c r="AE43" i="2"/>
  <c r="AE42" i="2"/>
  <c r="AE41" i="2"/>
  <c r="AE40" i="2"/>
  <c r="U53" i="2"/>
  <c r="U52" i="2"/>
  <c r="AE39" i="2"/>
  <c r="U51" i="2"/>
  <c r="AE38" i="2"/>
  <c r="U50" i="2"/>
  <c r="U49" i="2"/>
  <c r="AE37" i="2"/>
  <c r="U48" i="2"/>
  <c r="AE36" i="2"/>
  <c r="U47" i="2"/>
  <c r="AE35" i="2"/>
  <c r="U46" i="2"/>
  <c r="AE34" i="2"/>
  <c r="U45" i="2"/>
  <c r="U44" i="2"/>
  <c r="AE33" i="2"/>
  <c r="U43" i="2"/>
  <c r="AE32" i="2"/>
  <c r="U42" i="2"/>
  <c r="AE31" i="2"/>
  <c r="U41" i="2"/>
  <c r="AE30" i="2"/>
  <c r="U40" i="2"/>
  <c r="U39" i="2"/>
  <c r="AE29" i="2"/>
  <c r="U38" i="2"/>
  <c r="AE28" i="2"/>
  <c r="U37" i="2"/>
  <c r="AE27" i="2"/>
  <c r="AK26" i="2"/>
  <c r="AE26" i="2"/>
  <c r="AE25" i="2"/>
  <c r="AK24" i="2"/>
  <c r="AE24" i="2"/>
  <c r="U36" i="2"/>
  <c r="U35" i="2"/>
  <c r="AK23" i="2"/>
  <c r="AE23" i="2"/>
  <c r="U34" i="2"/>
  <c r="AK22" i="2"/>
  <c r="AE22" i="2"/>
  <c r="U33" i="2"/>
  <c r="U32" i="2"/>
  <c r="AK21" i="2"/>
  <c r="AE21" i="2"/>
  <c r="U31" i="2"/>
  <c r="AK20" i="2"/>
  <c r="AE20" i="2"/>
  <c r="U30" i="2"/>
  <c r="AK19" i="2"/>
  <c r="AE19" i="2"/>
  <c r="AK18" i="2"/>
  <c r="AE18" i="2"/>
  <c r="U29" i="2"/>
  <c r="U28" i="2"/>
  <c r="AK17" i="2"/>
  <c r="AE17" i="2"/>
  <c r="U27" i="2"/>
  <c r="AK16" i="2"/>
  <c r="AE16" i="2"/>
  <c r="U26" i="2"/>
  <c r="AK15" i="2"/>
  <c r="AE15" i="2"/>
  <c r="U25" i="2"/>
  <c r="AK14" i="2"/>
  <c r="AE14" i="2"/>
  <c r="U24" i="2"/>
  <c r="U23" i="2"/>
  <c r="AK13" i="2"/>
  <c r="AE13" i="2"/>
  <c r="U22" i="2"/>
  <c r="AK12" i="2"/>
  <c r="AE12" i="2"/>
  <c r="U21" i="2"/>
  <c r="AK11" i="2"/>
  <c r="AE11" i="2"/>
  <c r="AK10" i="2"/>
  <c r="AE10" i="2"/>
  <c r="AK9" i="2"/>
  <c r="AE9" i="2"/>
  <c r="AK8" i="2"/>
  <c r="AE8" i="2"/>
  <c r="U20" i="2"/>
  <c r="U19" i="2"/>
  <c r="AK7" i="2"/>
  <c r="AE7" i="2"/>
  <c r="U18" i="2"/>
  <c r="AK6" i="2"/>
  <c r="AE6" i="2"/>
  <c r="U17" i="2"/>
  <c r="U16" i="2"/>
  <c r="AK5" i="2"/>
  <c r="AE5" i="2"/>
  <c r="U15" i="2"/>
  <c r="AK4" i="2"/>
  <c r="AE4" i="2"/>
  <c r="U14" i="2"/>
  <c r="U13" i="2"/>
  <c r="U12" i="2"/>
  <c r="U11" i="2"/>
  <c r="U10" i="2"/>
  <c r="U9" i="2"/>
  <c r="U8" i="2"/>
  <c r="U7" i="2"/>
  <c r="U6" i="2"/>
  <c r="P20" i="2"/>
  <c r="P122" i="2"/>
  <c r="P124" i="2"/>
  <c r="P138" i="2"/>
  <c r="P146" i="2"/>
  <c r="P696" i="2"/>
  <c r="P692" i="2"/>
  <c r="P690" i="2"/>
  <c r="L632" i="2"/>
  <c r="L634" i="2"/>
  <c r="L636" i="2"/>
  <c r="L638" i="2"/>
  <c r="L640" i="2"/>
  <c r="L642" i="2"/>
  <c r="L644" i="2"/>
  <c r="L646" i="2"/>
  <c r="L648" i="2"/>
  <c r="L650" i="2"/>
  <c r="L652" i="2"/>
  <c r="L654" i="2"/>
  <c r="L656" i="2"/>
  <c r="L658" i="2"/>
  <c r="L660" i="2"/>
  <c r="L662" i="2"/>
  <c r="L664" i="2"/>
  <c r="L666" i="2"/>
  <c r="L668" i="2"/>
  <c r="L669" i="2"/>
  <c r="L671" i="2"/>
  <c r="L676" i="2"/>
  <c r="P632" i="2"/>
  <c r="P628" i="2"/>
  <c r="P626" i="2"/>
  <c r="P624" i="2"/>
  <c r="P622" i="2"/>
  <c r="P620" i="2"/>
  <c r="P618" i="2"/>
  <c r="P616" i="2"/>
  <c r="P614" i="2"/>
  <c r="P612" i="2"/>
  <c r="P610" i="2"/>
  <c r="P608" i="2"/>
  <c r="P606" i="2"/>
  <c r="P604" i="2"/>
  <c r="P602" i="2"/>
  <c r="P600" i="2"/>
  <c r="P598" i="2"/>
  <c r="P596" i="2"/>
  <c r="P594" i="2"/>
  <c r="P592" i="2"/>
  <c r="P590" i="2"/>
  <c r="P588" i="2"/>
  <c r="P368" i="2"/>
  <c r="P364" i="2"/>
  <c r="P362" i="2"/>
  <c r="P360" i="2"/>
  <c r="P358" i="2"/>
  <c r="P356" i="2"/>
  <c r="P354" i="2"/>
  <c r="P352" i="2"/>
  <c r="P350" i="2"/>
  <c r="P348" i="2"/>
  <c r="P346" i="2"/>
  <c r="P344" i="2"/>
  <c r="P342" i="2"/>
  <c r="P340" i="2"/>
  <c r="P338" i="2"/>
  <c r="P336" i="2"/>
  <c r="P334" i="2"/>
  <c r="P332" i="2"/>
  <c r="P330" i="2"/>
  <c r="P328" i="2"/>
  <c r="P326" i="2"/>
  <c r="P324" i="2"/>
  <c r="P64" i="2"/>
  <c r="P60" i="2"/>
  <c r="P58" i="2"/>
  <c r="P56" i="2"/>
  <c r="P54" i="2"/>
  <c r="P52" i="2"/>
  <c r="P50" i="2"/>
  <c r="P48" i="2"/>
  <c r="P46" i="2"/>
  <c r="P44" i="2"/>
  <c r="P42" i="2"/>
  <c r="P40" i="2"/>
  <c r="P38" i="2"/>
  <c r="P36" i="2"/>
  <c r="P34" i="2"/>
  <c r="P32" i="2"/>
  <c r="P30" i="2"/>
  <c r="P28" i="2"/>
  <c r="P26" i="2"/>
  <c r="P24" i="2"/>
  <c r="P22" i="2"/>
  <c r="L696" i="2"/>
  <c r="L692" i="2"/>
  <c r="L690" i="2"/>
  <c r="L687" i="2"/>
  <c r="L685" i="2"/>
  <c r="L684" i="2"/>
  <c r="L679" i="2"/>
  <c r="L677" i="2"/>
  <c r="L630" i="2"/>
  <c r="L628" i="2"/>
  <c r="L626" i="2"/>
  <c r="L624" i="2"/>
  <c r="L622" i="2"/>
  <c r="L620" i="2"/>
  <c r="L618" i="2"/>
  <c r="L616" i="2"/>
  <c r="L614" i="2"/>
  <c r="L612" i="2"/>
  <c r="L610" i="2"/>
  <c r="L608" i="2"/>
  <c r="L606" i="2"/>
  <c r="L604" i="2"/>
  <c r="L602" i="2"/>
  <c r="L600" i="2"/>
  <c r="L598" i="2"/>
  <c r="L596" i="2"/>
  <c r="L594" i="2"/>
  <c r="L592" i="2"/>
  <c r="L590" i="2"/>
  <c r="L588" i="2"/>
  <c r="L584" i="2"/>
  <c r="L580" i="2"/>
  <c r="L576" i="2"/>
  <c r="L572" i="2"/>
  <c r="L570" i="2"/>
  <c r="L568" i="2"/>
  <c r="L566" i="2"/>
  <c r="L564" i="2"/>
  <c r="L562" i="2"/>
  <c r="L560" i="2"/>
  <c r="L558" i="2"/>
  <c r="L556" i="2"/>
  <c r="L554" i="2"/>
  <c r="L552" i="2"/>
  <c r="L550" i="2"/>
  <c r="L548" i="2"/>
  <c r="L546" i="2"/>
  <c r="L544" i="2"/>
  <c r="L542" i="2"/>
  <c r="L540" i="2"/>
  <c r="L538" i="2"/>
  <c r="L536" i="2"/>
  <c r="L534" i="2"/>
  <c r="L532" i="2"/>
  <c r="L530" i="2"/>
  <c r="L524" i="2"/>
  <c r="L522" i="2"/>
  <c r="L520" i="2"/>
  <c r="L516" i="2"/>
  <c r="L514" i="2"/>
  <c r="L508" i="2"/>
  <c r="L506" i="2"/>
  <c r="L500" i="2"/>
  <c r="L498" i="2"/>
  <c r="L484" i="2"/>
  <c r="L482" i="2"/>
  <c r="L480" i="2"/>
  <c r="L478" i="2"/>
  <c r="L476" i="2"/>
  <c r="L474" i="2"/>
  <c r="L472" i="2"/>
  <c r="L470" i="2"/>
  <c r="L468" i="2"/>
  <c r="L466" i="2"/>
  <c r="L460" i="2"/>
  <c r="L458" i="2"/>
  <c r="L456" i="2"/>
  <c r="L452" i="2"/>
  <c r="L450" i="2"/>
  <c r="L444" i="2"/>
  <c r="L442" i="2"/>
  <c r="L436" i="2"/>
  <c r="L434" i="2"/>
  <c r="L428" i="2"/>
  <c r="L426" i="2"/>
  <c r="L423" i="2"/>
  <c r="L421" i="2"/>
  <c r="L420" i="2"/>
  <c r="L415" i="2"/>
  <c r="L413" i="2"/>
  <c r="L412" i="2"/>
  <c r="L407" i="2"/>
  <c r="L405" i="2"/>
  <c r="L404" i="2"/>
  <c r="L402" i="2"/>
  <c r="L400" i="2"/>
  <c r="L398" i="2"/>
  <c r="L396" i="2"/>
  <c r="L394" i="2"/>
  <c r="L392" i="2"/>
  <c r="L390" i="2"/>
  <c r="L388" i="2"/>
  <c r="L386" i="2"/>
  <c r="L384" i="2"/>
  <c r="L382" i="2"/>
  <c r="L380" i="2"/>
  <c r="L378" i="2"/>
  <c r="L376" i="2"/>
  <c r="L374" i="2"/>
  <c r="L372" i="2"/>
  <c r="L370" i="2"/>
  <c r="L368" i="2"/>
  <c r="L366" i="2"/>
  <c r="L364" i="2"/>
  <c r="L362" i="2"/>
  <c r="L360" i="2"/>
  <c r="L358" i="2"/>
  <c r="L356" i="2"/>
  <c r="L354" i="2"/>
  <c r="L352" i="2"/>
  <c r="L350" i="2"/>
  <c r="L348" i="2"/>
  <c r="L346" i="2"/>
  <c r="L344" i="2"/>
  <c r="L342" i="2"/>
  <c r="L340" i="2"/>
  <c r="L338" i="2"/>
  <c r="L336" i="2"/>
  <c r="L334" i="2"/>
  <c r="L332" i="2"/>
  <c r="L330" i="2"/>
  <c r="L328" i="2"/>
  <c r="L326" i="2"/>
  <c r="L324" i="2"/>
  <c r="L320" i="2"/>
  <c r="L316" i="2"/>
  <c r="L312" i="2"/>
  <c r="L308" i="2"/>
  <c r="L306" i="2"/>
  <c r="L304" i="2"/>
  <c r="L302" i="2"/>
  <c r="L300" i="2"/>
  <c r="L298" i="2"/>
  <c r="L296" i="2"/>
  <c r="L294" i="2"/>
  <c r="L292" i="2"/>
  <c r="L290" i="2"/>
  <c r="L288" i="2"/>
  <c r="L286" i="2"/>
  <c r="L284" i="2"/>
  <c r="L282" i="2"/>
  <c r="L280" i="2"/>
  <c r="L278" i="2"/>
  <c r="L276" i="2"/>
  <c r="L274" i="2"/>
  <c r="L272" i="2"/>
  <c r="L270" i="2"/>
  <c r="L268" i="2"/>
  <c r="L266" i="2"/>
  <c r="L260" i="2"/>
  <c r="L258" i="2"/>
  <c r="L256" i="2"/>
  <c r="L252" i="2"/>
  <c r="L250" i="2"/>
  <c r="L244" i="2"/>
  <c r="L242" i="2"/>
  <c r="L236" i="2"/>
  <c r="L234" i="2"/>
  <c r="L220" i="2"/>
  <c r="L218" i="2"/>
  <c r="L216" i="2"/>
  <c r="L214" i="2"/>
  <c r="L212" i="2"/>
  <c r="L210" i="2"/>
  <c r="L208" i="2"/>
  <c r="L206" i="2"/>
  <c r="L204" i="2"/>
  <c r="L202" i="2"/>
  <c r="L196" i="2"/>
  <c r="L194" i="2"/>
  <c r="L192" i="2"/>
  <c r="L188" i="2"/>
  <c r="L186" i="2"/>
  <c r="L180" i="2"/>
  <c r="L178" i="2"/>
  <c r="L172" i="2"/>
  <c r="L170" i="2"/>
  <c r="L146" i="2"/>
  <c r="L130" i="2"/>
  <c r="L124" i="2"/>
  <c r="L122" i="2"/>
  <c r="L119" i="2"/>
  <c r="L117" i="2"/>
  <c r="L116" i="2"/>
  <c r="L111" i="2"/>
  <c r="L109" i="2"/>
  <c r="L108" i="2"/>
  <c r="L103" i="2"/>
  <c r="L101" i="2"/>
  <c r="L100" i="2"/>
  <c r="L98" i="2"/>
  <c r="L96" i="2"/>
  <c r="L94" i="2"/>
  <c r="L92" i="2"/>
  <c r="L90" i="2"/>
  <c r="L88" i="2"/>
  <c r="L86" i="2"/>
  <c r="L84" i="2"/>
  <c r="L82" i="2"/>
  <c r="L80" i="2"/>
  <c r="L78" i="2"/>
  <c r="L76" i="2"/>
  <c r="L74" i="2"/>
  <c r="L72" i="2"/>
  <c r="L70" i="2"/>
  <c r="L68" i="2"/>
  <c r="L66" i="2"/>
  <c r="L64" i="2"/>
  <c r="L62" i="2"/>
  <c r="L60" i="2"/>
  <c r="L58" i="2"/>
  <c r="L56" i="2"/>
  <c r="L54" i="2"/>
  <c r="L52" i="2"/>
  <c r="L50" i="2"/>
  <c r="L48" i="2"/>
  <c r="L46" i="2"/>
  <c r="L44" i="2"/>
  <c r="L42" i="2"/>
  <c r="L40" i="2"/>
  <c r="L38" i="2"/>
  <c r="L36" i="2"/>
  <c r="L34" i="2"/>
  <c r="L32" i="2"/>
  <c r="L30" i="2"/>
  <c r="L28" i="2"/>
  <c r="L26" i="2"/>
  <c r="L24" i="2"/>
  <c r="L22" i="2"/>
  <c r="L20" i="2"/>
  <c r="H696" i="2"/>
  <c r="H692" i="2"/>
  <c r="H526" i="2"/>
  <c r="H522" i="2"/>
  <c r="H518" i="2"/>
  <c r="H516" i="2"/>
  <c r="H510" i="2"/>
  <c r="H502" i="2"/>
  <c r="H500" i="2"/>
  <c r="H494" i="2"/>
  <c r="H490" i="2"/>
  <c r="H486" i="2"/>
  <c r="H462" i="2"/>
  <c r="H458" i="2"/>
  <c r="H454" i="2"/>
  <c r="H446" i="2"/>
  <c r="H438" i="2"/>
  <c r="H428" i="2"/>
  <c r="H262" i="2"/>
  <c r="H258" i="2"/>
  <c r="H254" i="2"/>
  <c r="H252" i="2"/>
  <c r="H246" i="2"/>
  <c r="H238" i="2"/>
  <c r="H236" i="2"/>
  <c r="H230" i="2"/>
  <c r="H226" i="2"/>
  <c r="H222" i="2"/>
  <c r="H198" i="2"/>
  <c r="H194" i="2"/>
  <c r="H190" i="2"/>
  <c r="H182" i="2"/>
  <c r="H174" i="2"/>
  <c r="H156" i="2"/>
  <c r="H124" i="2"/>
  <c r="D696" i="2"/>
  <c r="D692" i="2"/>
  <c r="D691" i="2"/>
  <c r="D690" i="2"/>
  <c r="D688" i="2"/>
  <c r="D683" i="2"/>
  <c r="D682" i="2"/>
  <c r="D680" i="2"/>
  <c r="D674" i="2"/>
  <c r="D672" i="2"/>
  <c r="D660" i="2"/>
  <c r="D659" i="2"/>
  <c r="D658" i="2"/>
  <c r="D656" i="2"/>
  <c r="D655" i="2"/>
  <c r="D653" i="2"/>
  <c r="D652" i="2"/>
  <c r="D650" i="2"/>
  <c r="D648" i="2"/>
  <c r="D647" i="2"/>
  <c r="D645" i="2"/>
  <c r="D644" i="2"/>
  <c r="D642" i="2"/>
  <c r="D640" i="2"/>
  <c r="D639" i="2"/>
  <c r="D637" i="2"/>
  <c r="D636" i="2"/>
  <c r="D628" i="2"/>
  <c r="D627" i="2"/>
  <c r="D626" i="2"/>
  <c r="D624" i="2"/>
  <c r="D623" i="2"/>
  <c r="D621" i="2"/>
  <c r="D620" i="2"/>
  <c r="D616" i="2"/>
  <c r="D615" i="2"/>
  <c r="D613" i="2"/>
  <c r="D612" i="2"/>
  <c r="D610" i="2"/>
  <c r="D608" i="2"/>
  <c r="D607" i="2"/>
  <c r="D605" i="2"/>
  <c r="D604" i="2"/>
  <c r="D596" i="2"/>
  <c r="D595" i="2"/>
  <c r="D594" i="2"/>
  <c r="D592" i="2"/>
  <c r="D591" i="2"/>
  <c r="D589" i="2"/>
  <c r="D588" i="2"/>
  <c r="D586" i="2"/>
  <c r="D584" i="2"/>
  <c r="D583" i="2"/>
  <c r="D581" i="2"/>
  <c r="D580" i="2"/>
  <c r="D578" i="2"/>
  <c r="D576" i="2"/>
  <c r="D575" i="2"/>
  <c r="D573" i="2"/>
  <c r="D572" i="2"/>
  <c r="D568" i="2"/>
  <c r="D566" i="2"/>
  <c r="D564" i="2"/>
  <c r="D562" i="2"/>
  <c r="D560" i="2"/>
  <c r="D558" i="2"/>
  <c r="D556" i="2"/>
  <c r="D554" i="2"/>
  <c r="D552" i="2"/>
  <c r="D550" i="2"/>
  <c r="D548" i="2"/>
  <c r="D546" i="2"/>
  <c r="D544" i="2"/>
  <c r="D542" i="2"/>
  <c r="D540" i="2"/>
  <c r="D538" i="2"/>
  <c r="D536" i="2"/>
  <c r="D534" i="2"/>
  <c r="D532" i="2"/>
  <c r="D530" i="2"/>
  <c r="D526" i="2"/>
  <c r="D524" i="2"/>
  <c r="D522" i="2"/>
  <c r="D520" i="2"/>
  <c r="D518" i="2"/>
  <c r="D516" i="2"/>
  <c r="D514" i="2"/>
  <c r="D510" i="2"/>
  <c r="D508" i="2"/>
  <c r="D506" i="2"/>
  <c r="D502" i="2"/>
  <c r="D500" i="2"/>
  <c r="D498" i="2"/>
  <c r="D494" i="2"/>
  <c r="D490" i="2"/>
  <c r="D486" i="2"/>
  <c r="D484" i="2"/>
  <c r="D482" i="2"/>
  <c r="D480" i="2"/>
  <c r="D478" i="2"/>
  <c r="D476" i="2"/>
  <c r="D474" i="2"/>
  <c r="D472" i="2"/>
  <c r="D470" i="2"/>
  <c r="D468" i="2"/>
  <c r="D466" i="2"/>
  <c r="D462" i="2"/>
  <c r="D460" i="2"/>
  <c r="D458" i="2"/>
  <c r="D456" i="2"/>
  <c r="D454" i="2"/>
  <c r="D452" i="2"/>
  <c r="D450" i="2"/>
  <c r="D446" i="2"/>
  <c r="D444" i="2"/>
  <c r="D442" i="2"/>
  <c r="D438" i="2"/>
  <c r="D436" i="2"/>
  <c r="D434" i="2"/>
  <c r="D428" i="2"/>
  <c r="D427" i="2"/>
  <c r="D426" i="2"/>
  <c r="D424" i="2"/>
  <c r="D419" i="2"/>
  <c r="D418" i="2"/>
  <c r="D416" i="2"/>
  <c r="D410" i="2"/>
  <c r="D408" i="2"/>
  <c r="D396" i="2"/>
  <c r="D395" i="2"/>
  <c r="D394" i="2"/>
  <c r="D392" i="2"/>
  <c r="D391" i="2"/>
  <c r="D389" i="2"/>
  <c r="D388" i="2"/>
  <c r="D386" i="2"/>
  <c r="D384" i="2"/>
  <c r="D383" i="2"/>
  <c r="D381" i="2"/>
  <c r="D380" i="2"/>
  <c r="D378" i="2"/>
  <c r="D376" i="2"/>
  <c r="D375" i="2"/>
  <c r="D373" i="2"/>
  <c r="D372" i="2"/>
  <c r="D364" i="2"/>
  <c r="D363" i="2"/>
  <c r="D362" i="2"/>
  <c r="D360" i="2"/>
  <c r="D359" i="2"/>
  <c r="D357" i="2"/>
  <c r="D356" i="2"/>
  <c r="D352" i="2"/>
  <c r="D351" i="2"/>
  <c r="D349" i="2"/>
  <c r="D348" i="2"/>
  <c r="D346" i="2"/>
  <c r="D344" i="2"/>
  <c r="D343" i="2"/>
  <c r="D341" i="2"/>
  <c r="D340" i="2"/>
  <c r="D332" i="2"/>
  <c r="D331" i="2"/>
  <c r="D330" i="2"/>
  <c r="D328" i="2"/>
  <c r="D327" i="2"/>
  <c r="D325" i="2"/>
  <c r="D324" i="2"/>
  <c r="D322" i="2"/>
  <c r="D320" i="2"/>
  <c r="D319" i="2"/>
  <c r="D317" i="2"/>
  <c r="D316" i="2"/>
  <c r="D314" i="2"/>
  <c r="D312" i="2"/>
  <c r="D311" i="2"/>
  <c r="D309" i="2"/>
  <c r="D308" i="2"/>
  <c r="D304" i="2"/>
  <c r="D302" i="2"/>
  <c r="D300" i="2"/>
  <c r="D298" i="2"/>
  <c r="D296" i="2"/>
  <c r="D294" i="2"/>
  <c r="D292" i="2"/>
  <c r="D290" i="2"/>
  <c r="D288" i="2"/>
  <c r="D286" i="2"/>
  <c r="D284" i="2"/>
  <c r="D282" i="2"/>
  <c r="D280" i="2"/>
  <c r="D278" i="2"/>
  <c r="D276" i="2"/>
  <c r="D274" i="2"/>
  <c r="D272" i="2"/>
  <c r="D270" i="2"/>
  <c r="D268" i="2"/>
  <c r="D266" i="2"/>
  <c r="D262" i="2"/>
  <c r="D260" i="2"/>
  <c r="D258" i="2"/>
  <c r="D256" i="2"/>
  <c r="D254" i="2"/>
  <c r="D252" i="2"/>
  <c r="D250" i="2"/>
  <c r="D246" i="2"/>
  <c r="D244" i="2"/>
  <c r="D242" i="2"/>
  <c r="D238" i="2"/>
  <c r="D236" i="2"/>
  <c r="D234" i="2"/>
  <c r="D230" i="2"/>
  <c r="D226" i="2"/>
  <c r="D222" i="2"/>
  <c r="D220" i="2"/>
  <c r="D218" i="2"/>
  <c r="D216" i="2"/>
  <c r="D214" i="2"/>
  <c r="D212" i="2"/>
  <c r="D210" i="2"/>
  <c r="D208" i="2"/>
  <c r="D206" i="2"/>
  <c r="D204" i="2"/>
  <c r="D202" i="2"/>
  <c r="D198" i="2"/>
  <c r="D196" i="2"/>
  <c r="D194" i="2"/>
  <c r="D192" i="2"/>
  <c r="D190" i="2"/>
  <c r="D188" i="2"/>
  <c r="D186" i="2"/>
  <c r="D182" i="2"/>
  <c r="D180" i="2"/>
  <c r="D178" i="2"/>
  <c r="D174" i="2"/>
  <c r="D172" i="2"/>
  <c r="D170" i="2"/>
  <c r="D156" i="2"/>
  <c r="D154" i="2"/>
  <c r="D148" i="2"/>
  <c r="D140" i="2"/>
  <c r="D132" i="2"/>
  <c r="D124" i="2"/>
  <c r="D123" i="2"/>
  <c r="D122" i="2"/>
  <c r="D120" i="2"/>
  <c r="D115" i="2"/>
  <c r="D114" i="2"/>
  <c r="D112" i="2"/>
  <c r="D106" i="2"/>
  <c r="D104" i="2"/>
  <c r="D92" i="2"/>
  <c r="D91" i="2"/>
  <c r="D90" i="2"/>
  <c r="D88" i="2"/>
  <c r="D87" i="2"/>
  <c r="D85" i="2"/>
  <c r="D84" i="2"/>
  <c r="D82" i="2"/>
  <c r="D80" i="2"/>
  <c r="D79" i="2"/>
  <c r="D77" i="2"/>
  <c r="D76" i="2"/>
  <c r="D74" i="2"/>
  <c r="D72" i="2"/>
  <c r="D71" i="2"/>
  <c r="D69" i="2"/>
  <c r="D68" i="2"/>
  <c r="D60" i="2"/>
  <c r="D59" i="2"/>
  <c r="D58" i="2"/>
  <c r="D56" i="2"/>
  <c r="D55" i="2"/>
  <c r="D53" i="2"/>
  <c r="D52" i="2"/>
  <c r="D48" i="2"/>
  <c r="D47" i="2"/>
  <c r="D45" i="2"/>
  <c r="D44" i="2"/>
  <c r="D42" i="2"/>
  <c r="D40" i="2"/>
  <c r="D39" i="2"/>
  <c r="D37" i="2"/>
  <c r="D36" i="2"/>
  <c r="D28" i="2"/>
  <c r="D27" i="2"/>
  <c r="D26" i="2"/>
  <c r="D24" i="2"/>
  <c r="D23" i="2"/>
  <c r="D21" i="2"/>
  <c r="D20" i="2"/>
  <c r="D18" i="2"/>
  <c r="D16" i="2"/>
  <c r="D15" i="2"/>
  <c r="D13" i="2"/>
  <c r="D12" i="2"/>
  <c r="D10" i="2"/>
  <c r="D8" i="2"/>
  <c r="D7" i="2"/>
  <c r="D5" i="2"/>
  <c r="D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BY23" i="3"/>
  <c r="BY22" i="3"/>
  <c r="BY21" i="3"/>
  <c r="BY20" i="3"/>
  <c r="BY18" i="3"/>
  <c r="BY17" i="3"/>
  <c r="BY16" i="3"/>
  <c r="BY15" i="3"/>
  <c r="BV23" i="3"/>
  <c r="BV22" i="3"/>
  <c r="BV21" i="3"/>
  <c r="BV20" i="3"/>
  <c r="BV18" i="3"/>
  <c r="BV17" i="3"/>
  <c r="BV16" i="3"/>
  <c r="BV15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T311" i="3"/>
  <c r="AT312" i="3"/>
  <c r="AT316" i="3"/>
  <c r="AT317" i="3"/>
  <c r="AT318" i="3"/>
  <c r="AT322" i="3"/>
  <c r="AT323" i="3"/>
  <c r="AT326" i="3"/>
  <c r="AT329" i="3"/>
  <c r="AT330" i="3"/>
  <c r="AU321" i="3"/>
  <c r="AV321" i="3"/>
  <c r="AU324" i="3"/>
  <c r="AV312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AE311" i="3"/>
  <c r="AE312" i="3"/>
  <c r="AE315" i="3"/>
  <c r="AE316" i="3"/>
  <c r="AE317" i="3"/>
  <c r="AE318" i="3"/>
  <c r="AU312" i="3"/>
  <c r="AJ311" i="3"/>
  <c r="AS330" i="3"/>
  <c r="AN330" i="3"/>
  <c r="Y330" i="3"/>
  <c r="AS329" i="3"/>
  <c r="AN329" i="3"/>
  <c r="Y329" i="3"/>
  <c r="AN328" i="3"/>
  <c r="Y328" i="3"/>
  <c r="AN327" i="3"/>
  <c r="Y327" i="3"/>
  <c r="AS326" i="3"/>
  <c r="AN326" i="3"/>
  <c r="Y326" i="3"/>
  <c r="AN325" i="3"/>
  <c r="Y325" i="3"/>
  <c r="AN324" i="3"/>
  <c r="Y324" i="3"/>
  <c r="AS323" i="3"/>
  <c r="AN323" i="3"/>
  <c r="Y323" i="3"/>
  <c r="AS322" i="3"/>
  <c r="AN322" i="3"/>
  <c r="Y322" i="3"/>
  <c r="AN321" i="3"/>
  <c r="Y321" i="3"/>
  <c r="AN320" i="3"/>
  <c r="Y320" i="3"/>
  <c r="AN319" i="3"/>
  <c r="Y319" i="3"/>
  <c r="AS318" i="3"/>
  <c r="AN318" i="3"/>
  <c r="AD318" i="3"/>
  <c r="Y318" i="3"/>
  <c r="AS317" i="3"/>
  <c r="AN317" i="3"/>
  <c r="AD317" i="3"/>
  <c r="Y317" i="3"/>
  <c r="AS316" i="3"/>
  <c r="AN316" i="3"/>
  <c r="AD316" i="3"/>
  <c r="Y316" i="3"/>
  <c r="AN315" i="3"/>
  <c r="AJ315" i="3"/>
  <c r="AI315" i="3"/>
  <c r="AD315" i="3"/>
  <c r="Y315" i="3"/>
  <c r="AN314" i="3"/>
  <c r="Y314" i="3"/>
  <c r="AN313" i="3"/>
  <c r="Y313" i="3"/>
  <c r="AU315" i="3"/>
  <c r="AS312" i="3"/>
  <c r="AN312" i="3"/>
  <c r="AJ312" i="3"/>
  <c r="AI312" i="3"/>
  <c r="AD312" i="3"/>
  <c r="Y312" i="3"/>
  <c r="AS311" i="3"/>
  <c r="AN311" i="3"/>
  <c r="AI311" i="3"/>
  <c r="AD311" i="3"/>
  <c r="Y311" i="3"/>
  <c r="AN310" i="3"/>
  <c r="Y310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T265" i="3"/>
  <c r="AT266" i="3"/>
  <c r="AT268" i="3"/>
  <c r="AT271" i="3"/>
  <c r="AT273" i="3"/>
  <c r="AT276" i="3"/>
  <c r="AT277" i="3"/>
  <c r="AT278" i="3"/>
  <c r="AT279" i="3"/>
  <c r="AT280" i="3"/>
  <c r="AT288" i="3"/>
  <c r="AT290" i="3"/>
  <c r="AT291" i="3"/>
  <c r="AT293" i="3"/>
  <c r="AT296" i="3"/>
  <c r="AT302" i="3"/>
  <c r="AT303" i="3"/>
  <c r="AT304" i="3"/>
  <c r="AU275" i="3"/>
  <c r="AV266" i="3"/>
  <c r="AV275" i="3"/>
  <c r="AV187" i="3"/>
  <c r="AV178" i="3"/>
  <c r="AU278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AE265" i="3"/>
  <c r="AE266" i="3"/>
  <c r="AE268" i="3"/>
  <c r="AE271" i="3"/>
  <c r="AE274" i="3"/>
  <c r="AE276" i="3"/>
  <c r="AE277" i="3"/>
  <c r="AE278" i="3"/>
  <c r="AE279" i="3"/>
  <c r="AE280" i="3"/>
  <c r="AE281" i="3"/>
  <c r="AE289" i="3"/>
  <c r="AE291" i="3"/>
  <c r="AE297" i="3"/>
  <c r="AE305" i="3"/>
  <c r="AU266" i="3"/>
  <c r="AJ268" i="3"/>
  <c r="AJ289" i="3"/>
  <c r="AJ291" i="3"/>
  <c r="AJ305" i="3"/>
  <c r="AI305" i="3"/>
  <c r="AD305" i="3"/>
  <c r="Y305" i="3"/>
  <c r="AS304" i="3"/>
  <c r="AN304" i="3"/>
  <c r="Y304" i="3"/>
  <c r="AS303" i="3"/>
  <c r="AN303" i="3"/>
  <c r="Y303" i="3"/>
  <c r="AS302" i="3"/>
  <c r="AN302" i="3"/>
  <c r="Y302" i="3"/>
  <c r="AN301" i="3"/>
  <c r="Y301" i="3"/>
  <c r="AN300" i="3"/>
  <c r="Y300" i="3"/>
  <c r="AN299" i="3"/>
  <c r="Y299" i="3"/>
  <c r="AN298" i="3"/>
  <c r="Y298" i="3"/>
  <c r="AN297" i="3"/>
  <c r="AJ297" i="3"/>
  <c r="AI297" i="3"/>
  <c r="AD297" i="3"/>
  <c r="Y297" i="3"/>
  <c r="AS296" i="3"/>
  <c r="AN296" i="3"/>
  <c r="Y296" i="3"/>
  <c r="AN295" i="3"/>
  <c r="Y295" i="3"/>
  <c r="AN294" i="3"/>
  <c r="Y294" i="3"/>
  <c r="AS293" i="3"/>
  <c r="AN293" i="3"/>
  <c r="Y293" i="3"/>
  <c r="AN292" i="3"/>
  <c r="Y292" i="3"/>
  <c r="AS291" i="3"/>
  <c r="AN291" i="3"/>
  <c r="AI291" i="3"/>
  <c r="AD291" i="3"/>
  <c r="Y291" i="3"/>
  <c r="AS290" i="3"/>
  <c r="AN290" i="3"/>
  <c r="Y290" i="3"/>
  <c r="AN289" i="3"/>
  <c r="AI289" i="3"/>
  <c r="AD289" i="3"/>
  <c r="Y289" i="3"/>
  <c r="AS288" i="3"/>
  <c r="AN288" i="3"/>
  <c r="Y288" i="3"/>
  <c r="AN287" i="3"/>
  <c r="Y287" i="3"/>
  <c r="AN286" i="3"/>
  <c r="Y286" i="3"/>
  <c r="AN285" i="3"/>
  <c r="Y285" i="3"/>
  <c r="AN284" i="3"/>
  <c r="Y284" i="3"/>
  <c r="AN283" i="3"/>
  <c r="Y283" i="3"/>
  <c r="AN282" i="3"/>
  <c r="Y282" i="3"/>
  <c r="AN281" i="3"/>
  <c r="AD281" i="3"/>
  <c r="Y281" i="3"/>
  <c r="AS280" i="3"/>
  <c r="AN280" i="3"/>
  <c r="AD280" i="3"/>
  <c r="Y280" i="3"/>
  <c r="AS279" i="3"/>
  <c r="AN279" i="3"/>
  <c r="AD279" i="3"/>
  <c r="Y279" i="3"/>
  <c r="AS278" i="3"/>
  <c r="AN278" i="3"/>
  <c r="AD278" i="3"/>
  <c r="Y278" i="3"/>
  <c r="AS277" i="3"/>
  <c r="AN277" i="3"/>
  <c r="AD277" i="3"/>
  <c r="Y277" i="3"/>
  <c r="AS276" i="3"/>
  <c r="AN276" i="3"/>
  <c r="AD276" i="3"/>
  <c r="Y276" i="3"/>
  <c r="AN275" i="3"/>
  <c r="Y275" i="3"/>
  <c r="AN274" i="3"/>
  <c r="AJ274" i="3"/>
  <c r="AI274" i="3"/>
  <c r="AD274" i="3"/>
  <c r="Y274" i="3"/>
  <c r="AS273" i="3"/>
  <c r="AN273" i="3"/>
  <c r="Y273" i="3"/>
  <c r="AN272" i="3"/>
  <c r="Y272" i="3"/>
  <c r="AS271" i="3"/>
  <c r="AN271" i="3"/>
  <c r="AJ271" i="3"/>
  <c r="AI271" i="3"/>
  <c r="AD271" i="3"/>
  <c r="Y271" i="3"/>
  <c r="AN270" i="3"/>
  <c r="Y270" i="3"/>
  <c r="AN269" i="3"/>
  <c r="Y269" i="3"/>
  <c r="AS268" i="3"/>
  <c r="AN268" i="3"/>
  <c r="AI268" i="3"/>
  <c r="AD268" i="3"/>
  <c r="Y268" i="3"/>
  <c r="AN267" i="3"/>
  <c r="Y267" i="3"/>
  <c r="AJ265" i="3"/>
  <c r="AJ266" i="3"/>
  <c r="AU269" i="3"/>
  <c r="AS266" i="3"/>
  <c r="AN266" i="3"/>
  <c r="AI266" i="3"/>
  <c r="AD266" i="3"/>
  <c r="Y266" i="3"/>
  <c r="AS265" i="3"/>
  <c r="AN265" i="3"/>
  <c r="AI265" i="3"/>
  <c r="AD265" i="3"/>
  <c r="Y265" i="3"/>
  <c r="AN264" i="3"/>
  <c r="Y264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AE178" i="3"/>
  <c r="AE179" i="3"/>
  <c r="AE180" i="3"/>
  <c r="AE183" i="3"/>
  <c r="AE184" i="3"/>
  <c r="AE185" i="3"/>
  <c r="AE189" i="3"/>
  <c r="AE190" i="3"/>
  <c r="AE196" i="3"/>
  <c r="AE200" i="3"/>
  <c r="AE201" i="3"/>
  <c r="AE202" i="3"/>
  <c r="AE203" i="3"/>
  <c r="AE204" i="3"/>
  <c r="AE205" i="3"/>
  <c r="AE206" i="3"/>
  <c r="AE207" i="3"/>
  <c r="AE208" i="3"/>
  <c r="AE209" i="3"/>
  <c r="AE210" i="3"/>
  <c r="AE225" i="3"/>
  <c r="AE226" i="3"/>
  <c r="AE227" i="3"/>
  <c r="AE229" i="3"/>
  <c r="AE230" i="3"/>
  <c r="AE231" i="3"/>
  <c r="AE237" i="3"/>
  <c r="AE241" i="3"/>
  <c r="AE242" i="3"/>
  <c r="AE257" i="3"/>
  <c r="AE258" i="3"/>
  <c r="AE259" i="3"/>
  <c r="AJ178" i="3"/>
  <c r="AJ179" i="3"/>
  <c r="AJ180" i="3"/>
  <c r="AJ183" i="3"/>
  <c r="AJ184" i="3"/>
  <c r="AJ185" i="3"/>
  <c r="AJ189" i="3"/>
  <c r="AJ190" i="3"/>
  <c r="AJ196" i="3"/>
  <c r="AJ225" i="3"/>
  <c r="AJ226" i="3"/>
  <c r="AJ227" i="3"/>
  <c r="AJ229" i="3"/>
  <c r="AJ230" i="3"/>
  <c r="AJ231" i="3"/>
  <c r="AJ237" i="3"/>
  <c r="AJ241" i="3"/>
  <c r="AJ242" i="3"/>
  <c r="AJ257" i="3"/>
  <c r="AJ258" i="3"/>
  <c r="AJ259" i="3"/>
  <c r="AU178" i="3"/>
  <c r="AU181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T178" i="3"/>
  <c r="AT179" i="3"/>
  <c r="AT180" i="3"/>
  <c r="AT183" i="3"/>
  <c r="AT184" i="3"/>
  <c r="AT185" i="3"/>
  <c r="AT189" i="3"/>
  <c r="AT190" i="3"/>
  <c r="AT194" i="3"/>
  <c r="AT195" i="3"/>
  <c r="AT199" i="3"/>
  <c r="AT200" i="3"/>
  <c r="AT201" i="3"/>
  <c r="AT202" i="3"/>
  <c r="AT203" i="3"/>
  <c r="AT204" i="3"/>
  <c r="AT205" i="3"/>
  <c r="AT206" i="3"/>
  <c r="AT207" i="3"/>
  <c r="AT208" i="3"/>
  <c r="AT223" i="3"/>
  <c r="AT224" i="3"/>
  <c r="AT225" i="3"/>
  <c r="AT228" i="3"/>
  <c r="AT229" i="3"/>
  <c r="AT230" i="3"/>
  <c r="AT234" i="3"/>
  <c r="AT235" i="3"/>
  <c r="AT239" i="3"/>
  <c r="AT240" i="3"/>
  <c r="AT252" i="3"/>
  <c r="AT253" i="3"/>
  <c r="AT254" i="3"/>
  <c r="AT255" i="3"/>
  <c r="AT256" i="3"/>
  <c r="AT257" i="3"/>
  <c r="AU187" i="3"/>
  <c r="AI259" i="3"/>
  <c r="AD259" i="3"/>
  <c r="Y259" i="3"/>
  <c r="AI258" i="3"/>
  <c r="AD258" i="3"/>
  <c r="Y258" i="3"/>
  <c r="AS257" i="3"/>
  <c r="AN257" i="3"/>
  <c r="AI257" i="3"/>
  <c r="AD257" i="3"/>
  <c r="Y257" i="3"/>
  <c r="AS256" i="3"/>
  <c r="AN256" i="3"/>
  <c r="Y256" i="3"/>
  <c r="AS255" i="3"/>
  <c r="AN255" i="3"/>
  <c r="Y255" i="3"/>
  <c r="AS254" i="3"/>
  <c r="AN254" i="3"/>
  <c r="Y254" i="3"/>
  <c r="AS253" i="3"/>
  <c r="AN253" i="3"/>
  <c r="Y253" i="3"/>
  <c r="AS252" i="3"/>
  <c r="AN252" i="3"/>
  <c r="Y252" i="3"/>
  <c r="AN251" i="3"/>
  <c r="Y251" i="3"/>
  <c r="AN250" i="3"/>
  <c r="Y250" i="3"/>
  <c r="AN249" i="3"/>
  <c r="Y249" i="3"/>
  <c r="AN248" i="3"/>
  <c r="Y248" i="3"/>
  <c r="AN247" i="3"/>
  <c r="Y247" i="3"/>
  <c r="AN246" i="3"/>
  <c r="Y246" i="3"/>
  <c r="AN245" i="3"/>
  <c r="Y245" i="3"/>
  <c r="AN244" i="3"/>
  <c r="Y244" i="3"/>
  <c r="AN243" i="3"/>
  <c r="Y243" i="3"/>
  <c r="AN242" i="3"/>
  <c r="AI242" i="3"/>
  <c r="AD242" i="3"/>
  <c r="Y242" i="3"/>
  <c r="AN241" i="3"/>
  <c r="AI241" i="3"/>
  <c r="AD241" i="3"/>
  <c r="Y241" i="3"/>
  <c r="AS240" i="3"/>
  <c r="AN240" i="3"/>
  <c r="Y240" i="3"/>
  <c r="AS239" i="3"/>
  <c r="AN239" i="3"/>
  <c r="Y239" i="3"/>
  <c r="AN238" i="3"/>
  <c r="Y238" i="3"/>
  <c r="AN237" i="3"/>
  <c r="AI237" i="3"/>
  <c r="AD237" i="3"/>
  <c r="Y237" i="3"/>
  <c r="AN236" i="3"/>
  <c r="Y236" i="3"/>
  <c r="AS235" i="3"/>
  <c r="AN235" i="3"/>
  <c r="Y235" i="3"/>
  <c r="AS234" i="3"/>
  <c r="AN234" i="3"/>
  <c r="Y234" i="3"/>
  <c r="AN233" i="3"/>
  <c r="Y233" i="3"/>
  <c r="AN232" i="3"/>
  <c r="Y232" i="3"/>
  <c r="AN231" i="3"/>
  <c r="AI231" i="3"/>
  <c r="AD231" i="3"/>
  <c r="Y231" i="3"/>
  <c r="AS230" i="3"/>
  <c r="AN230" i="3"/>
  <c r="AI230" i="3"/>
  <c r="AD230" i="3"/>
  <c r="Y230" i="3"/>
  <c r="AS229" i="3"/>
  <c r="AN229" i="3"/>
  <c r="AI229" i="3"/>
  <c r="AD229" i="3"/>
  <c r="Y229" i="3"/>
  <c r="AS228" i="3"/>
  <c r="AN228" i="3"/>
  <c r="Y228" i="3"/>
  <c r="AN227" i="3"/>
  <c r="AI227" i="3"/>
  <c r="AD227" i="3"/>
  <c r="Y227" i="3"/>
  <c r="AN226" i="3"/>
  <c r="AI226" i="3"/>
  <c r="AD226" i="3"/>
  <c r="Y226" i="3"/>
  <c r="AS225" i="3"/>
  <c r="AN225" i="3"/>
  <c r="AI225" i="3"/>
  <c r="AD225" i="3"/>
  <c r="Y225" i="3"/>
  <c r="AS224" i="3"/>
  <c r="AN224" i="3"/>
  <c r="Y224" i="3"/>
  <c r="AS223" i="3"/>
  <c r="AN223" i="3"/>
  <c r="Y223" i="3"/>
  <c r="AN222" i="3"/>
  <c r="Y222" i="3"/>
  <c r="AN221" i="3"/>
  <c r="Y221" i="3"/>
  <c r="AN220" i="3"/>
  <c r="Y220" i="3"/>
  <c r="AN219" i="3"/>
  <c r="Y219" i="3"/>
  <c r="AN218" i="3"/>
  <c r="Y218" i="3"/>
  <c r="AN217" i="3"/>
  <c r="Y217" i="3"/>
  <c r="AN216" i="3"/>
  <c r="Y216" i="3"/>
  <c r="AN215" i="3"/>
  <c r="Y215" i="3"/>
  <c r="AN214" i="3"/>
  <c r="Y214" i="3"/>
  <c r="AN213" i="3"/>
  <c r="Y213" i="3"/>
  <c r="AN212" i="3"/>
  <c r="Y212" i="3"/>
  <c r="AN211" i="3"/>
  <c r="Y211" i="3"/>
  <c r="AN210" i="3"/>
  <c r="AD210" i="3"/>
  <c r="Y210" i="3"/>
  <c r="AN209" i="3"/>
  <c r="AD209" i="3"/>
  <c r="Y209" i="3"/>
  <c r="AS208" i="3"/>
  <c r="AN208" i="3"/>
  <c r="AD208" i="3"/>
  <c r="Y208" i="3"/>
  <c r="AS207" i="3"/>
  <c r="AN207" i="3"/>
  <c r="AD207" i="3"/>
  <c r="Y207" i="3"/>
  <c r="AS206" i="3"/>
  <c r="AN206" i="3"/>
  <c r="AD206" i="3"/>
  <c r="Y206" i="3"/>
  <c r="AS205" i="3"/>
  <c r="AN205" i="3"/>
  <c r="AD205" i="3"/>
  <c r="Y205" i="3"/>
  <c r="AS204" i="3"/>
  <c r="AN204" i="3"/>
  <c r="AD204" i="3"/>
  <c r="Y204" i="3"/>
  <c r="AS203" i="3"/>
  <c r="AN203" i="3"/>
  <c r="AD203" i="3"/>
  <c r="Y203" i="3"/>
  <c r="AS202" i="3"/>
  <c r="AN202" i="3"/>
  <c r="AD202" i="3"/>
  <c r="Y202" i="3"/>
  <c r="AS201" i="3"/>
  <c r="AN201" i="3"/>
  <c r="AD201" i="3"/>
  <c r="Y201" i="3"/>
  <c r="AS200" i="3"/>
  <c r="AN200" i="3"/>
  <c r="AD200" i="3"/>
  <c r="Y200" i="3"/>
  <c r="AS199" i="3"/>
  <c r="AN199" i="3"/>
  <c r="Y199" i="3"/>
  <c r="AN198" i="3"/>
  <c r="Y198" i="3"/>
  <c r="AN197" i="3"/>
  <c r="Y197" i="3"/>
  <c r="AN196" i="3"/>
  <c r="AI196" i="3"/>
  <c r="AD196" i="3"/>
  <c r="Y196" i="3"/>
  <c r="AS195" i="3"/>
  <c r="AN195" i="3"/>
  <c r="Y195" i="3"/>
  <c r="AS194" i="3"/>
  <c r="AN194" i="3"/>
  <c r="Y194" i="3"/>
  <c r="AN193" i="3"/>
  <c r="Y193" i="3"/>
  <c r="AN192" i="3"/>
  <c r="Y192" i="3"/>
  <c r="AN191" i="3"/>
  <c r="Y191" i="3"/>
  <c r="AS190" i="3"/>
  <c r="AN190" i="3"/>
  <c r="AI190" i="3"/>
  <c r="AD190" i="3"/>
  <c r="Y190" i="3"/>
  <c r="AS189" i="3"/>
  <c r="AN189" i="3"/>
  <c r="AI189" i="3"/>
  <c r="AD189" i="3"/>
  <c r="Y189" i="3"/>
  <c r="AN188" i="3"/>
  <c r="Y188" i="3"/>
  <c r="AN187" i="3"/>
  <c r="Y187" i="3"/>
  <c r="AN186" i="3"/>
  <c r="Y186" i="3"/>
  <c r="AS185" i="3"/>
  <c r="AN185" i="3"/>
  <c r="AI185" i="3"/>
  <c r="AD185" i="3"/>
  <c r="Y185" i="3"/>
  <c r="AS184" i="3"/>
  <c r="AN184" i="3"/>
  <c r="AI184" i="3"/>
  <c r="AD184" i="3"/>
  <c r="Y184" i="3"/>
  <c r="AU190" i="3"/>
  <c r="AS183" i="3"/>
  <c r="AN183" i="3"/>
  <c r="AI183" i="3"/>
  <c r="AD183" i="3"/>
  <c r="Y183" i="3"/>
  <c r="AN182" i="3"/>
  <c r="Y182" i="3"/>
  <c r="AN181" i="3"/>
  <c r="Y181" i="3"/>
  <c r="AS180" i="3"/>
  <c r="AN180" i="3"/>
  <c r="AI180" i="3"/>
  <c r="AD180" i="3"/>
  <c r="Y180" i="3"/>
  <c r="AS179" i="3"/>
  <c r="AN179" i="3"/>
  <c r="AI179" i="3"/>
  <c r="AD179" i="3"/>
  <c r="Y179" i="3"/>
  <c r="AS178" i="3"/>
  <c r="AN178" i="3"/>
  <c r="AI178" i="3"/>
  <c r="AD178" i="3"/>
  <c r="Y178" i="3"/>
  <c r="AN177" i="3"/>
  <c r="Y177" i="3"/>
  <c r="AN176" i="3"/>
  <c r="Y176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T8" i="3"/>
  <c r="AT9" i="3"/>
  <c r="AT10" i="3"/>
  <c r="AT11" i="3"/>
  <c r="AT12" i="3"/>
  <c r="AT13" i="3"/>
  <c r="AT17" i="3"/>
  <c r="AT18" i="3"/>
  <c r="AT19" i="3"/>
  <c r="AT20" i="3"/>
  <c r="AT21" i="3"/>
  <c r="AT22" i="3"/>
  <c r="AT30" i="3"/>
  <c r="AT31" i="3"/>
  <c r="AT32" i="3"/>
  <c r="AT40" i="3"/>
  <c r="AT41" i="3"/>
  <c r="AT4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98" i="3"/>
  <c r="AT99" i="3"/>
  <c r="AT100" i="3"/>
  <c r="AT101" i="3"/>
  <c r="AT102" i="3"/>
  <c r="AT103" i="3"/>
  <c r="AT107" i="3"/>
  <c r="AT108" i="3"/>
  <c r="AT109" i="3"/>
  <c r="AT110" i="3"/>
  <c r="AT111" i="3"/>
  <c r="AT112" i="3"/>
  <c r="AT120" i="3"/>
  <c r="AT121" i="3"/>
  <c r="AT122" i="3"/>
  <c r="AT130" i="3"/>
  <c r="AT131" i="3"/>
  <c r="AT132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U15" i="3"/>
  <c r="AV15" i="3"/>
  <c r="AU18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AE8" i="3"/>
  <c r="AE9" i="3"/>
  <c r="AE10" i="3"/>
  <c r="AE11" i="3"/>
  <c r="AE12" i="3"/>
  <c r="AE13" i="3"/>
  <c r="AE17" i="3"/>
  <c r="AE18" i="3"/>
  <c r="AE19" i="3"/>
  <c r="AE20" i="3"/>
  <c r="AE21" i="3"/>
  <c r="AE22" i="3"/>
  <c r="AE30" i="3"/>
  <c r="AE32" i="3"/>
  <c r="AE33" i="3"/>
  <c r="AE41" i="3"/>
  <c r="AE43" i="3"/>
  <c r="AE44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101" i="3"/>
  <c r="AE102" i="3"/>
  <c r="AE103" i="3"/>
  <c r="AE104" i="3"/>
  <c r="AE105" i="3"/>
  <c r="AE106" i="3"/>
  <c r="AE110" i="3"/>
  <c r="AE111" i="3"/>
  <c r="AE112" i="3"/>
  <c r="AE113" i="3"/>
  <c r="AE114" i="3"/>
  <c r="AE115" i="3"/>
  <c r="AE123" i="3"/>
  <c r="AE125" i="3"/>
  <c r="AE126" i="3"/>
  <c r="AE134" i="3"/>
  <c r="AE136" i="3"/>
  <c r="AE137" i="3"/>
  <c r="AE165" i="3"/>
  <c r="AE166" i="3"/>
  <c r="AE167" i="3"/>
  <c r="AE168" i="3"/>
  <c r="AE169" i="3"/>
  <c r="AE170" i="3"/>
  <c r="AJ8" i="3"/>
  <c r="AJ9" i="3"/>
  <c r="AJ10" i="3"/>
  <c r="AJ11" i="3"/>
  <c r="AJ12" i="3"/>
  <c r="AJ13" i="3"/>
  <c r="AJ17" i="3"/>
  <c r="AJ18" i="3"/>
  <c r="AJ19" i="3"/>
  <c r="AJ20" i="3"/>
  <c r="AJ21" i="3"/>
  <c r="AJ22" i="3"/>
  <c r="AJ30" i="3"/>
  <c r="AJ32" i="3"/>
  <c r="AJ33" i="3"/>
  <c r="AJ41" i="3"/>
  <c r="AJ43" i="3"/>
  <c r="AJ44" i="3"/>
  <c r="AJ101" i="3"/>
  <c r="AJ102" i="3"/>
  <c r="AJ103" i="3"/>
  <c r="AJ104" i="3"/>
  <c r="AJ105" i="3"/>
  <c r="AJ106" i="3"/>
  <c r="AJ110" i="3"/>
  <c r="AJ111" i="3"/>
  <c r="AJ112" i="3"/>
  <c r="AJ113" i="3"/>
  <c r="AJ114" i="3"/>
  <c r="AJ115" i="3"/>
  <c r="AJ123" i="3"/>
  <c r="AJ125" i="3"/>
  <c r="AJ126" i="3"/>
  <c r="AJ134" i="3"/>
  <c r="AJ136" i="3"/>
  <c r="AJ137" i="3"/>
  <c r="AJ165" i="3"/>
  <c r="AJ166" i="3"/>
  <c r="AJ167" i="3"/>
  <c r="AJ168" i="3"/>
  <c r="AJ169" i="3"/>
  <c r="AJ170" i="3"/>
  <c r="AU6" i="3"/>
  <c r="AV6" i="3"/>
  <c r="AU9" i="3"/>
  <c r="Y31" i="3"/>
  <c r="Y42" i="3"/>
  <c r="AS166" i="3"/>
  <c r="AN166" i="3"/>
  <c r="Y171" i="3"/>
  <c r="AS165" i="3"/>
  <c r="AN165" i="3"/>
  <c r="AI170" i="3"/>
  <c r="AD170" i="3"/>
  <c r="Y170" i="3"/>
  <c r="AS164" i="3"/>
  <c r="AN164" i="3"/>
  <c r="AI169" i="3"/>
  <c r="AD169" i="3"/>
  <c r="Y169" i="3"/>
  <c r="AS163" i="3"/>
  <c r="AN163" i="3"/>
  <c r="AI168" i="3"/>
  <c r="AD168" i="3"/>
  <c r="Y168" i="3"/>
  <c r="AS162" i="3"/>
  <c r="AN162" i="3"/>
  <c r="AI167" i="3"/>
  <c r="AD167" i="3"/>
  <c r="Y167" i="3"/>
  <c r="AS161" i="3"/>
  <c r="AN161" i="3"/>
  <c r="AI166" i="3"/>
  <c r="AD166" i="3"/>
  <c r="Y166" i="3"/>
  <c r="AS160" i="3"/>
  <c r="AN160" i="3"/>
  <c r="AI165" i="3"/>
  <c r="AD165" i="3"/>
  <c r="Y165" i="3"/>
  <c r="AS159" i="3"/>
  <c r="AN159" i="3"/>
  <c r="Y164" i="3"/>
  <c r="AS158" i="3"/>
  <c r="AN158" i="3"/>
  <c r="Y163" i="3"/>
  <c r="AS157" i="3"/>
  <c r="AN157" i="3"/>
  <c r="Y162" i="3"/>
  <c r="AS156" i="3"/>
  <c r="AN156" i="3"/>
  <c r="Y161" i="3"/>
  <c r="AS155" i="3"/>
  <c r="AN155" i="3"/>
  <c r="Y160" i="3"/>
  <c r="AN154" i="3"/>
  <c r="Y159" i="3"/>
  <c r="AN153" i="3"/>
  <c r="Y158" i="3"/>
  <c r="AN152" i="3"/>
  <c r="Y157" i="3"/>
  <c r="AN151" i="3"/>
  <c r="Y156" i="3"/>
  <c r="AN150" i="3"/>
  <c r="Y155" i="3"/>
  <c r="AN149" i="3"/>
  <c r="Y154" i="3"/>
  <c r="AN148" i="3"/>
  <c r="Y153" i="3"/>
  <c r="AN147" i="3"/>
  <c r="Y152" i="3"/>
  <c r="AN146" i="3"/>
  <c r="Y151" i="3"/>
  <c r="AN145" i="3"/>
  <c r="Y150" i="3"/>
  <c r="AN144" i="3"/>
  <c r="Y149" i="3"/>
  <c r="AN143" i="3"/>
  <c r="Y148" i="3"/>
  <c r="AN142" i="3"/>
  <c r="Y147" i="3"/>
  <c r="AN141" i="3"/>
  <c r="Y146" i="3"/>
  <c r="AN140" i="3"/>
  <c r="Y145" i="3"/>
  <c r="AN139" i="3"/>
  <c r="Y144" i="3"/>
  <c r="AN138" i="3"/>
  <c r="Y143" i="3"/>
  <c r="AN137" i="3"/>
  <c r="Y142" i="3"/>
  <c r="AN136" i="3"/>
  <c r="Y141" i="3"/>
  <c r="AN135" i="3"/>
  <c r="Y140" i="3"/>
  <c r="AN134" i="3"/>
  <c r="Y139" i="3"/>
  <c r="AN133" i="3"/>
  <c r="Y138" i="3"/>
  <c r="AS132" i="3"/>
  <c r="AN132" i="3"/>
  <c r="AI137" i="3"/>
  <c r="AD137" i="3"/>
  <c r="Y137" i="3"/>
  <c r="AS131" i="3"/>
  <c r="AN131" i="3"/>
  <c r="AI136" i="3"/>
  <c r="AD136" i="3"/>
  <c r="Y136" i="3"/>
  <c r="Y135" i="3"/>
  <c r="AS130" i="3"/>
  <c r="AN130" i="3"/>
  <c r="AI134" i="3"/>
  <c r="AD134" i="3"/>
  <c r="Y134" i="3"/>
  <c r="AN129" i="3"/>
  <c r="Y133" i="3"/>
  <c r="AN128" i="3"/>
  <c r="Y132" i="3"/>
  <c r="AN127" i="3"/>
  <c r="Y131" i="3"/>
  <c r="AN126" i="3"/>
  <c r="Y130" i="3"/>
  <c r="AN125" i="3"/>
  <c r="Y129" i="3"/>
  <c r="AN124" i="3"/>
  <c r="Y128" i="3"/>
  <c r="AN123" i="3"/>
  <c r="Y127" i="3"/>
  <c r="AS122" i="3"/>
  <c r="AN122" i="3"/>
  <c r="AI126" i="3"/>
  <c r="AD126" i="3"/>
  <c r="Y126" i="3"/>
  <c r="AS121" i="3"/>
  <c r="AN121" i="3"/>
  <c r="AI125" i="3"/>
  <c r="AD125" i="3"/>
  <c r="Y125" i="3"/>
  <c r="Y124" i="3"/>
  <c r="AS120" i="3"/>
  <c r="AN120" i="3"/>
  <c r="AI123" i="3"/>
  <c r="AD123" i="3"/>
  <c r="Y123" i="3"/>
  <c r="AN119" i="3"/>
  <c r="Y122" i="3"/>
  <c r="AN118" i="3"/>
  <c r="Y121" i="3"/>
  <c r="AN117" i="3"/>
  <c r="Y120" i="3"/>
  <c r="AN116" i="3"/>
  <c r="Y119" i="3"/>
  <c r="AN115" i="3"/>
  <c r="Y118" i="3"/>
  <c r="AN114" i="3"/>
  <c r="Y117" i="3"/>
  <c r="AN113" i="3"/>
  <c r="Y116" i="3"/>
  <c r="AS112" i="3"/>
  <c r="AN112" i="3"/>
  <c r="AI115" i="3"/>
  <c r="AD115" i="3"/>
  <c r="Y115" i="3"/>
  <c r="AS111" i="3"/>
  <c r="AN111" i="3"/>
  <c r="AI114" i="3"/>
  <c r="AD114" i="3"/>
  <c r="Y114" i="3"/>
  <c r="AS110" i="3"/>
  <c r="AN110" i="3"/>
  <c r="AI113" i="3"/>
  <c r="AD113" i="3"/>
  <c r="Y113" i="3"/>
  <c r="AS109" i="3"/>
  <c r="AN109" i="3"/>
  <c r="AI112" i="3"/>
  <c r="AD112" i="3"/>
  <c r="Y112" i="3"/>
  <c r="AS108" i="3"/>
  <c r="AN108" i="3"/>
  <c r="AI111" i="3"/>
  <c r="AD111" i="3"/>
  <c r="Y111" i="3"/>
  <c r="AS107" i="3"/>
  <c r="AN107" i="3"/>
  <c r="AI110" i="3"/>
  <c r="AD110" i="3"/>
  <c r="Y110" i="3"/>
  <c r="AN106" i="3"/>
  <c r="Y109" i="3"/>
  <c r="AN105" i="3"/>
  <c r="Y108" i="3"/>
  <c r="AN104" i="3"/>
  <c r="Y107" i="3"/>
  <c r="AS103" i="3"/>
  <c r="AN103" i="3"/>
  <c r="AI106" i="3"/>
  <c r="AD106" i="3"/>
  <c r="Y106" i="3"/>
  <c r="AS102" i="3"/>
  <c r="AN102" i="3"/>
  <c r="AI105" i="3"/>
  <c r="AD105" i="3"/>
  <c r="Y105" i="3"/>
  <c r="AS101" i="3"/>
  <c r="AN101" i="3"/>
  <c r="AI104" i="3"/>
  <c r="AD104" i="3"/>
  <c r="Y104" i="3"/>
  <c r="AS100" i="3"/>
  <c r="AN100" i="3"/>
  <c r="AI103" i="3"/>
  <c r="AD103" i="3"/>
  <c r="Y103" i="3"/>
  <c r="AS99" i="3"/>
  <c r="AN99" i="3"/>
  <c r="AI102" i="3"/>
  <c r="AD102" i="3"/>
  <c r="Y102" i="3"/>
  <c r="AS98" i="3"/>
  <c r="AN98" i="3"/>
  <c r="AI101" i="3"/>
  <c r="AD101" i="3"/>
  <c r="Y101" i="3"/>
  <c r="AN97" i="3"/>
  <c r="Y100" i="3"/>
  <c r="AN96" i="3"/>
  <c r="Y99" i="3"/>
  <c r="AN95" i="3"/>
  <c r="Y98" i="3"/>
  <c r="AN94" i="3"/>
  <c r="Y97" i="3"/>
  <c r="Y96" i="3"/>
  <c r="AN93" i="3"/>
  <c r="Y95" i="3"/>
  <c r="AN92" i="3"/>
  <c r="Y94" i="3"/>
  <c r="AN91" i="3"/>
  <c r="Y93" i="3"/>
  <c r="AN90" i="3"/>
  <c r="Y92" i="3"/>
  <c r="AN89" i="3"/>
  <c r="Y91" i="3"/>
  <c r="AN88" i="3"/>
  <c r="Y90" i="3"/>
  <c r="AN87" i="3"/>
  <c r="Y89" i="3"/>
  <c r="AN86" i="3"/>
  <c r="Y88" i="3"/>
  <c r="AN85" i="3"/>
  <c r="Y87" i="3"/>
  <c r="AN84" i="3"/>
  <c r="Y86" i="3"/>
  <c r="AN83" i="3"/>
  <c r="Y85" i="3"/>
  <c r="AN82" i="3"/>
  <c r="Y84" i="3"/>
  <c r="AN81" i="3"/>
  <c r="Y83" i="3"/>
  <c r="AN80" i="3"/>
  <c r="Y82" i="3"/>
  <c r="AN79" i="3"/>
  <c r="Y81" i="3"/>
  <c r="AN78" i="3"/>
  <c r="Y80" i="3"/>
  <c r="AN77" i="3"/>
  <c r="Y79" i="3"/>
  <c r="AN76" i="3"/>
  <c r="Y78" i="3"/>
  <c r="AN75" i="3"/>
  <c r="Y77" i="3"/>
  <c r="AN74" i="3"/>
  <c r="Y76" i="3"/>
  <c r="AN73" i="3"/>
  <c r="Y75" i="3"/>
  <c r="AN72" i="3"/>
  <c r="Y74" i="3"/>
  <c r="AN71" i="3"/>
  <c r="AD73" i="3"/>
  <c r="Y73" i="3"/>
  <c r="AN70" i="3"/>
  <c r="AD72" i="3"/>
  <c r="Y72" i="3"/>
  <c r="AS69" i="3"/>
  <c r="AN69" i="3"/>
  <c r="AD71" i="3"/>
  <c r="Y71" i="3"/>
  <c r="AS68" i="3"/>
  <c r="AN68" i="3"/>
  <c r="AD70" i="3"/>
  <c r="Y70" i="3"/>
  <c r="AS67" i="3"/>
  <c r="AN67" i="3"/>
  <c r="AD69" i="3"/>
  <c r="Y69" i="3"/>
  <c r="AS66" i="3"/>
  <c r="AN66" i="3"/>
  <c r="AD68" i="3"/>
  <c r="Y68" i="3"/>
  <c r="AS65" i="3"/>
  <c r="AN65" i="3"/>
  <c r="AD67" i="3"/>
  <c r="Y67" i="3"/>
  <c r="AS64" i="3"/>
  <c r="AN64" i="3"/>
  <c r="AD66" i="3"/>
  <c r="Y66" i="3"/>
  <c r="AS63" i="3"/>
  <c r="AN63" i="3"/>
  <c r="AD65" i="3"/>
  <c r="Y65" i="3"/>
  <c r="AS62" i="3"/>
  <c r="AN62" i="3"/>
  <c r="AD64" i="3"/>
  <c r="Y64" i="3"/>
  <c r="AS61" i="3"/>
  <c r="AN61" i="3"/>
  <c r="AD63" i="3"/>
  <c r="Y63" i="3"/>
  <c r="AS60" i="3"/>
  <c r="AN60" i="3"/>
  <c r="AD62" i="3"/>
  <c r="Y62" i="3"/>
  <c r="AS59" i="3"/>
  <c r="AN59" i="3"/>
  <c r="AD61" i="3"/>
  <c r="Y61" i="3"/>
  <c r="AS58" i="3"/>
  <c r="AN58" i="3"/>
  <c r="AD60" i="3"/>
  <c r="Y60" i="3"/>
  <c r="AS57" i="3"/>
  <c r="AN57" i="3"/>
  <c r="AD59" i="3"/>
  <c r="Y59" i="3"/>
  <c r="AS56" i="3"/>
  <c r="AN56" i="3"/>
  <c r="AD58" i="3"/>
  <c r="Y58" i="3"/>
  <c r="AS55" i="3"/>
  <c r="AN55" i="3"/>
  <c r="AD57" i="3"/>
  <c r="Y57" i="3"/>
  <c r="AS54" i="3"/>
  <c r="AN54" i="3"/>
  <c r="AD56" i="3"/>
  <c r="Y56" i="3"/>
  <c r="AS53" i="3"/>
  <c r="AN53" i="3"/>
  <c r="AD55" i="3"/>
  <c r="Y55" i="3"/>
  <c r="AS52" i="3"/>
  <c r="AN52" i="3"/>
  <c r="AD54" i="3"/>
  <c r="Y54" i="3"/>
  <c r="AS51" i="3"/>
  <c r="AN51" i="3"/>
  <c r="AD53" i="3"/>
  <c r="Y53" i="3"/>
  <c r="AS50" i="3"/>
  <c r="AN50" i="3"/>
  <c r="AD52" i="3"/>
  <c r="Y52" i="3"/>
  <c r="AN49" i="3"/>
  <c r="Y51" i="3"/>
  <c r="AN48" i="3"/>
  <c r="Y50" i="3"/>
  <c r="AN47" i="3"/>
  <c r="Y49" i="3"/>
  <c r="AN46" i="3"/>
  <c r="Y48" i="3"/>
  <c r="AN45" i="3"/>
  <c r="Y47" i="3"/>
  <c r="AN44" i="3"/>
  <c r="Y46" i="3"/>
  <c r="AN43" i="3"/>
  <c r="Y45" i="3"/>
  <c r="AS42" i="3"/>
  <c r="AN42" i="3"/>
  <c r="AI44" i="3"/>
  <c r="AD44" i="3"/>
  <c r="Y44" i="3"/>
  <c r="AS41" i="3"/>
  <c r="AN41" i="3"/>
  <c r="AI43" i="3"/>
  <c r="AD43" i="3"/>
  <c r="Y43" i="3"/>
  <c r="AS40" i="3"/>
  <c r="AN40" i="3"/>
  <c r="AI41" i="3"/>
  <c r="AD41" i="3"/>
  <c r="Y41" i="3"/>
  <c r="AN39" i="3"/>
  <c r="Y40" i="3"/>
  <c r="AN38" i="3"/>
  <c r="Y39" i="3"/>
  <c r="AN37" i="3"/>
  <c r="Y38" i="3"/>
  <c r="AN36" i="3"/>
  <c r="Y37" i="3"/>
  <c r="AN35" i="3"/>
  <c r="Y36" i="3"/>
  <c r="AN34" i="3"/>
  <c r="Y35" i="3"/>
  <c r="AN33" i="3"/>
  <c r="Y34" i="3"/>
  <c r="AS32" i="3"/>
  <c r="AN32" i="3"/>
  <c r="AI33" i="3"/>
  <c r="AD33" i="3"/>
  <c r="Y33" i="3"/>
  <c r="AS31" i="3"/>
  <c r="AN31" i="3"/>
  <c r="AI32" i="3"/>
  <c r="AD32" i="3"/>
  <c r="Y32" i="3"/>
  <c r="AS30" i="3"/>
  <c r="AN30" i="3"/>
  <c r="AI30" i="3"/>
  <c r="AD30" i="3"/>
  <c r="Y30" i="3"/>
  <c r="AN29" i="3"/>
  <c r="Y29" i="3"/>
  <c r="AN28" i="3"/>
  <c r="Y28" i="3"/>
  <c r="AN27" i="3"/>
  <c r="Y27" i="3"/>
  <c r="AN26" i="3"/>
  <c r="Y26" i="3"/>
  <c r="AN25" i="3"/>
  <c r="Y25" i="3"/>
  <c r="AN24" i="3"/>
  <c r="Y24" i="3"/>
  <c r="AN23" i="3"/>
  <c r="Y23" i="3"/>
  <c r="AS22" i="3"/>
  <c r="AN22" i="3"/>
  <c r="AI22" i="3"/>
  <c r="AD22" i="3"/>
  <c r="Y22" i="3"/>
  <c r="AS21" i="3"/>
  <c r="AN21" i="3"/>
  <c r="AI21" i="3"/>
  <c r="AD21" i="3"/>
  <c r="Y21" i="3"/>
  <c r="AS20" i="3"/>
  <c r="AN20" i="3"/>
  <c r="AI20" i="3"/>
  <c r="AD20" i="3"/>
  <c r="Y20" i="3"/>
  <c r="AS19" i="3"/>
  <c r="AN19" i="3"/>
  <c r="AI19" i="3"/>
  <c r="AD19" i="3"/>
  <c r="Y19" i="3"/>
  <c r="AS18" i="3"/>
  <c r="AN18" i="3"/>
  <c r="AI18" i="3"/>
  <c r="AD18" i="3"/>
  <c r="Y18" i="3"/>
  <c r="AS17" i="3"/>
  <c r="AN17" i="3"/>
  <c r="AI17" i="3"/>
  <c r="AD17" i="3"/>
  <c r="Y17" i="3"/>
  <c r="AN16" i="3"/>
  <c r="Y16" i="3"/>
  <c r="AN15" i="3"/>
  <c r="Y15" i="3"/>
  <c r="AN14" i="3"/>
  <c r="Y14" i="3"/>
  <c r="AS13" i="3"/>
  <c r="AN13" i="3"/>
  <c r="AI13" i="3"/>
  <c r="AD13" i="3"/>
  <c r="Y13" i="3"/>
  <c r="AS12" i="3"/>
  <c r="AN12" i="3"/>
  <c r="AI12" i="3"/>
  <c r="AD12" i="3"/>
  <c r="Y12" i="3"/>
  <c r="AS11" i="3"/>
  <c r="AN11" i="3"/>
  <c r="AI11" i="3"/>
  <c r="AD11" i="3"/>
  <c r="Y11" i="3"/>
  <c r="AS10" i="3"/>
  <c r="AN10" i="3"/>
  <c r="AI10" i="3"/>
  <c r="AD10" i="3"/>
  <c r="Y10" i="3"/>
  <c r="AS9" i="3"/>
  <c r="AN9" i="3"/>
  <c r="AI9" i="3"/>
  <c r="AD9" i="3"/>
  <c r="Y9" i="3"/>
  <c r="AS8" i="3"/>
  <c r="AN8" i="3"/>
  <c r="AI8" i="3"/>
  <c r="AD8" i="3"/>
  <c r="Y8" i="3"/>
  <c r="AN7" i="3"/>
  <c r="Y7" i="3"/>
  <c r="AN6" i="3"/>
  <c r="Y6" i="3"/>
  <c r="AN5" i="3"/>
  <c r="Y5" i="3"/>
  <c r="AN4" i="3"/>
  <c r="Y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E236" i="3"/>
  <c r="I236" i="3"/>
  <c r="M236" i="3"/>
  <c r="E237" i="3"/>
  <c r="I237" i="3"/>
  <c r="M237" i="3"/>
  <c r="E238" i="3"/>
  <c r="I238" i="3"/>
  <c r="M238" i="3"/>
  <c r="E239" i="3"/>
  <c r="I239" i="3"/>
  <c r="M239" i="3"/>
  <c r="E240" i="3"/>
  <c r="I240" i="3"/>
  <c r="M240" i="3"/>
  <c r="T10" i="3"/>
  <c r="T12" i="3"/>
  <c r="T14" i="3"/>
  <c r="T16" i="3"/>
  <c r="T18" i="3"/>
  <c r="T20" i="3"/>
  <c r="T26" i="3"/>
  <c r="T28" i="3"/>
  <c r="T30" i="3"/>
  <c r="T32" i="3"/>
  <c r="T34" i="3"/>
  <c r="T36" i="3"/>
  <c r="T46" i="3"/>
  <c r="T50" i="3"/>
  <c r="T52" i="3"/>
  <c r="T62" i="3"/>
  <c r="T66" i="3"/>
  <c r="T68" i="3"/>
  <c r="T82" i="3"/>
  <c r="T84" i="3"/>
  <c r="T87" i="3"/>
  <c r="T88" i="3"/>
  <c r="T91" i="3"/>
  <c r="T92" i="3"/>
  <c r="T93" i="3"/>
  <c r="T95" i="3"/>
  <c r="T94" i="3"/>
  <c r="T96" i="3"/>
  <c r="T98" i="3"/>
  <c r="T100" i="3"/>
  <c r="T101" i="3"/>
  <c r="T102" i="3"/>
  <c r="T103" i="3"/>
  <c r="T104" i="3"/>
  <c r="T105" i="3"/>
  <c r="T106" i="3"/>
  <c r="T107" i="3"/>
  <c r="T108" i="3"/>
  <c r="T154" i="3"/>
  <c r="T156" i="3"/>
  <c r="T158" i="3"/>
  <c r="T160" i="3"/>
  <c r="T162" i="3"/>
  <c r="T164" i="3"/>
  <c r="T170" i="3"/>
  <c r="T172" i="3"/>
  <c r="T174" i="3"/>
  <c r="T176" i="3"/>
  <c r="T178" i="3"/>
  <c r="T180" i="3"/>
  <c r="T190" i="3"/>
  <c r="T194" i="3"/>
  <c r="T196" i="3"/>
  <c r="T206" i="3"/>
  <c r="T210" i="3"/>
  <c r="T212" i="3"/>
  <c r="T242" i="3"/>
  <c r="T244" i="3"/>
  <c r="T246" i="3"/>
  <c r="T247" i="3"/>
  <c r="T248" i="3"/>
  <c r="T250" i="3"/>
  <c r="T252" i="3"/>
  <c r="T254" i="3"/>
  <c r="T255" i="3"/>
  <c r="T256" i="3"/>
  <c r="T260" i="3"/>
  <c r="T258" i="3"/>
  <c r="P260" i="3"/>
  <c r="P258" i="3"/>
  <c r="P256" i="3"/>
  <c r="P255" i="3"/>
  <c r="P254" i="3"/>
  <c r="P252" i="3"/>
  <c r="P250" i="3"/>
  <c r="P247" i="3"/>
  <c r="P248" i="3"/>
  <c r="P246" i="3"/>
  <c r="P244" i="3"/>
  <c r="P242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0" i="3"/>
  <c r="P219" i="3"/>
  <c r="P218" i="3"/>
  <c r="P217" i="3"/>
  <c r="P216" i="3"/>
  <c r="P215" i="3"/>
  <c r="P214" i="3"/>
  <c r="P212" i="3"/>
  <c r="P210" i="3"/>
  <c r="P206" i="3"/>
  <c r="P204" i="3"/>
  <c r="P203" i="3"/>
  <c r="P202" i="3"/>
  <c r="P201" i="3"/>
  <c r="P200" i="3"/>
  <c r="P199" i="3"/>
  <c r="P198" i="3"/>
  <c r="P196" i="3"/>
  <c r="P194" i="3"/>
  <c r="P190" i="3"/>
  <c r="P188" i="3"/>
  <c r="P187" i="3"/>
  <c r="P186" i="3"/>
  <c r="P185" i="3"/>
  <c r="P184" i="3"/>
  <c r="P183" i="3"/>
  <c r="P182" i="3"/>
  <c r="P180" i="3"/>
  <c r="P178" i="3"/>
  <c r="P176" i="3"/>
  <c r="P174" i="3"/>
  <c r="P172" i="3"/>
  <c r="P170" i="3"/>
  <c r="P168" i="3"/>
  <c r="P167" i="3"/>
  <c r="P166" i="3"/>
  <c r="P164" i="3"/>
  <c r="P162" i="3"/>
  <c r="P160" i="3"/>
  <c r="P158" i="3"/>
  <c r="P156" i="3"/>
  <c r="P154" i="3"/>
  <c r="P152" i="3"/>
  <c r="P151" i="3"/>
  <c r="P150" i="3"/>
  <c r="P148" i="3"/>
  <c r="P144" i="3"/>
  <c r="P142" i="3"/>
  <c r="P140" i="3"/>
  <c r="P139" i="3"/>
  <c r="P138" i="3"/>
  <c r="P137" i="3"/>
  <c r="P136" i="3"/>
  <c r="P135" i="3"/>
  <c r="P134" i="3"/>
  <c r="P133" i="3"/>
  <c r="P132" i="3"/>
  <c r="P130" i="3"/>
  <c r="P128" i="3"/>
  <c r="P127" i="3"/>
  <c r="P126" i="3"/>
  <c r="P125" i="3"/>
  <c r="P124" i="3"/>
  <c r="P123" i="3"/>
  <c r="P120" i="3"/>
  <c r="P119" i="3"/>
  <c r="P116" i="3"/>
  <c r="P114" i="3"/>
  <c r="P112" i="3"/>
  <c r="P110" i="3"/>
  <c r="P108" i="3"/>
  <c r="P107" i="3"/>
  <c r="P106" i="3"/>
  <c r="P105" i="3"/>
  <c r="P104" i="3"/>
  <c r="P103" i="3"/>
  <c r="P102" i="3"/>
  <c r="P101" i="3"/>
  <c r="P100" i="3"/>
  <c r="P98" i="3"/>
  <c r="P96" i="3"/>
  <c r="P95" i="3"/>
  <c r="P94" i="3"/>
  <c r="P93" i="3"/>
  <c r="P92" i="3"/>
  <c r="P91" i="3"/>
  <c r="P88" i="3"/>
  <c r="P87" i="3"/>
  <c r="P84" i="3"/>
  <c r="P82" i="3"/>
  <c r="P76" i="3"/>
  <c r="P75" i="3"/>
  <c r="P74" i="3"/>
  <c r="P73" i="3"/>
  <c r="P72" i="3"/>
  <c r="P71" i="3"/>
  <c r="P70" i="3"/>
  <c r="P68" i="3"/>
  <c r="P66" i="3"/>
  <c r="P62" i="3"/>
  <c r="P60" i="3"/>
  <c r="P59" i="3"/>
  <c r="P58" i="3"/>
  <c r="P57" i="3"/>
  <c r="P56" i="3"/>
  <c r="P55" i="3"/>
  <c r="P54" i="3"/>
  <c r="P52" i="3"/>
  <c r="P50" i="3"/>
  <c r="P46" i="3"/>
  <c r="P44" i="3"/>
  <c r="P43" i="3"/>
  <c r="P42" i="3"/>
  <c r="P41" i="3"/>
  <c r="P40" i="3"/>
  <c r="P39" i="3"/>
  <c r="P38" i="3"/>
  <c r="P36" i="3"/>
  <c r="P34" i="3"/>
  <c r="P32" i="3"/>
  <c r="P30" i="3"/>
  <c r="P28" i="3"/>
  <c r="P23" i="3"/>
  <c r="P26" i="3"/>
  <c r="P24" i="3"/>
  <c r="P22" i="3"/>
  <c r="P20" i="3"/>
  <c r="P18" i="3"/>
  <c r="P16" i="3"/>
  <c r="P14" i="3"/>
  <c r="P12" i="3"/>
  <c r="P10" i="3"/>
  <c r="P8" i="3"/>
  <c r="P7" i="3"/>
  <c r="P6" i="3"/>
  <c r="P4" i="3"/>
  <c r="L258" i="3"/>
  <c r="L256" i="3"/>
  <c r="L255" i="3"/>
  <c r="L254" i="3"/>
  <c r="L252" i="3"/>
  <c r="L250" i="3"/>
  <c r="L208" i="3"/>
  <c r="L192" i="3"/>
  <c r="L212" i="3"/>
  <c r="L210" i="3"/>
  <c r="L206" i="3"/>
  <c r="L196" i="3"/>
  <c r="L194" i="3"/>
  <c r="L190" i="3"/>
  <c r="L180" i="3"/>
  <c r="L178" i="3"/>
  <c r="L176" i="3"/>
  <c r="L174" i="3"/>
  <c r="L172" i="3"/>
  <c r="L170" i="3"/>
  <c r="L164" i="3"/>
  <c r="L162" i="3"/>
  <c r="L160" i="3"/>
  <c r="L158" i="3"/>
  <c r="L156" i="3"/>
  <c r="L154" i="3"/>
  <c r="L68" i="3"/>
  <c r="L66" i="3"/>
  <c r="L62" i="3"/>
  <c r="L52" i="3"/>
  <c r="L50" i="3"/>
  <c r="L46" i="3"/>
  <c r="L36" i="3"/>
  <c r="L34" i="3"/>
  <c r="L32" i="3"/>
  <c r="L30" i="3"/>
  <c r="L28" i="3"/>
  <c r="L26" i="3"/>
  <c r="L20" i="3"/>
  <c r="L18" i="3"/>
  <c r="L16" i="3"/>
  <c r="L14" i="3"/>
  <c r="L12" i="3"/>
  <c r="L10" i="3"/>
  <c r="H258" i="3"/>
  <c r="H256" i="3"/>
  <c r="H255" i="3"/>
  <c r="H254" i="3"/>
  <c r="H252" i="3"/>
  <c r="H250" i="3"/>
  <c r="H212" i="3"/>
  <c r="H210" i="3"/>
  <c r="H206" i="3"/>
  <c r="H196" i="3"/>
  <c r="H194" i="3"/>
  <c r="H190" i="3"/>
  <c r="H180" i="3"/>
  <c r="H178" i="3"/>
  <c r="H176" i="3"/>
  <c r="H174" i="3"/>
  <c r="H172" i="3"/>
  <c r="H170" i="3"/>
  <c r="H164" i="3"/>
  <c r="H162" i="3"/>
  <c r="H160" i="3"/>
  <c r="H158" i="3"/>
  <c r="H156" i="3"/>
  <c r="H154" i="3"/>
  <c r="H112" i="3"/>
  <c r="H110" i="3"/>
  <c r="H108" i="3"/>
  <c r="H107" i="3"/>
  <c r="H106" i="3"/>
  <c r="H105" i="3"/>
  <c r="H104" i="3"/>
  <c r="H103" i="3"/>
  <c r="H102" i="3"/>
  <c r="H101" i="3"/>
  <c r="H100" i="3"/>
  <c r="H98" i="3"/>
  <c r="H96" i="3"/>
  <c r="H95" i="3"/>
  <c r="H94" i="3"/>
  <c r="H93" i="3"/>
  <c r="H92" i="3"/>
  <c r="H91" i="3"/>
  <c r="H88" i="3"/>
  <c r="H87" i="3"/>
  <c r="H84" i="3"/>
  <c r="H82" i="3"/>
  <c r="H68" i="3"/>
  <c r="H66" i="3"/>
  <c r="H62" i="3"/>
  <c r="H52" i="3"/>
  <c r="H50" i="3"/>
  <c r="H46" i="3"/>
  <c r="H36" i="3"/>
  <c r="H34" i="3"/>
  <c r="H32" i="3"/>
  <c r="H30" i="3"/>
  <c r="H28" i="3"/>
  <c r="H26" i="3"/>
  <c r="H20" i="3"/>
  <c r="H18" i="3"/>
  <c r="H16" i="3"/>
  <c r="H14" i="3"/>
  <c r="H12" i="3"/>
  <c r="H10" i="3"/>
  <c r="D260" i="3"/>
  <c r="D258" i="3"/>
  <c r="D255" i="3"/>
  <c r="D256" i="3"/>
  <c r="D254" i="3"/>
  <c r="D252" i="3"/>
  <c r="D250" i="3"/>
  <c r="D248" i="3"/>
  <c r="D247" i="3"/>
  <c r="D246" i="3"/>
  <c r="D244" i="3"/>
  <c r="D242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0" i="3"/>
  <c r="D219" i="3"/>
  <c r="D218" i="3"/>
  <c r="D217" i="3"/>
  <c r="D216" i="3"/>
  <c r="D215" i="3"/>
  <c r="D214" i="3"/>
  <c r="D212" i="3"/>
  <c r="D210" i="3"/>
  <c r="D206" i="3"/>
  <c r="D204" i="3"/>
  <c r="D203" i="3"/>
  <c r="D202" i="3"/>
  <c r="D201" i="3"/>
  <c r="D200" i="3"/>
  <c r="D199" i="3"/>
  <c r="D198" i="3"/>
  <c r="D196" i="3"/>
  <c r="D194" i="3"/>
  <c r="D190" i="3"/>
  <c r="D188" i="3"/>
  <c r="D187" i="3"/>
  <c r="D186" i="3"/>
  <c r="D185" i="3"/>
  <c r="D183" i="3"/>
  <c r="D184" i="3"/>
  <c r="D182" i="3"/>
  <c r="D180" i="3"/>
  <c r="D178" i="3"/>
  <c r="D176" i="3"/>
  <c r="D174" i="3"/>
  <c r="D172" i="3"/>
  <c r="D170" i="3"/>
  <c r="D167" i="3"/>
  <c r="D168" i="3"/>
  <c r="D166" i="3"/>
  <c r="D164" i="3"/>
  <c r="D162" i="3"/>
  <c r="D160" i="3"/>
  <c r="D158" i="3"/>
  <c r="D156" i="3"/>
  <c r="D154" i="3"/>
  <c r="D152" i="3"/>
  <c r="D151" i="3"/>
  <c r="D150" i="3"/>
  <c r="D148" i="3"/>
  <c r="D146" i="3"/>
  <c r="D144" i="3"/>
  <c r="D142" i="3"/>
  <c r="D140" i="3"/>
  <c r="D139" i="3"/>
  <c r="D138" i="3"/>
  <c r="D137" i="3"/>
  <c r="D136" i="3"/>
  <c r="D135" i="3"/>
  <c r="D134" i="3"/>
  <c r="D133" i="3"/>
  <c r="D132" i="3"/>
  <c r="D130" i="3"/>
  <c r="D128" i="3"/>
  <c r="D127" i="3"/>
  <c r="D126" i="3"/>
  <c r="D125" i="3"/>
  <c r="D124" i="3"/>
  <c r="D123" i="3"/>
  <c r="D120" i="3"/>
  <c r="D119" i="3"/>
  <c r="D116" i="3"/>
  <c r="D114" i="3"/>
  <c r="D112" i="3"/>
  <c r="D110" i="3"/>
  <c r="D108" i="3"/>
  <c r="D107" i="3"/>
  <c r="D106" i="3"/>
  <c r="D105" i="3"/>
  <c r="D104" i="3"/>
  <c r="D103" i="3"/>
  <c r="D102" i="3"/>
  <c r="D101" i="3"/>
  <c r="D100" i="3"/>
  <c r="D98" i="3"/>
  <c r="D96" i="3"/>
  <c r="D95" i="3"/>
  <c r="D94" i="3"/>
  <c r="D93" i="3"/>
  <c r="D92" i="3"/>
  <c r="D91" i="3"/>
  <c r="D88" i="3"/>
  <c r="D87" i="3"/>
  <c r="D84" i="3"/>
  <c r="D82" i="3"/>
  <c r="D76" i="3"/>
  <c r="D75" i="3"/>
  <c r="D74" i="3"/>
  <c r="D73" i="3"/>
  <c r="D72" i="3"/>
  <c r="D71" i="3"/>
  <c r="D70" i="3"/>
  <c r="D68" i="3"/>
  <c r="D66" i="3"/>
  <c r="D62" i="3"/>
  <c r="D60" i="3"/>
  <c r="D59" i="3"/>
  <c r="D58" i="3"/>
  <c r="D57" i="3"/>
  <c r="D56" i="3"/>
  <c r="D55" i="3"/>
  <c r="D54" i="3"/>
  <c r="D52" i="3"/>
  <c r="D50" i="3"/>
  <c r="D46" i="3"/>
  <c r="D44" i="3"/>
  <c r="D43" i="3"/>
  <c r="D42" i="3"/>
  <c r="D41" i="3"/>
  <c r="D40" i="3"/>
  <c r="D39" i="3"/>
  <c r="D38" i="3"/>
  <c r="D36" i="3"/>
  <c r="D34" i="3"/>
  <c r="D32" i="3"/>
  <c r="D30" i="3"/>
  <c r="D28" i="3"/>
  <c r="D26" i="3"/>
  <c r="D24" i="3"/>
  <c r="D23" i="3"/>
  <c r="D22" i="3"/>
  <c r="D20" i="3"/>
  <c r="D18" i="3"/>
  <c r="D16" i="3"/>
  <c r="D14" i="3"/>
  <c r="D12" i="3"/>
  <c r="D10" i="3"/>
  <c r="D8" i="3"/>
  <c r="D7" i="3"/>
  <c r="D6" i="3"/>
  <c r="D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K1524" i="4"/>
  <c r="K1527" i="4"/>
  <c r="X1013" i="4"/>
  <c r="X1012" i="4"/>
  <c r="X1011" i="4"/>
  <c r="X1010" i="4"/>
  <c r="X1007" i="4"/>
  <c r="X1006" i="4"/>
  <c r="X1005" i="4"/>
  <c r="X1004" i="4"/>
  <c r="U1013" i="4"/>
  <c r="U1012" i="4"/>
  <c r="U1011" i="4"/>
  <c r="U1010" i="4"/>
  <c r="U1004" i="4"/>
  <c r="U1007" i="4"/>
  <c r="U1006" i="4"/>
  <c r="U1005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K1533" i="4"/>
  <c r="K1536" i="4"/>
  <c r="L1306" i="4"/>
  <c r="L1315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K1315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K1306" i="4"/>
  <c r="K1318" i="4"/>
  <c r="K1309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K881" i="4"/>
  <c r="L872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K872" i="4"/>
  <c r="K884" i="4"/>
  <c r="K875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K6" i="4"/>
  <c r="L6" i="4"/>
  <c r="K9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K15" i="4"/>
  <c r="L15" i="4"/>
  <c r="K18" i="4"/>
  <c r="I1629" i="4"/>
  <c r="I1628" i="4"/>
  <c r="I1627" i="4"/>
  <c r="D1627" i="4"/>
  <c r="I1626" i="4"/>
  <c r="D1626" i="4"/>
  <c r="I1625" i="4"/>
  <c r="D1625" i="4"/>
  <c r="I1624" i="4"/>
  <c r="D1624" i="4"/>
  <c r="I1623" i="4"/>
  <c r="D1623" i="4"/>
  <c r="I1622" i="4"/>
  <c r="D1622" i="4"/>
  <c r="I1621" i="4"/>
  <c r="D1621" i="4"/>
  <c r="I1620" i="4"/>
  <c r="D1620" i="4"/>
  <c r="I1619" i="4"/>
  <c r="D1619" i="4"/>
  <c r="I1618" i="4"/>
  <c r="D1618" i="4"/>
  <c r="I1617" i="4"/>
  <c r="D1617" i="4"/>
  <c r="I1616" i="4"/>
  <c r="D1616" i="4"/>
  <c r="I1615" i="4"/>
  <c r="D1615" i="4"/>
  <c r="I1614" i="4"/>
  <c r="D1614" i="4"/>
  <c r="I1613" i="4"/>
  <c r="D1613" i="4"/>
  <c r="I1612" i="4"/>
  <c r="D1612" i="4"/>
  <c r="I1611" i="4"/>
  <c r="D1611" i="4"/>
  <c r="I1610" i="4"/>
  <c r="D1610" i="4"/>
  <c r="I1609" i="4"/>
  <c r="D1609" i="4"/>
  <c r="I1608" i="4"/>
  <c r="D1608" i="4"/>
  <c r="I1607" i="4"/>
  <c r="D1607" i="4"/>
  <c r="I1606" i="4"/>
  <c r="D1606" i="4"/>
  <c r="I1605" i="4"/>
  <c r="D1605" i="4"/>
  <c r="I1604" i="4"/>
  <c r="D1604" i="4"/>
  <c r="I1603" i="4"/>
  <c r="D1603" i="4"/>
  <c r="I1602" i="4"/>
  <c r="D1602" i="4"/>
  <c r="I1601" i="4"/>
  <c r="D1601" i="4"/>
  <c r="I1600" i="4"/>
  <c r="D1600" i="4"/>
  <c r="I1599" i="4"/>
  <c r="D1599" i="4"/>
  <c r="I1598" i="4"/>
  <c r="D1598" i="4"/>
  <c r="I1597" i="4"/>
  <c r="D1597" i="4"/>
  <c r="I1596" i="4"/>
  <c r="D1596" i="4"/>
  <c r="I1595" i="4"/>
  <c r="D1595" i="4"/>
  <c r="I1594" i="4"/>
  <c r="D1594" i="4"/>
  <c r="I1593" i="4"/>
  <c r="D1593" i="4"/>
  <c r="I1592" i="4"/>
  <c r="D1592" i="4"/>
  <c r="I1591" i="4"/>
  <c r="D1591" i="4"/>
  <c r="I1590" i="4"/>
  <c r="D1590" i="4"/>
  <c r="I1589" i="4"/>
  <c r="D1589" i="4"/>
  <c r="I1588" i="4"/>
  <c r="D1588" i="4"/>
  <c r="I1587" i="4"/>
  <c r="D1587" i="4"/>
  <c r="I1586" i="4"/>
  <c r="D1586" i="4"/>
  <c r="I1585" i="4"/>
  <c r="D1585" i="4"/>
  <c r="I1584" i="4"/>
  <c r="D1584" i="4"/>
  <c r="I1583" i="4"/>
  <c r="D1583" i="4"/>
  <c r="I1582" i="4"/>
  <c r="D1582" i="4"/>
  <c r="I1581" i="4"/>
  <c r="D1581" i="4"/>
  <c r="I1580" i="4"/>
  <c r="D1580" i="4"/>
  <c r="I1579" i="4"/>
  <c r="D1579" i="4"/>
  <c r="I1578" i="4"/>
  <c r="D1578" i="4"/>
  <c r="I1577" i="4"/>
  <c r="D1577" i="4"/>
  <c r="I1576" i="4"/>
  <c r="D1576" i="4"/>
  <c r="I1575" i="4"/>
  <c r="D1575" i="4"/>
  <c r="I1574" i="4"/>
  <c r="D1574" i="4"/>
  <c r="I1573" i="4"/>
  <c r="D1573" i="4"/>
  <c r="I1572" i="4"/>
  <c r="D1572" i="4"/>
  <c r="I1571" i="4"/>
  <c r="D1571" i="4"/>
  <c r="I1570" i="4"/>
  <c r="D1570" i="4"/>
  <c r="I1569" i="4"/>
  <c r="D1569" i="4"/>
  <c r="I1568" i="4"/>
  <c r="D1568" i="4"/>
  <c r="I1567" i="4"/>
  <c r="D1567" i="4"/>
  <c r="I1566" i="4"/>
  <c r="D1566" i="4"/>
  <c r="I1565" i="4"/>
  <c r="D1565" i="4"/>
  <c r="I1564" i="4"/>
  <c r="D1564" i="4"/>
  <c r="I1563" i="4"/>
  <c r="D1563" i="4"/>
  <c r="I1562" i="4"/>
  <c r="D1562" i="4"/>
  <c r="I1561" i="4"/>
  <c r="D1561" i="4"/>
  <c r="I1560" i="4"/>
  <c r="D1560" i="4"/>
  <c r="I1559" i="4"/>
  <c r="D1559" i="4"/>
  <c r="I1558" i="4"/>
  <c r="D1558" i="4"/>
  <c r="I1557" i="4"/>
  <c r="D1557" i="4"/>
  <c r="I1556" i="4"/>
  <c r="D1556" i="4"/>
  <c r="I1555" i="4"/>
  <c r="D1555" i="4"/>
  <c r="I1554" i="4"/>
  <c r="D1554" i="4"/>
  <c r="I1553" i="4"/>
  <c r="D1553" i="4"/>
  <c r="I1552" i="4"/>
  <c r="D1552" i="4"/>
  <c r="I1551" i="4"/>
  <c r="D1551" i="4"/>
  <c r="I1550" i="4"/>
  <c r="D1550" i="4"/>
  <c r="I1549" i="4"/>
  <c r="D1549" i="4"/>
  <c r="I1548" i="4"/>
  <c r="D1548" i="4"/>
  <c r="I1547" i="4"/>
  <c r="D1547" i="4"/>
  <c r="I1546" i="4"/>
  <c r="D1546" i="4"/>
  <c r="I1545" i="4"/>
  <c r="D1545" i="4"/>
  <c r="I1544" i="4"/>
  <c r="D1544" i="4"/>
  <c r="I1543" i="4"/>
  <c r="D1543" i="4"/>
  <c r="I1542" i="4"/>
  <c r="D1542" i="4"/>
  <c r="I1541" i="4"/>
  <c r="D1541" i="4"/>
  <c r="I1540" i="4"/>
  <c r="D1540" i="4"/>
  <c r="I1539" i="4"/>
  <c r="D1539" i="4"/>
  <c r="I1538" i="4"/>
  <c r="D1538" i="4"/>
  <c r="I1537" i="4"/>
  <c r="D1537" i="4"/>
  <c r="I1536" i="4"/>
  <c r="D1536" i="4"/>
  <c r="I1535" i="4"/>
  <c r="D1535" i="4"/>
  <c r="I1534" i="4"/>
  <c r="D1534" i="4"/>
  <c r="I1533" i="4"/>
  <c r="D1533" i="4"/>
  <c r="I1532" i="4"/>
  <c r="D1532" i="4"/>
  <c r="I1531" i="4"/>
  <c r="D1531" i="4"/>
  <c r="I1530" i="4"/>
  <c r="D1530" i="4"/>
  <c r="I1529" i="4"/>
  <c r="D1529" i="4"/>
  <c r="I1528" i="4"/>
  <c r="D1528" i="4"/>
  <c r="I1527" i="4"/>
  <c r="D1527" i="4"/>
  <c r="I1526" i="4"/>
  <c r="D1526" i="4"/>
  <c r="I1525" i="4"/>
  <c r="D1525" i="4"/>
  <c r="I1524" i="4"/>
  <c r="D1524" i="4"/>
  <c r="I1523" i="4"/>
  <c r="D1523" i="4"/>
  <c r="I1522" i="4"/>
  <c r="D1522" i="4"/>
  <c r="I1519" i="4"/>
  <c r="I1518" i="4"/>
  <c r="I1517" i="4"/>
  <c r="I1516" i="4"/>
  <c r="I1515" i="4"/>
  <c r="D1515" i="4"/>
  <c r="I1514" i="4"/>
  <c r="D1514" i="4"/>
  <c r="I1513" i="4"/>
  <c r="D1513" i="4"/>
  <c r="I1512" i="4"/>
  <c r="D1512" i="4"/>
  <c r="I1511" i="4"/>
  <c r="D1511" i="4"/>
  <c r="I1510" i="4"/>
  <c r="D1510" i="4"/>
  <c r="I1509" i="4"/>
  <c r="D1509" i="4"/>
  <c r="I1508" i="4"/>
  <c r="D1508" i="4"/>
  <c r="I1507" i="4"/>
  <c r="D1507" i="4"/>
  <c r="I1506" i="4"/>
  <c r="D1506" i="4"/>
  <c r="I1505" i="4"/>
  <c r="D1505" i="4"/>
  <c r="I1504" i="4"/>
  <c r="D1504" i="4"/>
  <c r="I1503" i="4"/>
  <c r="D1503" i="4"/>
  <c r="I1502" i="4"/>
  <c r="D1502" i="4"/>
  <c r="I1501" i="4"/>
  <c r="D1501" i="4"/>
  <c r="I1500" i="4"/>
  <c r="D1500" i="4"/>
  <c r="I1499" i="4"/>
  <c r="D1499" i="4"/>
  <c r="I1498" i="4"/>
  <c r="D1498" i="4"/>
  <c r="I1497" i="4"/>
  <c r="D1497" i="4"/>
  <c r="I1496" i="4"/>
  <c r="D1496" i="4"/>
  <c r="I1495" i="4"/>
  <c r="D1495" i="4"/>
  <c r="I1494" i="4"/>
  <c r="D1494" i="4"/>
  <c r="I1493" i="4"/>
  <c r="D1493" i="4"/>
  <c r="I1492" i="4"/>
  <c r="D1492" i="4"/>
  <c r="I1491" i="4"/>
  <c r="D1491" i="4"/>
  <c r="I1490" i="4"/>
  <c r="D1490" i="4"/>
  <c r="I1489" i="4"/>
  <c r="D1489" i="4"/>
  <c r="I1488" i="4"/>
  <c r="D1488" i="4"/>
  <c r="I1487" i="4"/>
  <c r="D1487" i="4"/>
  <c r="I1486" i="4"/>
  <c r="D1486" i="4"/>
  <c r="I1485" i="4"/>
  <c r="D1485" i="4"/>
  <c r="I1484" i="4"/>
  <c r="D1484" i="4"/>
  <c r="I1483" i="4"/>
  <c r="D1483" i="4"/>
  <c r="I1482" i="4"/>
  <c r="D1482" i="4"/>
  <c r="I1481" i="4"/>
  <c r="D1481" i="4"/>
  <c r="I1480" i="4"/>
  <c r="D1480" i="4"/>
  <c r="I1479" i="4"/>
  <c r="D1479" i="4"/>
  <c r="I1478" i="4"/>
  <c r="D1478" i="4"/>
  <c r="I1477" i="4"/>
  <c r="D1477" i="4"/>
  <c r="I1476" i="4"/>
  <c r="D1476" i="4"/>
  <c r="I1475" i="4"/>
  <c r="D1475" i="4"/>
  <c r="I1474" i="4"/>
  <c r="D1474" i="4"/>
  <c r="I1473" i="4"/>
  <c r="D1473" i="4"/>
  <c r="I1472" i="4"/>
  <c r="D1472" i="4"/>
  <c r="I1471" i="4"/>
  <c r="D1471" i="4"/>
  <c r="I1470" i="4"/>
  <c r="D1470" i="4"/>
  <c r="I1469" i="4"/>
  <c r="D1469" i="4"/>
  <c r="I1468" i="4"/>
  <c r="D1468" i="4"/>
  <c r="I1467" i="4"/>
  <c r="D1467" i="4"/>
  <c r="I1466" i="4"/>
  <c r="D1466" i="4"/>
  <c r="I1465" i="4"/>
  <c r="D1465" i="4"/>
  <c r="I1464" i="4"/>
  <c r="D1464" i="4"/>
  <c r="I1463" i="4"/>
  <c r="D1463" i="4"/>
  <c r="I1462" i="4"/>
  <c r="D1462" i="4"/>
  <c r="I1461" i="4"/>
  <c r="D1461" i="4"/>
  <c r="I1460" i="4"/>
  <c r="D1460" i="4"/>
  <c r="I1459" i="4"/>
  <c r="D1459" i="4"/>
  <c r="I1458" i="4"/>
  <c r="D1458" i="4"/>
  <c r="I1457" i="4"/>
  <c r="D1457" i="4"/>
  <c r="I1456" i="4"/>
  <c r="D1456" i="4"/>
  <c r="I1455" i="4"/>
  <c r="D1455" i="4"/>
  <c r="I1454" i="4"/>
  <c r="D1454" i="4"/>
  <c r="I1453" i="4"/>
  <c r="D1453" i="4"/>
  <c r="I1452" i="4"/>
  <c r="D1452" i="4"/>
  <c r="I1451" i="4"/>
  <c r="D1451" i="4"/>
  <c r="I1450" i="4"/>
  <c r="D1450" i="4"/>
  <c r="I1449" i="4"/>
  <c r="D1449" i="4"/>
  <c r="I1448" i="4"/>
  <c r="D1448" i="4"/>
  <c r="I1447" i="4"/>
  <c r="D1447" i="4"/>
  <c r="I1446" i="4"/>
  <c r="D1446" i="4"/>
  <c r="I1445" i="4"/>
  <c r="D1445" i="4"/>
  <c r="I1444" i="4"/>
  <c r="D1444" i="4"/>
  <c r="I1443" i="4"/>
  <c r="D1443" i="4"/>
  <c r="I1442" i="4"/>
  <c r="D1442" i="4"/>
  <c r="I1441" i="4"/>
  <c r="D1441" i="4"/>
  <c r="I1440" i="4"/>
  <c r="D1440" i="4"/>
  <c r="I1439" i="4"/>
  <c r="D1439" i="4"/>
  <c r="I1438" i="4"/>
  <c r="D1438" i="4"/>
  <c r="I1437" i="4"/>
  <c r="D1437" i="4"/>
  <c r="I1436" i="4"/>
  <c r="D1436" i="4"/>
  <c r="I1435" i="4"/>
  <c r="D1435" i="4"/>
  <c r="I1434" i="4"/>
  <c r="D1434" i="4"/>
  <c r="I1433" i="4"/>
  <c r="D1433" i="4"/>
  <c r="I1432" i="4"/>
  <c r="D1432" i="4"/>
  <c r="I1431" i="4"/>
  <c r="D1431" i="4"/>
  <c r="I1430" i="4"/>
  <c r="D1430" i="4"/>
  <c r="I1429" i="4"/>
  <c r="D1429" i="4"/>
  <c r="I1428" i="4"/>
  <c r="D1428" i="4"/>
  <c r="I1427" i="4"/>
  <c r="D1427" i="4"/>
  <c r="I1426" i="4"/>
  <c r="D1426" i="4"/>
  <c r="I1425" i="4"/>
  <c r="D1425" i="4"/>
  <c r="I1424" i="4"/>
  <c r="D1424" i="4"/>
  <c r="I1423" i="4"/>
  <c r="D1423" i="4"/>
  <c r="I1422" i="4"/>
  <c r="D1422" i="4"/>
  <c r="I1421" i="4"/>
  <c r="D1421" i="4"/>
  <c r="I1420" i="4"/>
  <c r="D1420" i="4"/>
  <c r="I1419" i="4"/>
  <c r="D1419" i="4"/>
  <c r="I1418" i="4"/>
  <c r="D1418" i="4"/>
  <c r="I1417" i="4"/>
  <c r="D1417" i="4"/>
  <c r="I1416" i="4"/>
  <c r="D1416" i="4"/>
  <c r="I1415" i="4"/>
  <c r="D1415" i="4"/>
  <c r="I1414" i="4"/>
  <c r="D1414" i="4"/>
  <c r="I1413" i="4"/>
  <c r="D1413" i="4"/>
  <c r="I1412" i="4"/>
  <c r="D1412" i="4"/>
  <c r="I1411" i="4"/>
  <c r="D1411" i="4"/>
  <c r="I1410" i="4"/>
  <c r="D1410" i="4"/>
  <c r="I1409" i="4"/>
  <c r="D1409" i="4"/>
  <c r="I1408" i="4"/>
  <c r="D1408" i="4"/>
  <c r="I1407" i="4"/>
  <c r="D1407" i="4"/>
  <c r="I1406" i="4"/>
  <c r="D1406" i="4"/>
  <c r="I1405" i="4"/>
  <c r="D1405" i="4"/>
  <c r="I1404" i="4"/>
  <c r="D1404" i="4"/>
  <c r="I1403" i="4"/>
  <c r="D1403" i="4"/>
  <c r="I1402" i="4"/>
  <c r="D1402" i="4"/>
  <c r="I1401" i="4"/>
  <c r="D1401" i="4"/>
  <c r="I1400" i="4"/>
  <c r="D1400" i="4"/>
  <c r="I1399" i="4"/>
  <c r="D1399" i="4"/>
  <c r="I1398" i="4"/>
  <c r="D1398" i="4"/>
  <c r="I1397" i="4"/>
  <c r="D1397" i="4"/>
  <c r="I1396" i="4"/>
  <c r="D1396" i="4"/>
  <c r="I1395" i="4"/>
  <c r="D1395" i="4"/>
  <c r="I1394" i="4"/>
  <c r="D1394" i="4"/>
  <c r="I1393" i="4"/>
  <c r="D1393" i="4"/>
  <c r="I1392" i="4"/>
  <c r="D1392" i="4"/>
  <c r="I1391" i="4"/>
  <c r="D1391" i="4"/>
  <c r="I1390" i="4"/>
  <c r="D1390" i="4"/>
  <c r="I1389" i="4"/>
  <c r="D1389" i="4"/>
  <c r="I1388" i="4"/>
  <c r="D1388" i="4"/>
  <c r="I1387" i="4"/>
  <c r="D1387" i="4"/>
  <c r="I1386" i="4"/>
  <c r="D1386" i="4"/>
  <c r="I1385" i="4"/>
  <c r="D1385" i="4"/>
  <c r="I1384" i="4"/>
  <c r="D1384" i="4"/>
  <c r="I1383" i="4"/>
  <c r="D1383" i="4"/>
  <c r="I1382" i="4"/>
  <c r="D1382" i="4"/>
  <c r="I1381" i="4"/>
  <c r="D1381" i="4"/>
  <c r="I1380" i="4"/>
  <c r="D1380" i="4"/>
  <c r="I1379" i="4"/>
  <c r="D1379" i="4"/>
  <c r="I1378" i="4"/>
  <c r="D1378" i="4"/>
  <c r="I1377" i="4"/>
  <c r="D1377" i="4"/>
  <c r="I1376" i="4"/>
  <c r="D1376" i="4"/>
  <c r="I1375" i="4"/>
  <c r="D1375" i="4"/>
  <c r="I1374" i="4"/>
  <c r="D1374" i="4"/>
  <c r="I1373" i="4"/>
  <c r="D1373" i="4"/>
  <c r="I1372" i="4"/>
  <c r="D1372" i="4"/>
  <c r="I1371" i="4"/>
  <c r="D1371" i="4"/>
  <c r="I1370" i="4"/>
  <c r="D1370" i="4"/>
  <c r="I1369" i="4"/>
  <c r="D1369" i="4"/>
  <c r="I1368" i="4"/>
  <c r="D1368" i="4"/>
  <c r="I1367" i="4"/>
  <c r="D1367" i="4"/>
  <c r="I1366" i="4"/>
  <c r="D1366" i="4"/>
  <c r="I1365" i="4"/>
  <c r="D1365" i="4"/>
  <c r="I1364" i="4"/>
  <c r="D1364" i="4"/>
  <c r="I1363" i="4"/>
  <c r="D1363" i="4"/>
  <c r="I1362" i="4"/>
  <c r="D1362" i="4"/>
  <c r="I1361" i="4"/>
  <c r="D1361" i="4"/>
  <c r="I1360" i="4"/>
  <c r="D1360" i="4"/>
  <c r="I1359" i="4"/>
  <c r="D1359" i="4"/>
  <c r="I1358" i="4"/>
  <c r="D1358" i="4"/>
  <c r="I1357" i="4"/>
  <c r="D1357" i="4"/>
  <c r="I1356" i="4"/>
  <c r="D1356" i="4"/>
  <c r="I1355" i="4"/>
  <c r="D1355" i="4"/>
  <c r="I1354" i="4"/>
  <c r="D1354" i="4"/>
  <c r="I1353" i="4"/>
  <c r="D1353" i="4"/>
  <c r="I1352" i="4"/>
  <c r="D1352" i="4"/>
  <c r="I1351" i="4"/>
  <c r="D1351" i="4"/>
  <c r="I1350" i="4"/>
  <c r="D1350" i="4"/>
  <c r="I1349" i="4"/>
  <c r="D1349" i="4"/>
  <c r="I1348" i="4"/>
  <c r="D1348" i="4"/>
  <c r="I1347" i="4"/>
  <c r="D1347" i="4"/>
  <c r="I1346" i="4"/>
  <c r="D1346" i="4"/>
  <c r="I1345" i="4"/>
  <c r="D1345" i="4"/>
  <c r="I1344" i="4"/>
  <c r="D1344" i="4"/>
  <c r="I1343" i="4"/>
  <c r="D1343" i="4"/>
  <c r="I1342" i="4"/>
  <c r="D1342" i="4"/>
  <c r="I1341" i="4"/>
  <c r="D1341" i="4"/>
  <c r="I1340" i="4"/>
  <c r="D1340" i="4"/>
  <c r="I1339" i="4"/>
  <c r="D1339" i="4"/>
  <c r="I1338" i="4"/>
  <c r="D1338" i="4"/>
  <c r="I1337" i="4"/>
  <c r="D1337" i="4"/>
  <c r="I1336" i="4"/>
  <c r="D1336" i="4"/>
  <c r="I1335" i="4"/>
  <c r="D1335" i="4"/>
  <c r="I1334" i="4"/>
  <c r="D1334" i="4"/>
  <c r="I1333" i="4"/>
  <c r="D1333" i="4"/>
  <c r="I1332" i="4"/>
  <c r="D1332" i="4"/>
  <c r="I1331" i="4"/>
  <c r="D1331" i="4"/>
  <c r="I1330" i="4"/>
  <c r="D1330" i="4"/>
  <c r="I1329" i="4"/>
  <c r="D1329" i="4"/>
  <c r="I1328" i="4"/>
  <c r="D1328" i="4"/>
  <c r="I1327" i="4"/>
  <c r="D1327" i="4"/>
  <c r="I1326" i="4"/>
  <c r="D1326" i="4"/>
  <c r="I1325" i="4"/>
  <c r="D1325" i="4"/>
  <c r="I1324" i="4"/>
  <c r="D1324" i="4"/>
  <c r="I1323" i="4"/>
  <c r="D1323" i="4"/>
  <c r="I1322" i="4"/>
  <c r="D1322" i="4"/>
  <c r="I1321" i="4"/>
  <c r="D1321" i="4"/>
  <c r="I1320" i="4"/>
  <c r="D1320" i="4"/>
  <c r="I1319" i="4"/>
  <c r="D1319" i="4"/>
  <c r="I1318" i="4"/>
  <c r="D1318" i="4"/>
  <c r="I1317" i="4"/>
  <c r="D1317" i="4"/>
  <c r="I1316" i="4"/>
  <c r="D1316" i="4"/>
  <c r="I1315" i="4"/>
  <c r="D1315" i="4"/>
  <c r="I1314" i="4"/>
  <c r="D1314" i="4"/>
  <c r="I1313" i="4"/>
  <c r="D1313" i="4"/>
  <c r="I1312" i="4"/>
  <c r="D1312" i="4"/>
  <c r="I1311" i="4"/>
  <c r="D1311" i="4"/>
  <c r="I1310" i="4"/>
  <c r="D1310" i="4"/>
  <c r="I1309" i="4"/>
  <c r="D1309" i="4"/>
  <c r="I1308" i="4"/>
  <c r="D1308" i="4"/>
  <c r="I1307" i="4"/>
  <c r="D1307" i="4"/>
  <c r="I1306" i="4"/>
  <c r="D1306" i="4"/>
  <c r="I1305" i="4"/>
  <c r="D1305" i="4"/>
  <c r="I1304" i="4"/>
  <c r="D1304" i="4"/>
  <c r="I1300" i="4"/>
  <c r="I1299" i="4"/>
  <c r="I1298" i="4"/>
  <c r="I1297" i="4"/>
  <c r="I1296" i="4"/>
  <c r="I1295" i="4"/>
  <c r="I1294" i="4"/>
  <c r="I1293" i="4"/>
  <c r="I1292" i="4"/>
  <c r="D1292" i="4"/>
  <c r="I1291" i="4"/>
  <c r="D1291" i="4"/>
  <c r="I1290" i="4"/>
  <c r="D1290" i="4"/>
  <c r="I1289" i="4"/>
  <c r="D1289" i="4"/>
  <c r="I1288" i="4"/>
  <c r="D1288" i="4"/>
  <c r="I1287" i="4"/>
  <c r="D1287" i="4"/>
  <c r="I1286" i="4"/>
  <c r="D1286" i="4"/>
  <c r="I1285" i="4"/>
  <c r="D1285" i="4"/>
  <c r="I1284" i="4"/>
  <c r="D1284" i="4"/>
  <c r="I1283" i="4"/>
  <c r="D1283" i="4"/>
  <c r="I1282" i="4"/>
  <c r="D1282" i="4"/>
  <c r="I1281" i="4"/>
  <c r="D1281" i="4"/>
  <c r="I1280" i="4"/>
  <c r="D1280" i="4"/>
  <c r="I1279" i="4"/>
  <c r="D1279" i="4"/>
  <c r="I1278" i="4"/>
  <c r="D1278" i="4"/>
  <c r="I1277" i="4"/>
  <c r="D1277" i="4"/>
  <c r="I1276" i="4"/>
  <c r="D1276" i="4"/>
  <c r="I1275" i="4"/>
  <c r="D1275" i="4"/>
  <c r="I1274" i="4"/>
  <c r="D1274" i="4"/>
  <c r="I1273" i="4"/>
  <c r="D1273" i="4"/>
  <c r="I1272" i="4"/>
  <c r="D1272" i="4"/>
  <c r="I1271" i="4"/>
  <c r="D1271" i="4"/>
  <c r="I1270" i="4"/>
  <c r="D1270" i="4"/>
  <c r="I1269" i="4"/>
  <c r="D1269" i="4"/>
  <c r="I1268" i="4"/>
  <c r="D1268" i="4"/>
  <c r="I1267" i="4"/>
  <c r="D1267" i="4"/>
  <c r="I1266" i="4"/>
  <c r="D1266" i="4"/>
  <c r="I1265" i="4"/>
  <c r="D1265" i="4"/>
  <c r="I1264" i="4"/>
  <c r="D1264" i="4"/>
  <c r="I1263" i="4"/>
  <c r="D1263" i="4"/>
  <c r="I1262" i="4"/>
  <c r="D1262" i="4"/>
  <c r="I1261" i="4"/>
  <c r="D1261" i="4"/>
  <c r="I1260" i="4"/>
  <c r="D1260" i="4"/>
  <c r="I1259" i="4"/>
  <c r="D1259" i="4"/>
  <c r="I1258" i="4"/>
  <c r="D1258" i="4"/>
  <c r="I1257" i="4"/>
  <c r="D1257" i="4"/>
  <c r="I1256" i="4"/>
  <c r="D1256" i="4"/>
  <c r="I1255" i="4"/>
  <c r="D1255" i="4"/>
  <c r="I1254" i="4"/>
  <c r="D1254" i="4"/>
  <c r="I1253" i="4"/>
  <c r="D1253" i="4"/>
  <c r="I1252" i="4"/>
  <c r="D1252" i="4"/>
  <c r="I1251" i="4"/>
  <c r="D1251" i="4"/>
  <c r="I1250" i="4"/>
  <c r="D1250" i="4"/>
  <c r="I1249" i="4"/>
  <c r="D1249" i="4"/>
  <c r="I1248" i="4"/>
  <c r="D1248" i="4"/>
  <c r="I1247" i="4"/>
  <c r="D1247" i="4"/>
  <c r="I1246" i="4"/>
  <c r="D1246" i="4"/>
  <c r="I1245" i="4"/>
  <c r="D1245" i="4"/>
  <c r="I1244" i="4"/>
  <c r="D1244" i="4"/>
  <c r="I1243" i="4"/>
  <c r="D1243" i="4"/>
  <c r="I1242" i="4"/>
  <c r="D1242" i="4"/>
  <c r="I1241" i="4"/>
  <c r="D1241" i="4"/>
  <c r="I1240" i="4"/>
  <c r="D1240" i="4"/>
  <c r="I1239" i="4"/>
  <c r="D1239" i="4"/>
  <c r="I1238" i="4"/>
  <c r="D1238" i="4"/>
  <c r="I1237" i="4"/>
  <c r="D1237" i="4"/>
  <c r="I1236" i="4"/>
  <c r="D1236" i="4"/>
  <c r="I1235" i="4"/>
  <c r="D1235" i="4"/>
  <c r="I1234" i="4"/>
  <c r="D1234" i="4"/>
  <c r="I1233" i="4"/>
  <c r="D1233" i="4"/>
  <c r="I1232" i="4"/>
  <c r="D1232" i="4"/>
  <c r="I1231" i="4"/>
  <c r="D1231" i="4"/>
  <c r="I1230" i="4"/>
  <c r="D1230" i="4"/>
  <c r="I1229" i="4"/>
  <c r="D1229" i="4"/>
  <c r="I1228" i="4"/>
  <c r="D1228" i="4"/>
  <c r="I1227" i="4"/>
  <c r="D1227" i="4"/>
  <c r="I1226" i="4"/>
  <c r="D1226" i="4"/>
  <c r="I1225" i="4"/>
  <c r="D1225" i="4"/>
  <c r="I1224" i="4"/>
  <c r="D1224" i="4"/>
  <c r="I1223" i="4"/>
  <c r="D1223" i="4"/>
  <c r="I1222" i="4"/>
  <c r="D1222" i="4"/>
  <c r="I1221" i="4"/>
  <c r="D1221" i="4"/>
  <c r="I1220" i="4"/>
  <c r="D1220" i="4"/>
  <c r="I1219" i="4"/>
  <c r="D1219" i="4"/>
  <c r="I1218" i="4"/>
  <c r="D1218" i="4"/>
  <c r="I1217" i="4"/>
  <c r="D1217" i="4"/>
  <c r="I1216" i="4"/>
  <c r="D1216" i="4"/>
  <c r="I1215" i="4"/>
  <c r="D1215" i="4"/>
  <c r="I1214" i="4"/>
  <c r="D1214" i="4"/>
  <c r="I1213" i="4"/>
  <c r="D1213" i="4"/>
  <c r="I1212" i="4"/>
  <c r="D1212" i="4"/>
  <c r="I1211" i="4"/>
  <c r="D1211" i="4"/>
  <c r="I1210" i="4"/>
  <c r="D1210" i="4"/>
  <c r="I1209" i="4"/>
  <c r="D1209" i="4"/>
  <c r="I1208" i="4"/>
  <c r="D1208" i="4"/>
  <c r="I1207" i="4"/>
  <c r="D1207" i="4"/>
  <c r="I1206" i="4"/>
  <c r="D1206" i="4"/>
  <c r="I1205" i="4"/>
  <c r="D1205" i="4"/>
  <c r="I1204" i="4"/>
  <c r="D1204" i="4"/>
  <c r="I1203" i="4"/>
  <c r="D1203" i="4"/>
  <c r="I1202" i="4"/>
  <c r="D1202" i="4"/>
  <c r="I1201" i="4"/>
  <c r="D1201" i="4"/>
  <c r="I1200" i="4"/>
  <c r="D1200" i="4"/>
  <c r="I1199" i="4"/>
  <c r="D1199" i="4"/>
  <c r="I1198" i="4"/>
  <c r="D1198" i="4"/>
  <c r="I1197" i="4"/>
  <c r="D1197" i="4"/>
  <c r="I1196" i="4"/>
  <c r="D1196" i="4"/>
  <c r="I1195" i="4"/>
  <c r="D1195" i="4"/>
  <c r="I1194" i="4"/>
  <c r="D1194" i="4"/>
  <c r="I1193" i="4"/>
  <c r="D1193" i="4"/>
  <c r="I1192" i="4"/>
  <c r="D1192" i="4"/>
  <c r="I1191" i="4"/>
  <c r="D1191" i="4"/>
  <c r="I1190" i="4"/>
  <c r="D1190" i="4"/>
  <c r="I1189" i="4"/>
  <c r="D1189" i="4"/>
  <c r="I1188" i="4"/>
  <c r="D1188" i="4"/>
  <c r="I1187" i="4"/>
  <c r="D1187" i="4"/>
  <c r="I1186" i="4"/>
  <c r="D1186" i="4"/>
  <c r="I1185" i="4"/>
  <c r="D1185" i="4"/>
  <c r="I1184" i="4"/>
  <c r="D1184" i="4"/>
  <c r="I1183" i="4"/>
  <c r="D1183" i="4"/>
  <c r="I1182" i="4"/>
  <c r="D1182" i="4"/>
  <c r="I1181" i="4"/>
  <c r="D1181" i="4"/>
  <c r="I1180" i="4"/>
  <c r="D1180" i="4"/>
  <c r="I1179" i="4"/>
  <c r="D1179" i="4"/>
  <c r="I1178" i="4"/>
  <c r="D1178" i="4"/>
  <c r="I1177" i="4"/>
  <c r="D1177" i="4"/>
  <c r="I1176" i="4"/>
  <c r="D1176" i="4"/>
  <c r="I1175" i="4"/>
  <c r="D1175" i="4"/>
  <c r="I1174" i="4"/>
  <c r="D1174" i="4"/>
  <c r="I1173" i="4"/>
  <c r="D1173" i="4"/>
  <c r="I1172" i="4"/>
  <c r="D1172" i="4"/>
  <c r="I1171" i="4"/>
  <c r="D1171" i="4"/>
  <c r="I1170" i="4"/>
  <c r="D1170" i="4"/>
  <c r="I1169" i="4"/>
  <c r="D1169" i="4"/>
  <c r="I1168" i="4"/>
  <c r="D1168" i="4"/>
  <c r="I1167" i="4"/>
  <c r="D1167" i="4"/>
  <c r="I1166" i="4"/>
  <c r="D1166" i="4"/>
  <c r="I1165" i="4"/>
  <c r="D1165" i="4"/>
  <c r="I1164" i="4"/>
  <c r="D1164" i="4"/>
  <c r="I1163" i="4"/>
  <c r="D1163" i="4"/>
  <c r="I1162" i="4"/>
  <c r="D1162" i="4"/>
  <c r="I1161" i="4"/>
  <c r="D1161" i="4"/>
  <c r="I1160" i="4"/>
  <c r="D1160" i="4"/>
  <c r="I1159" i="4"/>
  <c r="D1159" i="4"/>
  <c r="I1158" i="4"/>
  <c r="D1158" i="4"/>
  <c r="I1157" i="4"/>
  <c r="D1157" i="4"/>
  <c r="I1156" i="4"/>
  <c r="D1156" i="4"/>
  <c r="I1155" i="4"/>
  <c r="D1155" i="4"/>
  <c r="I1154" i="4"/>
  <c r="D1154" i="4"/>
  <c r="I1153" i="4"/>
  <c r="D1153" i="4"/>
  <c r="I1152" i="4"/>
  <c r="D1152" i="4"/>
  <c r="I1151" i="4"/>
  <c r="D1151" i="4"/>
  <c r="I1150" i="4"/>
  <c r="D1150" i="4"/>
  <c r="I1149" i="4"/>
  <c r="D1149" i="4"/>
  <c r="I1148" i="4"/>
  <c r="D1148" i="4"/>
  <c r="I1147" i="4"/>
  <c r="D1147" i="4"/>
  <c r="I1146" i="4"/>
  <c r="D1146" i="4"/>
  <c r="I1145" i="4"/>
  <c r="D1145" i="4"/>
  <c r="I1144" i="4"/>
  <c r="D1144" i="4"/>
  <c r="I1143" i="4"/>
  <c r="D1143" i="4"/>
  <c r="I1142" i="4"/>
  <c r="D1142" i="4"/>
  <c r="I1141" i="4"/>
  <c r="D1141" i="4"/>
  <c r="I1140" i="4"/>
  <c r="D1140" i="4"/>
  <c r="I1139" i="4"/>
  <c r="D1139" i="4"/>
  <c r="I1138" i="4"/>
  <c r="D1138" i="4"/>
  <c r="I1137" i="4"/>
  <c r="D1137" i="4"/>
  <c r="I1136" i="4"/>
  <c r="D1136" i="4"/>
  <c r="I1135" i="4"/>
  <c r="D1135" i="4"/>
  <c r="I1134" i="4"/>
  <c r="D1134" i="4"/>
  <c r="I1133" i="4"/>
  <c r="D1133" i="4"/>
  <c r="I1132" i="4"/>
  <c r="D1132" i="4"/>
  <c r="I1131" i="4"/>
  <c r="D1131" i="4"/>
  <c r="I1130" i="4"/>
  <c r="D1130" i="4"/>
  <c r="I1129" i="4"/>
  <c r="D1129" i="4"/>
  <c r="I1128" i="4"/>
  <c r="D1128" i="4"/>
  <c r="I1127" i="4"/>
  <c r="D1127" i="4"/>
  <c r="I1126" i="4"/>
  <c r="D1126" i="4"/>
  <c r="I1125" i="4"/>
  <c r="D1125" i="4"/>
  <c r="I1124" i="4"/>
  <c r="D1124" i="4"/>
  <c r="I1123" i="4"/>
  <c r="D1123" i="4"/>
  <c r="I1122" i="4"/>
  <c r="D1122" i="4"/>
  <c r="I1121" i="4"/>
  <c r="D1121" i="4"/>
  <c r="I1120" i="4"/>
  <c r="D1120" i="4"/>
  <c r="I1119" i="4"/>
  <c r="D1119" i="4"/>
  <c r="I1118" i="4"/>
  <c r="D1118" i="4"/>
  <c r="I1117" i="4"/>
  <c r="D1117" i="4"/>
  <c r="I1116" i="4"/>
  <c r="D1116" i="4"/>
  <c r="I1115" i="4"/>
  <c r="D1115" i="4"/>
  <c r="I1114" i="4"/>
  <c r="D1114" i="4"/>
  <c r="I1113" i="4"/>
  <c r="D1113" i="4"/>
  <c r="I1112" i="4"/>
  <c r="D1112" i="4"/>
  <c r="I1111" i="4"/>
  <c r="D1111" i="4"/>
  <c r="I1110" i="4"/>
  <c r="D1110" i="4"/>
  <c r="I1109" i="4"/>
  <c r="D1109" i="4"/>
  <c r="I1108" i="4"/>
  <c r="D1108" i="4"/>
  <c r="I1107" i="4"/>
  <c r="D1107" i="4"/>
  <c r="I1106" i="4"/>
  <c r="D1106" i="4"/>
  <c r="I1105" i="4"/>
  <c r="D1105" i="4"/>
  <c r="I1104" i="4"/>
  <c r="D1104" i="4"/>
  <c r="I1103" i="4"/>
  <c r="D1103" i="4"/>
  <c r="I1102" i="4"/>
  <c r="D1102" i="4"/>
  <c r="I1101" i="4"/>
  <c r="D1101" i="4"/>
  <c r="I1100" i="4"/>
  <c r="D1100" i="4"/>
  <c r="I1099" i="4"/>
  <c r="D1099" i="4"/>
  <c r="I1098" i="4"/>
  <c r="D1098" i="4"/>
  <c r="I1097" i="4"/>
  <c r="D1097" i="4"/>
  <c r="I1096" i="4"/>
  <c r="D1096" i="4"/>
  <c r="I1095" i="4"/>
  <c r="D1095" i="4"/>
  <c r="I1094" i="4"/>
  <c r="D1094" i="4"/>
  <c r="I1093" i="4"/>
  <c r="D1093" i="4"/>
  <c r="I1092" i="4"/>
  <c r="D1092" i="4"/>
  <c r="I1091" i="4"/>
  <c r="D1091" i="4"/>
  <c r="I1090" i="4"/>
  <c r="D1090" i="4"/>
  <c r="I1089" i="4"/>
  <c r="D1089" i="4"/>
  <c r="I1088" i="4"/>
  <c r="D1088" i="4"/>
  <c r="I1087" i="4"/>
  <c r="D1087" i="4"/>
  <c r="I1086" i="4"/>
  <c r="D1086" i="4"/>
  <c r="I1085" i="4"/>
  <c r="D1085" i="4"/>
  <c r="I1084" i="4"/>
  <c r="D1084" i="4"/>
  <c r="I1083" i="4"/>
  <c r="D1083" i="4"/>
  <c r="I1082" i="4"/>
  <c r="D1082" i="4"/>
  <c r="I1081" i="4"/>
  <c r="D1081" i="4"/>
  <c r="I1080" i="4"/>
  <c r="D1080" i="4"/>
  <c r="I1079" i="4"/>
  <c r="D1079" i="4"/>
  <c r="I1078" i="4"/>
  <c r="D1078" i="4"/>
  <c r="I1077" i="4"/>
  <c r="D1077" i="4"/>
  <c r="I1076" i="4"/>
  <c r="D1076" i="4"/>
  <c r="I1075" i="4"/>
  <c r="D1075" i="4"/>
  <c r="I1074" i="4"/>
  <c r="D1074" i="4"/>
  <c r="I1073" i="4"/>
  <c r="D1073" i="4"/>
  <c r="I1072" i="4"/>
  <c r="D1072" i="4"/>
  <c r="I1071" i="4"/>
  <c r="D1071" i="4"/>
  <c r="I1070" i="4"/>
  <c r="D1070" i="4"/>
  <c r="I1069" i="4"/>
  <c r="D1069" i="4"/>
  <c r="I1068" i="4"/>
  <c r="D1068" i="4"/>
  <c r="I1067" i="4"/>
  <c r="D1067" i="4"/>
  <c r="I1066" i="4"/>
  <c r="D1066" i="4"/>
  <c r="I1065" i="4"/>
  <c r="D1065" i="4"/>
  <c r="I1064" i="4"/>
  <c r="D1064" i="4"/>
  <c r="I1063" i="4"/>
  <c r="D1063" i="4"/>
  <c r="I1062" i="4"/>
  <c r="D1062" i="4"/>
  <c r="I1061" i="4"/>
  <c r="D1061" i="4"/>
  <c r="I1060" i="4"/>
  <c r="D1060" i="4"/>
  <c r="I1059" i="4"/>
  <c r="D1059" i="4"/>
  <c r="I1058" i="4"/>
  <c r="D1058" i="4"/>
  <c r="I1057" i="4"/>
  <c r="D1057" i="4"/>
  <c r="I1056" i="4"/>
  <c r="D1056" i="4"/>
  <c r="I1055" i="4"/>
  <c r="D1055" i="4"/>
  <c r="I1054" i="4"/>
  <c r="D1054" i="4"/>
  <c r="I1053" i="4"/>
  <c r="D1053" i="4"/>
  <c r="I1052" i="4"/>
  <c r="D1052" i="4"/>
  <c r="I1051" i="4"/>
  <c r="D1051" i="4"/>
  <c r="I1050" i="4"/>
  <c r="D1050" i="4"/>
  <c r="I1049" i="4"/>
  <c r="D1049" i="4"/>
  <c r="I1048" i="4"/>
  <c r="D1048" i="4"/>
  <c r="I1047" i="4"/>
  <c r="D1047" i="4"/>
  <c r="I1046" i="4"/>
  <c r="D1046" i="4"/>
  <c r="I1045" i="4"/>
  <c r="D1045" i="4"/>
  <c r="I1044" i="4"/>
  <c r="D1044" i="4"/>
  <c r="I1043" i="4"/>
  <c r="D1043" i="4"/>
  <c r="I1042" i="4"/>
  <c r="D1042" i="4"/>
  <c r="I1041" i="4"/>
  <c r="D1041" i="4"/>
  <c r="I1040" i="4"/>
  <c r="D1040" i="4"/>
  <c r="I1039" i="4"/>
  <c r="D1039" i="4"/>
  <c r="I1038" i="4"/>
  <c r="D1038" i="4"/>
  <c r="I1037" i="4"/>
  <c r="D1037" i="4"/>
  <c r="I1036" i="4"/>
  <c r="D1036" i="4"/>
  <c r="I1035" i="4"/>
  <c r="D1035" i="4"/>
  <c r="I1034" i="4"/>
  <c r="D1034" i="4"/>
  <c r="I1033" i="4"/>
  <c r="D1033" i="4"/>
  <c r="I1032" i="4"/>
  <c r="D1032" i="4"/>
  <c r="I1031" i="4"/>
  <c r="D1031" i="4"/>
  <c r="I1030" i="4"/>
  <c r="D1030" i="4"/>
  <c r="I1029" i="4"/>
  <c r="D1029" i="4"/>
  <c r="I1028" i="4"/>
  <c r="D1028" i="4"/>
  <c r="I1027" i="4"/>
  <c r="D1027" i="4"/>
  <c r="I1026" i="4"/>
  <c r="D1026" i="4"/>
  <c r="I1025" i="4"/>
  <c r="D1025" i="4"/>
  <c r="I1024" i="4"/>
  <c r="D1024" i="4"/>
  <c r="I1023" i="4"/>
  <c r="D1023" i="4"/>
  <c r="I1022" i="4"/>
  <c r="D1022" i="4"/>
  <c r="I1021" i="4"/>
  <c r="D1021" i="4"/>
  <c r="I1020" i="4"/>
  <c r="D1020" i="4"/>
  <c r="I1019" i="4"/>
  <c r="D1019" i="4"/>
  <c r="I1018" i="4"/>
  <c r="D1018" i="4"/>
  <c r="I1017" i="4"/>
  <c r="D1017" i="4"/>
  <c r="I1016" i="4"/>
  <c r="D1016" i="4"/>
  <c r="I1015" i="4"/>
  <c r="D1015" i="4"/>
  <c r="I1014" i="4"/>
  <c r="D1014" i="4"/>
  <c r="I1013" i="4"/>
  <c r="D1013" i="4"/>
  <c r="I1012" i="4"/>
  <c r="D1012" i="4"/>
  <c r="I1011" i="4"/>
  <c r="D1011" i="4"/>
  <c r="I1010" i="4"/>
  <c r="D1010" i="4"/>
  <c r="I1009" i="4"/>
  <c r="D1009" i="4"/>
  <c r="I1008" i="4"/>
  <c r="D1008" i="4"/>
  <c r="I1007" i="4"/>
  <c r="D1007" i="4"/>
  <c r="I1006" i="4"/>
  <c r="D1006" i="4"/>
  <c r="I1005" i="4"/>
  <c r="D1005" i="4"/>
  <c r="I1004" i="4"/>
  <c r="D1004" i="4"/>
  <c r="I1003" i="4"/>
  <c r="D1003" i="4"/>
  <c r="I1002" i="4"/>
  <c r="D1002" i="4"/>
  <c r="I1001" i="4"/>
  <c r="D1001" i="4"/>
  <c r="I1000" i="4"/>
  <c r="D1000" i="4"/>
  <c r="I999" i="4"/>
  <c r="D999" i="4"/>
  <c r="I998" i="4"/>
  <c r="D998" i="4"/>
  <c r="I997" i="4"/>
  <c r="D997" i="4"/>
  <c r="I996" i="4"/>
  <c r="D996" i="4"/>
  <c r="I995" i="4"/>
  <c r="D995" i="4"/>
  <c r="I994" i="4"/>
  <c r="D994" i="4"/>
  <c r="I993" i="4"/>
  <c r="D993" i="4"/>
  <c r="I992" i="4"/>
  <c r="D992" i="4"/>
  <c r="I991" i="4"/>
  <c r="D991" i="4"/>
  <c r="I990" i="4"/>
  <c r="D990" i="4"/>
  <c r="I989" i="4"/>
  <c r="D989" i="4"/>
  <c r="I988" i="4"/>
  <c r="D988" i="4"/>
  <c r="I987" i="4"/>
  <c r="D987" i="4"/>
  <c r="I986" i="4"/>
  <c r="D986" i="4"/>
  <c r="I985" i="4"/>
  <c r="D985" i="4"/>
  <c r="I984" i="4"/>
  <c r="D984" i="4"/>
  <c r="I983" i="4"/>
  <c r="D983" i="4"/>
  <c r="I982" i="4"/>
  <c r="D982" i="4"/>
  <c r="I981" i="4"/>
  <c r="D981" i="4"/>
  <c r="I980" i="4"/>
  <c r="D980" i="4"/>
  <c r="I979" i="4"/>
  <c r="D979" i="4"/>
  <c r="I978" i="4"/>
  <c r="D978" i="4"/>
  <c r="I977" i="4"/>
  <c r="D977" i="4"/>
  <c r="I976" i="4"/>
  <c r="D976" i="4"/>
  <c r="I975" i="4"/>
  <c r="D975" i="4"/>
  <c r="I974" i="4"/>
  <c r="D974" i="4"/>
  <c r="I973" i="4"/>
  <c r="D973" i="4"/>
  <c r="I972" i="4"/>
  <c r="D972" i="4"/>
  <c r="I971" i="4"/>
  <c r="D971" i="4"/>
  <c r="I970" i="4"/>
  <c r="D970" i="4"/>
  <c r="I969" i="4"/>
  <c r="D969" i="4"/>
  <c r="I968" i="4"/>
  <c r="D968" i="4"/>
  <c r="I967" i="4"/>
  <c r="D967" i="4"/>
  <c r="I966" i="4"/>
  <c r="D966" i="4"/>
  <c r="I965" i="4"/>
  <c r="D965" i="4"/>
  <c r="I964" i="4"/>
  <c r="D964" i="4"/>
  <c r="I963" i="4"/>
  <c r="D963" i="4"/>
  <c r="I962" i="4"/>
  <c r="D962" i="4"/>
  <c r="I961" i="4"/>
  <c r="D961" i="4"/>
  <c r="I960" i="4"/>
  <c r="D960" i="4"/>
  <c r="I959" i="4"/>
  <c r="D959" i="4"/>
  <c r="I958" i="4"/>
  <c r="D958" i="4"/>
  <c r="I957" i="4"/>
  <c r="D957" i="4"/>
  <c r="I956" i="4"/>
  <c r="D956" i="4"/>
  <c r="I955" i="4"/>
  <c r="D955" i="4"/>
  <c r="I954" i="4"/>
  <c r="D954" i="4"/>
  <c r="I953" i="4"/>
  <c r="D953" i="4"/>
  <c r="I952" i="4"/>
  <c r="D952" i="4"/>
  <c r="I951" i="4"/>
  <c r="D951" i="4"/>
  <c r="I950" i="4"/>
  <c r="D950" i="4"/>
  <c r="I949" i="4"/>
  <c r="D949" i="4"/>
  <c r="I948" i="4"/>
  <c r="D948" i="4"/>
  <c r="I947" i="4"/>
  <c r="D947" i="4"/>
  <c r="I946" i="4"/>
  <c r="D946" i="4"/>
  <c r="I945" i="4"/>
  <c r="D945" i="4"/>
  <c r="I944" i="4"/>
  <c r="D944" i="4"/>
  <c r="I943" i="4"/>
  <c r="D943" i="4"/>
  <c r="I942" i="4"/>
  <c r="D942" i="4"/>
  <c r="I941" i="4"/>
  <c r="D941" i="4"/>
  <c r="I940" i="4"/>
  <c r="D940" i="4"/>
  <c r="I939" i="4"/>
  <c r="D939" i="4"/>
  <c r="I938" i="4"/>
  <c r="D938" i="4"/>
  <c r="I937" i="4"/>
  <c r="D937" i="4"/>
  <c r="I936" i="4"/>
  <c r="D936" i="4"/>
  <c r="I935" i="4"/>
  <c r="D935" i="4"/>
  <c r="I934" i="4"/>
  <c r="D934" i="4"/>
  <c r="I933" i="4"/>
  <c r="D933" i="4"/>
  <c r="I932" i="4"/>
  <c r="D932" i="4"/>
  <c r="I931" i="4"/>
  <c r="D931" i="4"/>
  <c r="I930" i="4"/>
  <c r="D930" i="4"/>
  <c r="I929" i="4"/>
  <c r="D929" i="4"/>
  <c r="I928" i="4"/>
  <c r="D928" i="4"/>
  <c r="I927" i="4"/>
  <c r="D927" i="4"/>
  <c r="I926" i="4"/>
  <c r="D926" i="4"/>
  <c r="I925" i="4"/>
  <c r="D925" i="4"/>
  <c r="I924" i="4"/>
  <c r="D924" i="4"/>
  <c r="I923" i="4"/>
  <c r="D923" i="4"/>
  <c r="I922" i="4"/>
  <c r="D922" i="4"/>
  <c r="I921" i="4"/>
  <c r="D921" i="4"/>
  <c r="I920" i="4"/>
  <c r="D920" i="4"/>
  <c r="I919" i="4"/>
  <c r="D919" i="4"/>
  <c r="I918" i="4"/>
  <c r="D918" i="4"/>
  <c r="I917" i="4"/>
  <c r="D917" i="4"/>
  <c r="I916" i="4"/>
  <c r="D916" i="4"/>
  <c r="I915" i="4"/>
  <c r="D915" i="4"/>
  <c r="I914" i="4"/>
  <c r="D914" i="4"/>
  <c r="I913" i="4"/>
  <c r="D913" i="4"/>
  <c r="I912" i="4"/>
  <c r="D912" i="4"/>
  <c r="I911" i="4"/>
  <c r="D911" i="4"/>
  <c r="I910" i="4"/>
  <c r="D910" i="4"/>
  <c r="I909" i="4"/>
  <c r="D909" i="4"/>
  <c r="I908" i="4"/>
  <c r="D908" i="4"/>
  <c r="I907" i="4"/>
  <c r="D907" i="4"/>
  <c r="I906" i="4"/>
  <c r="D906" i="4"/>
  <c r="I905" i="4"/>
  <c r="D905" i="4"/>
  <c r="I904" i="4"/>
  <c r="D904" i="4"/>
  <c r="I903" i="4"/>
  <c r="D903" i="4"/>
  <c r="I902" i="4"/>
  <c r="D902" i="4"/>
  <c r="I901" i="4"/>
  <c r="D901" i="4"/>
  <c r="I900" i="4"/>
  <c r="D900" i="4"/>
  <c r="I899" i="4"/>
  <c r="D899" i="4"/>
  <c r="I898" i="4"/>
  <c r="D898" i="4"/>
  <c r="I897" i="4"/>
  <c r="D897" i="4"/>
  <c r="I896" i="4"/>
  <c r="D896" i="4"/>
  <c r="I895" i="4"/>
  <c r="D895" i="4"/>
  <c r="I894" i="4"/>
  <c r="D894" i="4"/>
  <c r="I893" i="4"/>
  <c r="D893" i="4"/>
  <c r="I892" i="4"/>
  <c r="D892" i="4"/>
  <c r="I891" i="4"/>
  <c r="D891" i="4"/>
  <c r="I890" i="4"/>
  <c r="D890" i="4"/>
  <c r="I889" i="4"/>
  <c r="D889" i="4"/>
  <c r="I888" i="4"/>
  <c r="D888" i="4"/>
  <c r="I887" i="4"/>
  <c r="D887" i="4"/>
  <c r="I886" i="4"/>
  <c r="D886" i="4"/>
  <c r="I885" i="4"/>
  <c r="D885" i="4"/>
  <c r="I884" i="4"/>
  <c r="D884" i="4"/>
  <c r="I883" i="4"/>
  <c r="D883" i="4"/>
  <c r="I882" i="4"/>
  <c r="D882" i="4"/>
  <c r="I881" i="4"/>
  <c r="D881" i="4"/>
  <c r="I880" i="4"/>
  <c r="D880" i="4"/>
  <c r="I879" i="4"/>
  <c r="D879" i="4"/>
  <c r="I878" i="4"/>
  <c r="D878" i="4"/>
  <c r="I877" i="4"/>
  <c r="D877" i="4"/>
  <c r="I876" i="4"/>
  <c r="D876" i="4"/>
  <c r="I875" i="4"/>
  <c r="D875" i="4"/>
  <c r="I874" i="4"/>
  <c r="D874" i="4"/>
  <c r="I873" i="4"/>
  <c r="D873" i="4"/>
  <c r="I872" i="4"/>
  <c r="D872" i="4"/>
  <c r="I871" i="4"/>
  <c r="D871" i="4"/>
  <c r="I870" i="4"/>
  <c r="D870" i="4"/>
  <c r="I171" i="4"/>
  <c r="I83" i="4"/>
  <c r="D83" i="4"/>
  <c r="I84" i="4"/>
  <c r="D20" i="4"/>
  <c r="I20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E99" i="5"/>
  <c r="E100" i="5"/>
  <c r="E101" i="5"/>
  <c r="M99" i="5"/>
  <c r="N112" i="5"/>
  <c r="E87" i="5"/>
  <c r="E88" i="5"/>
  <c r="E89" i="5"/>
  <c r="E90" i="5"/>
  <c r="E91" i="5"/>
  <c r="E92" i="5"/>
  <c r="E93" i="5"/>
  <c r="M86" i="5"/>
  <c r="N111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M66" i="5"/>
  <c r="N110" i="5"/>
  <c r="M5" i="5"/>
  <c r="N109" i="5"/>
  <c r="M102" i="5"/>
  <c r="K101" i="5"/>
  <c r="J101" i="5"/>
  <c r="D101" i="5"/>
  <c r="K100" i="5"/>
  <c r="J100" i="5"/>
  <c r="D100" i="5"/>
  <c r="K99" i="5"/>
  <c r="J99" i="5"/>
  <c r="D99" i="5"/>
  <c r="J98" i="5"/>
  <c r="D98" i="5"/>
  <c r="O86" i="5"/>
  <c r="M89" i="5"/>
  <c r="K87" i="5"/>
  <c r="K88" i="5"/>
  <c r="K89" i="5"/>
  <c r="K90" i="5"/>
  <c r="K91" i="5"/>
  <c r="K92" i="5"/>
  <c r="K93" i="5"/>
  <c r="J87" i="5"/>
  <c r="J88" i="5"/>
  <c r="J89" i="5"/>
  <c r="J90" i="5"/>
  <c r="J91" i="5"/>
  <c r="J92" i="5"/>
  <c r="J93" i="5"/>
  <c r="D90" i="5"/>
  <c r="D93" i="5"/>
  <c r="D92" i="5"/>
  <c r="D91" i="5"/>
  <c r="D89" i="5"/>
  <c r="Q77" i="5"/>
  <c r="S77" i="5"/>
  <c r="Q80" i="5"/>
  <c r="D88" i="5"/>
  <c r="D87" i="5"/>
  <c r="J86" i="5"/>
  <c r="D86" i="5"/>
  <c r="O66" i="5"/>
  <c r="M69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J79" i="5"/>
  <c r="D79" i="5"/>
  <c r="J78" i="5"/>
  <c r="D78" i="5"/>
  <c r="J77" i="5"/>
  <c r="D77" i="5"/>
  <c r="J76" i="5"/>
  <c r="D76" i="5"/>
  <c r="J75" i="5"/>
  <c r="D75" i="5"/>
  <c r="J74" i="5"/>
  <c r="D74" i="5"/>
  <c r="J73" i="5"/>
  <c r="D73" i="5"/>
  <c r="J72" i="5"/>
  <c r="D72" i="5"/>
  <c r="M54" i="5"/>
  <c r="M57" i="5"/>
  <c r="J71" i="5"/>
  <c r="D71" i="5"/>
  <c r="J70" i="5"/>
  <c r="D70" i="5"/>
  <c r="J69" i="5"/>
  <c r="D69" i="5"/>
  <c r="J68" i="5"/>
  <c r="D68" i="5"/>
  <c r="M46" i="5"/>
  <c r="O46" i="5"/>
  <c r="M49" i="5"/>
  <c r="J67" i="5"/>
  <c r="D67" i="5"/>
  <c r="J66" i="5"/>
  <c r="D66" i="5"/>
  <c r="J65" i="5"/>
  <c r="D65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M13" i="5"/>
  <c r="M16" i="5"/>
  <c r="O5" i="5"/>
  <c r="M8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</calcChain>
</file>

<file path=xl/sharedStrings.xml><?xml version="1.0" encoding="utf-8"?>
<sst xmlns="http://schemas.openxmlformats.org/spreadsheetml/2006/main" count="8491" uniqueCount="501">
  <si>
    <t>Average Size</t>
    <phoneticPr fontId="1" type="noConversion"/>
  </si>
  <si>
    <t>E=0</t>
    <phoneticPr fontId="1" type="noConversion"/>
  </si>
  <si>
    <t>E=1</t>
    <phoneticPr fontId="1" type="noConversion"/>
  </si>
  <si>
    <t>E=2</t>
    <phoneticPr fontId="1" type="noConversion"/>
  </si>
  <si>
    <t>E=3</t>
    <phoneticPr fontId="1" type="noConversion"/>
  </si>
  <si>
    <t>E=4</t>
    <phoneticPr fontId="1" type="noConversion"/>
  </si>
  <si>
    <t>time</t>
    <phoneticPr fontId="1" type="noConversion"/>
  </si>
  <si>
    <t>Note</t>
    <phoneticPr fontId="1" type="noConversion"/>
  </si>
  <si>
    <t>Distance From C0</t>
    <phoneticPr fontId="1" type="noConversion"/>
  </si>
  <si>
    <t>Hertz</t>
    <phoneticPr fontId="1" type="noConversion"/>
  </si>
  <si>
    <t>Interval b/t pervious note</t>
    <phoneticPr fontId="1" type="noConversion"/>
  </si>
  <si>
    <t>Distance From C0</t>
    <phoneticPr fontId="1" type="noConversion"/>
  </si>
  <si>
    <t>Intervals b/t previous Notes</t>
    <phoneticPr fontId="1" type="noConversion"/>
  </si>
  <si>
    <t>d03</t>
  </si>
  <si>
    <t>E=5</t>
    <phoneticPr fontId="1" type="noConversion"/>
  </si>
  <si>
    <t>Total Right &amp; Left Values</t>
    <phoneticPr fontId="1" type="noConversion"/>
  </si>
  <si>
    <t>y=-381.6x+1218.4</t>
    <phoneticPr fontId="1" type="noConversion"/>
  </si>
  <si>
    <t>Eb4</t>
    <phoneticPr fontId="1" type="noConversion"/>
  </si>
  <si>
    <t>F#4</t>
    <phoneticPr fontId="1" type="noConversion"/>
  </si>
  <si>
    <t>B4</t>
    <phoneticPr fontId="1" type="noConversion"/>
  </si>
  <si>
    <t>C5</t>
    <phoneticPr fontId="1" type="noConversion"/>
  </si>
  <si>
    <t>B4</t>
    <phoneticPr fontId="1" type="noConversion"/>
  </si>
  <si>
    <t>A4</t>
    <phoneticPr fontId="1" type="noConversion"/>
  </si>
  <si>
    <t>G4</t>
    <phoneticPr fontId="1" type="noConversion"/>
  </si>
  <si>
    <t>F5</t>
    <phoneticPr fontId="1" type="noConversion"/>
  </si>
  <si>
    <t>E5</t>
    <phoneticPr fontId="1" type="noConversion"/>
  </si>
  <si>
    <t>Left Hand</t>
  </si>
  <si>
    <t>C3</t>
  </si>
  <si>
    <t>D3</t>
  </si>
  <si>
    <t>E3</t>
  </si>
  <si>
    <t>F3</t>
  </si>
  <si>
    <t>C5</t>
    <phoneticPr fontId="1" type="noConversion"/>
  </si>
  <si>
    <t>C4</t>
    <phoneticPr fontId="1" type="noConversion"/>
  </si>
  <si>
    <t>Bb3</t>
    <phoneticPr fontId="1" type="noConversion"/>
  </si>
  <si>
    <t>C2</t>
    <phoneticPr fontId="1" type="noConversion"/>
  </si>
  <si>
    <t>D3</t>
    <phoneticPr fontId="1" type="noConversion"/>
  </si>
  <si>
    <t>Db3</t>
    <phoneticPr fontId="1" type="noConversion"/>
  </si>
  <si>
    <t>G4</t>
    <phoneticPr fontId="1" type="noConversion"/>
  </si>
  <si>
    <t>E4</t>
    <phoneticPr fontId="1" type="noConversion"/>
  </si>
  <si>
    <t>Total Number of Intervals</t>
    <phoneticPr fontId="22" type="noConversion"/>
  </si>
  <si>
    <t>Average interval</t>
    <phoneticPr fontId="22" type="noConversion"/>
  </si>
  <si>
    <t>Regression</t>
    <phoneticPr fontId="22" type="noConversion"/>
  </si>
  <si>
    <t>y=-4.5x+50</t>
    <phoneticPr fontId="22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</si>
  <si>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 .8823529412</t>
    </r>
    <phoneticPr fontId="22" type="noConversion"/>
  </si>
  <si>
    <t>G3</t>
  </si>
  <si>
    <t>G2</t>
  </si>
  <si>
    <t>A3</t>
  </si>
  <si>
    <t>B3</t>
  </si>
  <si>
    <t>F#3</t>
  </si>
  <si>
    <t xml:space="preserve">Interval </t>
    <phoneticPr fontId="1" type="noConversion"/>
  </si>
  <si>
    <t>Left Hand Values</t>
    <phoneticPr fontId="1" type="noConversion"/>
  </si>
  <si>
    <t>Left Regression</t>
    <phoneticPr fontId="1" type="noConversion"/>
  </si>
  <si>
    <t>y=-200.1x+629.4</t>
    <phoneticPr fontId="1" type="noConversion"/>
  </si>
  <si>
    <t>G4</t>
    <phoneticPr fontId="1" type="noConversion"/>
  </si>
  <si>
    <t>A3</t>
    <phoneticPr fontId="1" type="noConversion"/>
  </si>
  <si>
    <t>E3</t>
    <phoneticPr fontId="1" type="noConversion"/>
  </si>
  <si>
    <t>F3</t>
    <phoneticPr fontId="1" type="noConversion"/>
  </si>
  <si>
    <t>G3</t>
    <phoneticPr fontId="1" type="noConversion"/>
  </si>
  <si>
    <t>E3</t>
    <phoneticPr fontId="1" type="noConversion"/>
  </si>
  <si>
    <t>E3</t>
    <phoneticPr fontId="1" type="noConversion"/>
  </si>
  <si>
    <t>G4</t>
    <phoneticPr fontId="1" type="noConversion"/>
  </si>
  <si>
    <t>G4</t>
    <phoneticPr fontId="1" type="noConversion"/>
  </si>
  <si>
    <t>F4</t>
    <phoneticPr fontId="1" type="noConversion"/>
  </si>
  <si>
    <t>B4</t>
    <phoneticPr fontId="1" type="noConversion"/>
  </si>
  <si>
    <t>A#4</t>
    <phoneticPr fontId="1" type="noConversion"/>
  </si>
  <si>
    <t>A3</t>
    <phoneticPr fontId="1" type="noConversion"/>
  </si>
  <si>
    <t>G4</t>
    <phoneticPr fontId="1" type="noConversion"/>
  </si>
  <si>
    <t>A2</t>
    <phoneticPr fontId="1" type="noConversion"/>
  </si>
  <si>
    <t>Bb2</t>
    <phoneticPr fontId="1" type="noConversion"/>
  </si>
  <si>
    <t>D3</t>
    <phoneticPr fontId="1" type="noConversion"/>
  </si>
  <si>
    <t>D4</t>
    <phoneticPr fontId="1" type="noConversion"/>
  </si>
  <si>
    <t>C Maj</t>
    <phoneticPr fontId="22" type="noConversion"/>
  </si>
  <si>
    <t>Averaged Right &amp; Left</t>
    <phoneticPr fontId="1" type="noConversion"/>
  </si>
  <si>
    <t>Average Regression</t>
    <phoneticPr fontId="1" type="noConversion"/>
  </si>
  <si>
    <t>y=-294.15x+1040.85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</si>
  <si>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=.790124</t>
    </r>
    <phoneticPr fontId="1" type="noConversion"/>
  </si>
  <si>
    <t>C6</t>
    <phoneticPr fontId="1" type="noConversion"/>
  </si>
  <si>
    <t>A5</t>
    <phoneticPr fontId="1" type="noConversion"/>
  </si>
  <si>
    <t>D6</t>
    <phoneticPr fontId="1" type="noConversion"/>
  </si>
  <si>
    <t>Bb5</t>
    <phoneticPr fontId="1" type="noConversion"/>
  </si>
  <si>
    <t>C3</t>
    <phoneticPr fontId="1" type="noConversion"/>
  </si>
  <si>
    <t>Bb2</t>
    <phoneticPr fontId="1" type="noConversion"/>
  </si>
  <si>
    <t>D3</t>
    <phoneticPr fontId="1" type="noConversion"/>
  </si>
  <si>
    <t>Db3</t>
    <phoneticPr fontId="1" type="noConversion"/>
  </si>
  <si>
    <t>B2</t>
    <phoneticPr fontId="1" type="noConversion"/>
  </si>
  <si>
    <t>Bb2</t>
    <phoneticPr fontId="1" type="noConversion"/>
  </si>
  <si>
    <t>Eb3</t>
    <phoneticPr fontId="1" type="noConversion"/>
  </si>
  <si>
    <t>D3</t>
    <phoneticPr fontId="1" type="noConversion"/>
  </si>
  <si>
    <t>A4</t>
    <phoneticPr fontId="1" type="noConversion"/>
  </si>
  <si>
    <t>F5</t>
    <phoneticPr fontId="1" type="noConversion"/>
  </si>
  <si>
    <t>E5</t>
    <phoneticPr fontId="1" type="noConversion"/>
  </si>
  <si>
    <t>A4</t>
    <phoneticPr fontId="1" type="noConversion"/>
  </si>
  <si>
    <t>Bb4</t>
    <phoneticPr fontId="1" type="noConversion"/>
  </si>
  <si>
    <t>G5</t>
    <phoneticPr fontId="1" type="noConversion"/>
  </si>
  <si>
    <t>Bb4</t>
    <phoneticPr fontId="1" type="noConversion"/>
  </si>
  <si>
    <t>C5</t>
    <phoneticPr fontId="1" type="noConversion"/>
  </si>
  <si>
    <t>A5</t>
    <phoneticPr fontId="1" type="noConversion"/>
  </si>
  <si>
    <t>G3</t>
    <phoneticPr fontId="1" type="noConversion"/>
  </si>
  <si>
    <t>Note</t>
    <phoneticPr fontId="1" type="noConversion"/>
  </si>
  <si>
    <t>Distance from C0</t>
    <phoneticPr fontId="1" type="noConversion"/>
  </si>
  <si>
    <t>Total Number of intervals:</t>
    <phoneticPr fontId="1" type="noConversion"/>
  </si>
  <si>
    <t>1st Guitar Vaules</t>
    <phoneticPr fontId="1" type="noConversion"/>
  </si>
  <si>
    <t>2nd Guitar Values</t>
    <phoneticPr fontId="1" type="noConversion"/>
  </si>
  <si>
    <t>1st Regression</t>
    <phoneticPr fontId="1" type="noConversion"/>
  </si>
  <si>
    <t>2nd Regression</t>
    <phoneticPr fontId="1" type="noConversion"/>
  </si>
  <si>
    <r>
      <t>r</t>
    </r>
    <r>
      <rPr>
        <vertAlign val="superscript"/>
        <sz val="10"/>
        <rFont val="Arial"/>
      </rPr>
      <t>r</t>
    </r>
    <r>
      <rPr>
        <sz val="10"/>
        <rFont val="Arial"/>
      </rPr>
      <t>=.9111199</t>
    </r>
    <phoneticPr fontId="1" type="noConversion"/>
  </si>
  <si>
    <t>Total Nmuber of Intervals</t>
    <phoneticPr fontId="22" type="noConversion"/>
  </si>
  <si>
    <t>Total Number of Notes</t>
    <phoneticPr fontId="22" type="noConversion"/>
  </si>
  <si>
    <t>Average Interval</t>
    <phoneticPr fontId="22" type="noConversion"/>
  </si>
  <si>
    <t>C Min</t>
    <phoneticPr fontId="22" type="noConversion"/>
  </si>
  <si>
    <t>Total Number of Intervals</t>
    <phoneticPr fontId="22" type="noConversion"/>
  </si>
  <si>
    <t>TotalNumber of Notes</t>
    <phoneticPr fontId="22" type="noConversion"/>
  </si>
  <si>
    <t>C Maj</t>
    <phoneticPr fontId="22" type="noConversion"/>
  </si>
  <si>
    <t>C Maj</t>
    <phoneticPr fontId="22" type="noConversion"/>
  </si>
  <si>
    <t>E6</t>
    <phoneticPr fontId="1" type="noConversion"/>
  </si>
  <si>
    <t>F6</t>
    <phoneticPr fontId="1" type="noConversion"/>
  </si>
  <si>
    <t>G6</t>
    <phoneticPr fontId="1" type="noConversion"/>
  </si>
  <si>
    <t>B5</t>
    <phoneticPr fontId="1" type="noConversion"/>
  </si>
  <si>
    <t>A4</t>
    <phoneticPr fontId="1" type="noConversion"/>
  </si>
  <si>
    <t>B4</t>
    <phoneticPr fontId="1" type="noConversion"/>
  </si>
  <si>
    <t>C4</t>
    <phoneticPr fontId="1" type="noConversion"/>
  </si>
  <si>
    <t>E4</t>
    <phoneticPr fontId="1" type="noConversion"/>
  </si>
  <si>
    <t>Gershwin Prelude No.1</t>
  </si>
  <si>
    <t>orgin</t>
  </si>
  <si>
    <t>note name</t>
  </si>
  <si>
    <t>disFromC</t>
  </si>
  <si>
    <t>interval between previous note</t>
  </si>
  <si>
    <t>c#5</t>
  </si>
  <si>
    <t>d05</t>
  </si>
  <si>
    <t>f04</t>
  </si>
  <si>
    <t>bb4</t>
  </si>
  <si>
    <t>ab4</t>
  </si>
  <si>
    <t>c#6</t>
  </si>
  <si>
    <t>d06</t>
  </si>
  <si>
    <t>bb5</t>
  </si>
  <si>
    <t>f06</t>
  </si>
  <si>
    <t>ab5</t>
  </si>
  <si>
    <t>g05</t>
  </si>
  <si>
    <t>d04</t>
  </si>
  <si>
    <t>C06</t>
  </si>
  <si>
    <t>Right Hand</t>
    <phoneticPr fontId="1" type="noConversion"/>
  </si>
  <si>
    <t>Total Number of Intervals</t>
    <phoneticPr fontId="1" type="noConversion"/>
  </si>
  <si>
    <t>C03</t>
  </si>
  <si>
    <t>D03</t>
  </si>
  <si>
    <t>E03</t>
  </si>
  <si>
    <t>F03</t>
  </si>
  <si>
    <t>G03</t>
  </si>
  <si>
    <t>G02</t>
  </si>
  <si>
    <t>A03</t>
  </si>
  <si>
    <t>B03</t>
  </si>
  <si>
    <t>B02</t>
  </si>
  <si>
    <t>D02</t>
  </si>
  <si>
    <t>A02</t>
  </si>
  <si>
    <t>Total Number of Intervals</t>
    <phoneticPr fontId="1" type="noConversion"/>
  </si>
  <si>
    <t>Total Number of Notes</t>
    <phoneticPr fontId="1" type="noConversion"/>
  </si>
  <si>
    <t>Average Size</t>
    <phoneticPr fontId="1" type="noConversion"/>
  </si>
  <si>
    <t>Total Number of Notes</t>
    <phoneticPr fontId="1" type="noConversion"/>
  </si>
  <si>
    <t>Right Hand (Harmony)</t>
  </si>
  <si>
    <t>Left (Harmony)</t>
  </si>
  <si>
    <t>Time</t>
  </si>
  <si>
    <t>hertz</t>
  </si>
  <si>
    <t>Bagatelle</t>
  </si>
  <si>
    <t>Gb4</t>
  </si>
  <si>
    <t>Db4</t>
  </si>
  <si>
    <t>Eb4</t>
  </si>
  <si>
    <t>Eb5</t>
  </si>
  <si>
    <t>F#5</t>
  </si>
  <si>
    <t>D#4</t>
  </si>
  <si>
    <t>Ab3</t>
  </si>
  <si>
    <t>Gb3</t>
  </si>
  <si>
    <t>Eb3</t>
  </si>
  <si>
    <t>y=-218.2x+794.8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</si>
  <si>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=.89352</t>
    </r>
    <phoneticPr fontId="1" type="noConversion"/>
  </si>
  <si>
    <t>y=-252.15x+858.1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</si>
  <si>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=.9297627</t>
    </r>
    <phoneticPr fontId="1" type="noConversion"/>
  </si>
  <si>
    <t>Eb4</t>
    <phoneticPr fontId="1" type="noConversion"/>
  </si>
  <si>
    <t>Eb4</t>
    <phoneticPr fontId="1" type="noConversion"/>
  </si>
  <si>
    <t>A4</t>
    <phoneticPr fontId="1" type="noConversion"/>
  </si>
  <si>
    <t>Bb4</t>
    <phoneticPr fontId="1" type="noConversion"/>
  </si>
  <si>
    <t>C5</t>
    <phoneticPr fontId="1" type="noConversion"/>
  </si>
  <si>
    <t>Bb5</t>
    <phoneticPr fontId="1" type="noConversion"/>
  </si>
  <si>
    <t>C6</t>
    <phoneticPr fontId="1" type="noConversion"/>
  </si>
  <si>
    <t>Eb6</t>
    <phoneticPr fontId="1" type="noConversion"/>
  </si>
  <si>
    <t>Bb6</t>
    <phoneticPr fontId="1" type="noConversion"/>
  </si>
  <si>
    <t>C7</t>
    <phoneticPr fontId="1" type="noConversion"/>
  </si>
  <si>
    <t>Eb7</t>
    <phoneticPr fontId="1" type="noConversion"/>
  </si>
  <si>
    <t>Bb7</t>
    <phoneticPr fontId="1" type="noConversion"/>
  </si>
  <si>
    <t>C8</t>
    <phoneticPr fontId="1" type="noConversion"/>
  </si>
  <si>
    <t>C04</t>
  </si>
  <si>
    <t>D04</t>
  </si>
  <si>
    <t>E04</t>
  </si>
  <si>
    <t>F04</t>
  </si>
  <si>
    <t>G04</t>
  </si>
  <si>
    <t>C05</t>
  </si>
  <si>
    <t>B05</t>
  </si>
  <si>
    <t>D05</t>
  </si>
  <si>
    <t>A04</t>
  </si>
  <si>
    <t>B04</t>
  </si>
  <si>
    <t>G05</t>
  </si>
  <si>
    <t>F05</t>
  </si>
  <si>
    <t>E05</t>
  </si>
  <si>
    <t>A05</t>
  </si>
  <si>
    <t>F4</t>
    <phoneticPr fontId="1" type="noConversion"/>
  </si>
  <si>
    <t>F4</t>
    <phoneticPr fontId="1" type="noConversion"/>
  </si>
  <si>
    <t>A4</t>
    <phoneticPr fontId="1" type="noConversion"/>
  </si>
  <si>
    <t>F4</t>
    <phoneticPr fontId="1" type="noConversion"/>
  </si>
  <si>
    <t>E4</t>
    <phoneticPr fontId="1" type="noConversion"/>
  </si>
  <si>
    <t>D4</t>
    <phoneticPr fontId="1" type="noConversion"/>
  </si>
  <si>
    <t>G5</t>
    <phoneticPr fontId="1" type="noConversion"/>
  </si>
  <si>
    <t>F4</t>
    <phoneticPr fontId="1" type="noConversion"/>
  </si>
  <si>
    <t>Eb4</t>
    <phoneticPr fontId="1" type="noConversion"/>
  </si>
  <si>
    <t>D4</t>
    <phoneticPr fontId="1" type="noConversion"/>
  </si>
  <si>
    <t>Bb4</t>
    <phoneticPr fontId="1" type="noConversion"/>
  </si>
  <si>
    <t>Eb4</t>
    <phoneticPr fontId="1" type="noConversion"/>
  </si>
  <si>
    <t>Note</t>
    <phoneticPr fontId="1" type="noConversion"/>
  </si>
  <si>
    <t>Distance from C0</t>
    <phoneticPr fontId="1" type="noConversion"/>
  </si>
  <si>
    <t>Hertz</t>
    <phoneticPr fontId="1" type="noConversion"/>
  </si>
  <si>
    <t>D4</t>
    <phoneticPr fontId="1" type="noConversion"/>
  </si>
  <si>
    <t>F4</t>
    <phoneticPr fontId="1" type="noConversion"/>
  </si>
  <si>
    <t>G4</t>
    <phoneticPr fontId="1" type="noConversion"/>
  </si>
  <si>
    <t>G4</t>
    <phoneticPr fontId="1" type="noConversion"/>
  </si>
  <si>
    <t>Guitar 1</t>
    <phoneticPr fontId="1" type="noConversion"/>
  </si>
  <si>
    <t>Eb4</t>
    <phoneticPr fontId="1" type="noConversion"/>
  </si>
  <si>
    <t>D4</t>
    <phoneticPr fontId="1" type="noConversion"/>
  </si>
  <si>
    <t>Db4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</si>
  <si>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=.96436</t>
    </r>
    <phoneticPr fontId="1" type="noConversion"/>
  </si>
  <si>
    <t>Regression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</si>
  <si>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=.963809</t>
    </r>
    <phoneticPr fontId="1" type="noConversion"/>
  </si>
  <si>
    <t>Right Hand Values</t>
    <phoneticPr fontId="1" type="noConversion"/>
  </si>
  <si>
    <t xml:space="preserve">Right Regression </t>
    <phoneticPr fontId="1" type="noConversion"/>
  </si>
  <si>
    <t>Left Hand Values</t>
    <phoneticPr fontId="1" type="noConversion"/>
  </si>
  <si>
    <t>Left Regression</t>
    <phoneticPr fontId="1" type="noConversion"/>
  </si>
  <si>
    <t>y=-266.7x+984.3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</si>
  <si>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=.83403</t>
    </r>
    <phoneticPr fontId="1" type="noConversion"/>
  </si>
  <si>
    <t>y=-321.6x+1097.4</t>
    <phoneticPr fontId="1" type="noConversion"/>
  </si>
  <si>
    <t>Total Number of intervals:</t>
    <phoneticPr fontId="1" type="noConversion"/>
  </si>
  <si>
    <t>Average Interval</t>
    <phoneticPr fontId="1" type="noConversion"/>
  </si>
  <si>
    <t>C3</t>
    <phoneticPr fontId="1" type="noConversion"/>
  </si>
  <si>
    <t>Bb1</t>
    <phoneticPr fontId="1" type="noConversion"/>
  </si>
  <si>
    <t>G4</t>
  </si>
  <si>
    <t>C5</t>
  </si>
  <si>
    <t>B5</t>
  </si>
  <si>
    <t>D5</t>
  </si>
  <si>
    <t>A4</t>
  </si>
  <si>
    <t>B4</t>
  </si>
  <si>
    <t>G5</t>
  </si>
  <si>
    <t>F5</t>
  </si>
  <si>
    <t>D4</t>
    <phoneticPr fontId="1" type="noConversion"/>
  </si>
  <si>
    <t>A4</t>
    <phoneticPr fontId="1" type="noConversion"/>
  </si>
  <si>
    <t>B4</t>
    <phoneticPr fontId="1" type="noConversion"/>
  </si>
  <si>
    <t>G4</t>
    <phoneticPr fontId="1" type="noConversion"/>
  </si>
  <si>
    <t>G4</t>
    <phoneticPr fontId="1" type="noConversion"/>
  </si>
  <si>
    <t>Ab3</t>
    <phoneticPr fontId="1" type="noConversion"/>
  </si>
  <si>
    <t>C3</t>
    <phoneticPr fontId="1" type="noConversion"/>
  </si>
  <si>
    <t>Eb4</t>
    <phoneticPr fontId="1" type="noConversion"/>
  </si>
  <si>
    <t>E5</t>
  </si>
  <si>
    <t>A5</t>
  </si>
  <si>
    <t>F#4</t>
  </si>
  <si>
    <t>Right Hand</t>
  </si>
  <si>
    <t>D5</t>
    <phoneticPr fontId="1" type="noConversion"/>
  </si>
  <si>
    <t>G5</t>
    <phoneticPr fontId="1" type="noConversion"/>
  </si>
  <si>
    <t>Eb5</t>
    <phoneticPr fontId="1" type="noConversion"/>
  </si>
  <si>
    <t>F5</t>
    <phoneticPr fontId="1" type="noConversion"/>
  </si>
  <si>
    <t>F5</t>
    <phoneticPr fontId="1" type="noConversion"/>
  </si>
  <si>
    <t>Eb5</t>
    <phoneticPr fontId="1" type="noConversion"/>
  </si>
  <si>
    <t>C5</t>
    <phoneticPr fontId="1" type="noConversion"/>
  </si>
  <si>
    <t>Ab4</t>
    <phoneticPr fontId="1" type="noConversion"/>
  </si>
  <si>
    <t>D4</t>
    <phoneticPr fontId="1" type="noConversion"/>
  </si>
  <si>
    <t>G4</t>
    <phoneticPr fontId="1" type="noConversion"/>
  </si>
  <si>
    <t>D4</t>
    <phoneticPr fontId="1" type="noConversion"/>
  </si>
  <si>
    <t>A#3</t>
    <phoneticPr fontId="1" type="noConversion"/>
  </si>
  <si>
    <t>A3</t>
    <phoneticPr fontId="1" type="noConversion"/>
  </si>
  <si>
    <t>B3</t>
    <phoneticPr fontId="1" type="noConversion"/>
  </si>
  <si>
    <t>D4</t>
    <phoneticPr fontId="1" type="noConversion"/>
  </si>
  <si>
    <t>B4</t>
    <phoneticPr fontId="1" type="noConversion"/>
  </si>
  <si>
    <t>E3</t>
    <phoneticPr fontId="1" type="noConversion"/>
  </si>
  <si>
    <t>C3</t>
    <phoneticPr fontId="1" type="noConversion"/>
  </si>
  <si>
    <t>A2</t>
    <phoneticPr fontId="1" type="noConversion"/>
  </si>
  <si>
    <t>D3</t>
    <phoneticPr fontId="1" type="noConversion"/>
  </si>
  <si>
    <t>F3</t>
    <phoneticPr fontId="1" type="noConversion"/>
  </si>
  <si>
    <t>F4</t>
    <phoneticPr fontId="1" type="noConversion"/>
  </si>
  <si>
    <t>D4</t>
    <phoneticPr fontId="1" type="noConversion"/>
  </si>
  <si>
    <t>A4</t>
    <phoneticPr fontId="1" type="noConversion"/>
  </si>
  <si>
    <t>B4</t>
    <phoneticPr fontId="1" type="noConversion"/>
  </si>
  <si>
    <t>B4</t>
    <phoneticPr fontId="1" type="noConversion"/>
  </si>
  <si>
    <t>D5</t>
    <phoneticPr fontId="1" type="noConversion"/>
  </si>
  <si>
    <t>G4</t>
    <phoneticPr fontId="1" type="noConversion"/>
  </si>
  <si>
    <t>D5</t>
    <phoneticPr fontId="1" type="noConversion"/>
  </si>
  <si>
    <t xml:space="preserve">D4 </t>
    <phoneticPr fontId="1" type="noConversion"/>
  </si>
  <si>
    <t>A4</t>
    <phoneticPr fontId="1" type="noConversion"/>
  </si>
  <si>
    <t>G#3</t>
  </si>
  <si>
    <t>C#4</t>
  </si>
  <si>
    <t>Bb3</t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</si>
  <si>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=.752918</t>
    </r>
    <phoneticPr fontId="1" type="noConversion"/>
  </si>
  <si>
    <t>c04</t>
  </si>
  <si>
    <t>f05</t>
  </si>
  <si>
    <t>g04</t>
  </si>
  <si>
    <t>b04</t>
  </si>
  <si>
    <t>c05</t>
  </si>
  <si>
    <t>a04</t>
  </si>
  <si>
    <t>e05</t>
  </si>
  <si>
    <t>c03</t>
  </si>
  <si>
    <t>e03</t>
  </si>
  <si>
    <t>f#3</t>
  </si>
  <si>
    <t>e04</t>
  </si>
  <si>
    <t>c#4</t>
  </si>
  <si>
    <t>bb3</t>
  </si>
  <si>
    <t>B3</t>
    <phoneticPr fontId="1" type="noConversion"/>
  </si>
  <si>
    <t>F4</t>
    <phoneticPr fontId="1" type="noConversion"/>
  </si>
  <si>
    <t>Bb5</t>
    <phoneticPr fontId="1" type="noConversion"/>
  </si>
  <si>
    <t>Bb6</t>
    <phoneticPr fontId="1" type="noConversion"/>
  </si>
  <si>
    <t>C7</t>
    <phoneticPr fontId="1" type="noConversion"/>
  </si>
  <si>
    <t>F2</t>
    <phoneticPr fontId="1" type="noConversion"/>
  </si>
  <si>
    <t>Eb2</t>
    <phoneticPr fontId="1" type="noConversion"/>
  </si>
  <si>
    <t>Ab2</t>
    <phoneticPr fontId="1" type="noConversion"/>
  </si>
  <si>
    <t>G2</t>
    <phoneticPr fontId="1" type="noConversion"/>
  </si>
  <si>
    <t>C2</t>
    <phoneticPr fontId="1" type="noConversion"/>
  </si>
  <si>
    <t>F2</t>
    <phoneticPr fontId="1" type="noConversion"/>
  </si>
  <si>
    <t>F3</t>
    <phoneticPr fontId="1" type="noConversion"/>
  </si>
  <si>
    <t>F3</t>
    <phoneticPr fontId="1" type="noConversion"/>
  </si>
  <si>
    <t>Eb4</t>
    <phoneticPr fontId="1" type="noConversion"/>
  </si>
  <si>
    <t>D4</t>
    <phoneticPr fontId="1" type="noConversion"/>
  </si>
  <si>
    <t>D4</t>
    <phoneticPr fontId="1" type="noConversion"/>
  </si>
  <si>
    <t>C4</t>
    <phoneticPr fontId="1" type="noConversion"/>
  </si>
  <si>
    <t>B3</t>
    <phoneticPr fontId="1" type="noConversion"/>
  </si>
  <si>
    <t>Bb3</t>
    <phoneticPr fontId="1" type="noConversion"/>
  </si>
  <si>
    <t>A3</t>
    <phoneticPr fontId="1" type="noConversion"/>
  </si>
  <si>
    <t>Ab3</t>
    <phoneticPr fontId="1" type="noConversion"/>
  </si>
  <si>
    <t>G3</t>
    <phoneticPr fontId="1" type="noConversion"/>
  </si>
  <si>
    <t>Gb3</t>
    <phoneticPr fontId="1" type="noConversion"/>
  </si>
  <si>
    <t>F3</t>
    <phoneticPr fontId="1" type="noConversion"/>
  </si>
  <si>
    <t>F#3</t>
    <phoneticPr fontId="1" type="noConversion"/>
  </si>
  <si>
    <t>D3</t>
    <phoneticPr fontId="1" type="noConversion"/>
  </si>
  <si>
    <t>E3</t>
    <phoneticPr fontId="1" type="noConversion"/>
  </si>
  <si>
    <t>C3</t>
    <phoneticPr fontId="1" type="noConversion"/>
  </si>
  <si>
    <t>A3</t>
    <phoneticPr fontId="1" type="noConversion"/>
  </si>
  <si>
    <t>uitar 2</t>
    <phoneticPr fontId="1" type="noConversion"/>
  </si>
  <si>
    <t>A3</t>
    <phoneticPr fontId="1" type="noConversion"/>
  </si>
  <si>
    <t>G4</t>
    <phoneticPr fontId="1" type="noConversion"/>
  </si>
  <si>
    <t>B4</t>
    <phoneticPr fontId="1" type="noConversion"/>
  </si>
  <si>
    <t>D4</t>
    <phoneticPr fontId="1" type="noConversion"/>
  </si>
  <si>
    <t>B4</t>
    <phoneticPr fontId="1" type="noConversion"/>
  </si>
  <si>
    <t>A3</t>
    <phoneticPr fontId="1" type="noConversion"/>
  </si>
  <si>
    <t>y=-897.3x+2925.2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</si>
  <si>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=.91478</t>
    </r>
    <phoneticPr fontId="1" type="noConversion"/>
  </si>
  <si>
    <t>y=-1244.5x+3806</t>
    <phoneticPr fontId="1" type="noConversion"/>
  </si>
  <si>
    <t>Average</t>
    <phoneticPr fontId="1" type="noConversion"/>
  </si>
  <si>
    <t>y=-286.4x+922.1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</si>
  <si>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=.9492</t>
    </r>
    <phoneticPr fontId="1" type="noConversion"/>
  </si>
  <si>
    <t>Le Petit Negre- Debussy</t>
  </si>
  <si>
    <t xml:space="preserve">note </t>
  </si>
  <si>
    <t>distance from C0</t>
  </si>
  <si>
    <t>Ballod of Beaconsfield Miners</t>
    <phoneticPr fontId="1" type="noConversion"/>
  </si>
  <si>
    <t>Time</t>
    <phoneticPr fontId="1" type="noConversion"/>
  </si>
  <si>
    <t>Interval b/t pervious note</t>
    <phoneticPr fontId="1" type="noConversion"/>
  </si>
  <si>
    <t>Total Number of intervals:</t>
    <phoneticPr fontId="1" type="noConversion"/>
  </si>
  <si>
    <t>Average Interval</t>
    <phoneticPr fontId="1" type="noConversion"/>
  </si>
  <si>
    <t>Bb2</t>
    <phoneticPr fontId="1" type="noConversion"/>
  </si>
  <si>
    <t>C1</t>
    <phoneticPr fontId="1" type="noConversion"/>
  </si>
  <si>
    <t>C4</t>
    <phoneticPr fontId="1" type="noConversion"/>
  </si>
  <si>
    <t>Bb3</t>
    <phoneticPr fontId="1" type="noConversion"/>
  </si>
  <si>
    <t>C4</t>
    <phoneticPr fontId="1" type="noConversion"/>
  </si>
  <si>
    <t>G4</t>
    <phoneticPr fontId="1" type="noConversion"/>
  </si>
  <si>
    <t>F4</t>
    <phoneticPr fontId="1" type="noConversion"/>
  </si>
  <si>
    <t>Eb4</t>
    <phoneticPr fontId="1" type="noConversion"/>
  </si>
  <si>
    <t>D4</t>
    <phoneticPr fontId="1" type="noConversion"/>
  </si>
  <si>
    <t>C4</t>
    <phoneticPr fontId="1" type="noConversion"/>
  </si>
  <si>
    <t>Bb3</t>
    <phoneticPr fontId="1" type="noConversion"/>
  </si>
  <si>
    <t>Bb3</t>
    <phoneticPr fontId="1" type="noConversion"/>
  </si>
  <si>
    <t>Eb3</t>
    <phoneticPr fontId="1" type="noConversion"/>
  </si>
  <si>
    <t>Eb4</t>
    <phoneticPr fontId="1" type="noConversion"/>
  </si>
  <si>
    <t>G5</t>
    <phoneticPr fontId="1" type="noConversion"/>
  </si>
  <si>
    <t>D5</t>
    <phoneticPr fontId="1" type="noConversion"/>
  </si>
  <si>
    <t xml:space="preserve">D4 </t>
    <phoneticPr fontId="1" type="noConversion"/>
  </si>
  <si>
    <t>G4</t>
    <phoneticPr fontId="1" type="noConversion"/>
  </si>
  <si>
    <t xml:space="preserve">D4 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</si>
  <si>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 .96197</t>
    </r>
    <phoneticPr fontId="1" type="noConversion"/>
  </si>
  <si>
    <t>Right HandReg</t>
    <phoneticPr fontId="1" type="noConversion"/>
  </si>
  <si>
    <t>Right Hand Values</t>
    <phoneticPr fontId="1" type="noConversion"/>
  </si>
  <si>
    <t>y=-181.5x+589</t>
    <phoneticPr fontId="1" type="noConversion"/>
  </si>
  <si>
    <t>"1/8"</t>
    <phoneticPr fontId="1" type="noConversion"/>
  </si>
  <si>
    <t>A4</t>
    <phoneticPr fontId="1" type="noConversion"/>
  </si>
  <si>
    <t>G4</t>
    <phoneticPr fontId="1" type="noConversion"/>
  </si>
  <si>
    <t>C5</t>
    <phoneticPr fontId="1" type="noConversion"/>
  </si>
  <si>
    <t>note</t>
  </si>
  <si>
    <t>B3</t>
    <phoneticPr fontId="1" type="noConversion"/>
  </si>
  <si>
    <t>C4</t>
    <phoneticPr fontId="1" type="noConversion"/>
  </si>
  <si>
    <t>D#3</t>
  </si>
  <si>
    <t>F2</t>
  </si>
  <si>
    <t>E2</t>
  </si>
  <si>
    <t>F4</t>
    <phoneticPr fontId="1" type="noConversion"/>
  </si>
  <si>
    <t>F#4</t>
    <phoneticPr fontId="1" type="noConversion"/>
  </si>
  <si>
    <t>G4</t>
    <phoneticPr fontId="1" type="noConversion"/>
  </si>
  <si>
    <t>Gb4</t>
    <phoneticPr fontId="1" type="noConversion"/>
  </si>
  <si>
    <t>E4</t>
    <phoneticPr fontId="1" type="noConversion"/>
  </si>
  <si>
    <t xml:space="preserve"> </t>
    <phoneticPr fontId="1" type="noConversion"/>
  </si>
  <si>
    <t>Total Number of Notes</t>
    <phoneticPr fontId="1" type="noConversion"/>
  </si>
  <si>
    <t>Interval b/t pervious note</t>
  </si>
  <si>
    <t>Intervals b/t/ Prevous Notes</t>
    <phoneticPr fontId="1" type="noConversion"/>
  </si>
  <si>
    <t>Interval</t>
    <phoneticPr fontId="1" type="noConversion"/>
  </si>
  <si>
    <t>G4</t>
    <phoneticPr fontId="1" type="noConversion"/>
  </si>
  <si>
    <t>Left Hand</t>
    <phoneticPr fontId="1" type="noConversion"/>
  </si>
  <si>
    <t>Right Hand</t>
    <phoneticPr fontId="1" type="noConversion"/>
  </si>
  <si>
    <t>A3</t>
    <phoneticPr fontId="1" type="noConversion"/>
  </si>
  <si>
    <t>Interval</t>
    <phoneticPr fontId="1" type="noConversion"/>
  </si>
  <si>
    <t>"1/2"</t>
    <phoneticPr fontId="1" type="noConversion"/>
  </si>
  <si>
    <t>"1/4"</t>
    <phoneticPr fontId="1" type="noConversion"/>
  </si>
  <si>
    <t>C#5</t>
  </si>
  <si>
    <t>G#4</t>
  </si>
  <si>
    <t>G#5</t>
  </si>
  <si>
    <t>C6</t>
  </si>
  <si>
    <t>Bb4</t>
  </si>
  <si>
    <t>B2</t>
  </si>
  <si>
    <t>D2</t>
  </si>
  <si>
    <t>A2</t>
  </si>
  <si>
    <t>Invention No. 1 in C Major</t>
  </si>
  <si>
    <t xml:space="preserve">Scales </t>
  </si>
  <si>
    <t>C, two octaves accending and decending</t>
  </si>
  <si>
    <t>Distance from C0</t>
  </si>
  <si>
    <t>Interval</t>
  </si>
  <si>
    <t>cmin harmonic two octaves accedning and decending</t>
  </si>
  <si>
    <t>Ab4</t>
  </si>
  <si>
    <t>Ab5</t>
  </si>
  <si>
    <t>E4</t>
    <phoneticPr fontId="1" type="noConversion"/>
  </si>
  <si>
    <t>E4</t>
    <phoneticPr fontId="1" type="noConversion"/>
  </si>
  <si>
    <t>F#4</t>
    <phoneticPr fontId="1" type="noConversion"/>
  </si>
  <si>
    <t>F#4</t>
    <phoneticPr fontId="1" type="noConversion"/>
  </si>
  <si>
    <t>E4</t>
    <phoneticPr fontId="1" type="noConversion"/>
  </si>
  <si>
    <t>D4</t>
    <phoneticPr fontId="1" type="noConversion"/>
  </si>
  <si>
    <t>D4</t>
    <phoneticPr fontId="1" type="noConversion"/>
  </si>
  <si>
    <t>G5</t>
    <phoneticPr fontId="1" type="noConversion"/>
  </si>
  <si>
    <t>D4</t>
    <phoneticPr fontId="1" type="noConversion"/>
  </si>
  <si>
    <t>D5</t>
    <phoneticPr fontId="1" type="noConversion"/>
  </si>
  <si>
    <t>F4</t>
    <phoneticPr fontId="1" type="noConversion"/>
  </si>
  <si>
    <t>G5</t>
    <phoneticPr fontId="1" type="noConversion"/>
  </si>
  <si>
    <t>D4</t>
    <phoneticPr fontId="1" type="noConversion"/>
  </si>
  <si>
    <t>G4</t>
    <phoneticPr fontId="1" type="noConversion"/>
  </si>
  <si>
    <t>D5</t>
    <phoneticPr fontId="1" type="noConversion"/>
  </si>
  <si>
    <t>D5</t>
    <phoneticPr fontId="1" type="noConversion"/>
  </si>
  <si>
    <t>G4</t>
    <phoneticPr fontId="1" type="noConversion"/>
  </si>
  <si>
    <t>D5</t>
    <phoneticPr fontId="1" type="noConversion"/>
  </si>
  <si>
    <t>C#5</t>
    <phoneticPr fontId="1" type="noConversion"/>
  </si>
  <si>
    <t>C#5</t>
    <phoneticPr fontId="1" type="noConversion"/>
  </si>
  <si>
    <t>B3</t>
    <phoneticPr fontId="1" type="noConversion"/>
  </si>
  <si>
    <t>G3</t>
    <phoneticPr fontId="1" type="noConversion"/>
  </si>
  <si>
    <t>Db4</t>
    <phoneticPr fontId="1" type="noConversion"/>
  </si>
  <si>
    <t>C4</t>
    <phoneticPr fontId="1" type="noConversion"/>
  </si>
  <si>
    <t>B3</t>
    <phoneticPr fontId="1" type="noConversion"/>
  </si>
  <si>
    <t>G3</t>
    <phoneticPr fontId="1" type="noConversion"/>
  </si>
  <si>
    <t>Ab3</t>
    <phoneticPr fontId="1" type="noConversion"/>
  </si>
  <si>
    <t>G5</t>
    <phoneticPr fontId="1" type="noConversion"/>
  </si>
  <si>
    <t>Avg. Reg.</t>
    <phoneticPr fontId="1" type="noConversion"/>
  </si>
  <si>
    <t>y=-1070.9x+3365.6</t>
    <phoneticPr fontId="1" type="noConversion"/>
  </si>
  <si>
    <r>
      <t>r</t>
    </r>
    <r>
      <rPr>
        <vertAlign val="superscript"/>
        <sz val="10"/>
        <rFont val="Arial"/>
      </rPr>
      <t>2</t>
    </r>
    <r>
      <rPr>
        <sz val="10"/>
        <rFont val="Arial"/>
      </rPr>
      <t>=.91464</t>
    </r>
    <phoneticPr fontId="1" type="noConversion"/>
  </si>
  <si>
    <t>G2</t>
    <phoneticPr fontId="1" type="noConversion"/>
  </si>
  <si>
    <t>D5</t>
    <phoneticPr fontId="1" type="noConversion"/>
  </si>
  <si>
    <t>F5</t>
    <phoneticPr fontId="1" type="noConversion"/>
  </si>
  <si>
    <t>Bb4</t>
    <phoneticPr fontId="1" type="noConversion"/>
  </si>
  <si>
    <t>Gb4</t>
    <phoneticPr fontId="1" type="noConversion"/>
  </si>
  <si>
    <t>Db4</t>
    <phoneticPr fontId="1" type="noConversion"/>
  </si>
  <si>
    <t>Right Hand Melody</t>
    <phoneticPr fontId="1" type="noConversion"/>
  </si>
  <si>
    <t>Time</t>
    <phoneticPr fontId="1" type="noConversion"/>
  </si>
  <si>
    <t>Note</t>
    <phoneticPr fontId="1" type="noConversion"/>
  </si>
  <si>
    <t>Hertz</t>
    <phoneticPr fontId="1" type="noConversion"/>
  </si>
  <si>
    <t>Right Hand Harmony</t>
    <phoneticPr fontId="1" type="noConversion"/>
  </si>
  <si>
    <t>Right Hand 3rd Harmony</t>
    <phoneticPr fontId="1" type="noConversion"/>
  </si>
  <si>
    <t>Left Hand Melody</t>
    <phoneticPr fontId="1" type="noConversion"/>
  </si>
  <si>
    <t>Left Hand  Harmony</t>
    <phoneticPr fontId="1" type="noConversion"/>
  </si>
  <si>
    <t>G3</t>
    <phoneticPr fontId="1" type="noConversion"/>
  </si>
  <si>
    <t>Ab3</t>
    <phoneticPr fontId="1" type="noConversion"/>
  </si>
  <si>
    <t>Right Hand</t>
    <phoneticPr fontId="1" type="noConversion"/>
  </si>
  <si>
    <t>Interval B/t Previous note</t>
    <phoneticPr fontId="1" type="noConversion"/>
  </si>
  <si>
    <t>Left Hand</t>
    <phoneticPr fontId="1" type="noConversion"/>
  </si>
  <si>
    <t>Distance from a-1</t>
    <phoneticPr fontId="1" type="noConversion"/>
  </si>
  <si>
    <t>C2</t>
    <phoneticPr fontId="1" type="noConversion"/>
  </si>
  <si>
    <t>time</t>
  </si>
  <si>
    <t>Hertz</t>
  </si>
  <si>
    <t>Note</t>
  </si>
  <si>
    <t>Distance From C0</t>
  </si>
  <si>
    <t>C4</t>
  </si>
  <si>
    <t>D4</t>
  </si>
  <si>
    <t>E4</t>
  </si>
  <si>
    <t>F4</t>
  </si>
  <si>
    <t>Ab3</t>
    <phoneticPr fontId="1" type="noConversion"/>
  </si>
  <si>
    <t>Eb3</t>
    <phoneticPr fontId="1" type="noConversion"/>
  </si>
  <si>
    <t>Eb3</t>
    <phoneticPr fontId="1" type="noConversion"/>
  </si>
  <si>
    <t>A3</t>
    <phoneticPr fontId="1" type="noConversion"/>
  </si>
  <si>
    <t>A3</t>
    <phoneticPr fontId="1" type="noConversion"/>
  </si>
  <si>
    <t>C3</t>
    <phoneticPr fontId="1" type="noConversion"/>
  </si>
  <si>
    <t>C4</t>
    <phoneticPr fontId="1" type="noConversion"/>
  </si>
  <si>
    <t>D3</t>
    <phoneticPr fontId="1" type="noConversion"/>
  </si>
  <si>
    <t>Sonata in e</t>
  </si>
  <si>
    <t>Two-mallet Part</t>
  </si>
  <si>
    <t>dis from C</t>
  </si>
  <si>
    <t>gertz</t>
  </si>
  <si>
    <t>interval(previous note)</t>
  </si>
  <si>
    <t>f#5</t>
  </si>
  <si>
    <t>a05</t>
  </si>
  <si>
    <t>b05</t>
  </si>
  <si>
    <t>d#5</t>
  </si>
  <si>
    <t>f#4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</si>
</sst>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</font>
    <font>
      <sz val="8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</font>
    <font>
      <vertAlign val="superscript"/>
      <sz val="10"/>
      <name val="Arial"/>
    </font>
    <font>
      <sz val="8"/>
      <name val="Verdana"/>
    </font>
    <font>
      <u/>
      <sz val="10"/>
      <color theme="10"/>
      <name val="Arial"/>
    </font>
    <font>
      <u/>
      <sz val="10"/>
      <color theme="11"/>
      <name val="Arial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0" fontId="0" fillId="0" borderId="0" xfId="0"/>
    <xf numFmtId="16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96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Good" xfId="29"/>
    <cellStyle name="Heading 1" xfId="30"/>
    <cellStyle name="Heading 2" xfId="31"/>
    <cellStyle name="Heading 3" xfId="32"/>
    <cellStyle name="Heading 4" xfId="33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Input" xfId="34"/>
    <cellStyle name="Linked Cell" xfId="35"/>
    <cellStyle name="Neutral" xfId="36"/>
    <cellStyle name="Normal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 Written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989077203764201E-2"/>
          <c:y val="0.154069622876088"/>
          <c:w val="0.77993182254657401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Sheet1!$A$4:$A$241</c:f>
              <c:numCache>
                <c:formatCode>General</c:formatCode>
                <c:ptCount val="23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4.25</c:v>
                </c:pt>
                <c:pt idx="13">
                  <c:v>4.5</c:v>
                </c:pt>
                <c:pt idx="14">
                  <c:v>4.75</c:v>
                </c:pt>
                <c:pt idx="15">
                  <c:v>5</c:v>
                </c:pt>
                <c:pt idx="16">
                  <c:v>5.25</c:v>
                </c:pt>
                <c:pt idx="17">
                  <c:v>5.5</c:v>
                </c:pt>
                <c:pt idx="18">
                  <c:v>5.75</c:v>
                </c:pt>
                <c:pt idx="19">
                  <c:v>6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8.25</c:v>
                </c:pt>
                <c:pt idx="25">
                  <c:v>8.5</c:v>
                </c:pt>
                <c:pt idx="26">
                  <c:v>8.75</c:v>
                </c:pt>
                <c:pt idx="27">
                  <c:v>9</c:v>
                </c:pt>
                <c:pt idx="28">
                  <c:v>9.25</c:v>
                </c:pt>
                <c:pt idx="29">
                  <c:v>9.5</c:v>
                </c:pt>
                <c:pt idx="30">
                  <c:v>9.75</c:v>
                </c:pt>
                <c:pt idx="31">
                  <c:v>10</c:v>
                </c:pt>
                <c:pt idx="32">
                  <c:v>10.25</c:v>
                </c:pt>
                <c:pt idx="33">
                  <c:v>10.5</c:v>
                </c:pt>
                <c:pt idx="34">
                  <c:v>10.75</c:v>
                </c:pt>
                <c:pt idx="35">
                  <c:v>11</c:v>
                </c:pt>
                <c:pt idx="36">
                  <c:v>11.25</c:v>
                </c:pt>
                <c:pt idx="37">
                  <c:v>11.5</c:v>
                </c:pt>
                <c:pt idx="38">
                  <c:v>11.75</c:v>
                </c:pt>
                <c:pt idx="39">
                  <c:v>12</c:v>
                </c:pt>
                <c:pt idx="40">
                  <c:v>12.25</c:v>
                </c:pt>
                <c:pt idx="41">
                  <c:v>12.5</c:v>
                </c:pt>
                <c:pt idx="42">
                  <c:v>12.75</c:v>
                </c:pt>
                <c:pt idx="43">
                  <c:v>13</c:v>
                </c:pt>
                <c:pt idx="44">
                  <c:v>13.25</c:v>
                </c:pt>
                <c:pt idx="45">
                  <c:v>13.5</c:v>
                </c:pt>
                <c:pt idx="46">
                  <c:v>13.75</c:v>
                </c:pt>
                <c:pt idx="47">
                  <c:v>14</c:v>
                </c:pt>
                <c:pt idx="48">
                  <c:v>14.25</c:v>
                </c:pt>
                <c:pt idx="49">
                  <c:v>14.5</c:v>
                </c:pt>
                <c:pt idx="50">
                  <c:v>14.75</c:v>
                </c:pt>
                <c:pt idx="51">
                  <c:v>15</c:v>
                </c:pt>
                <c:pt idx="52">
                  <c:v>15.25</c:v>
                </c:pt>
                <c:pt idx="53">
                  <c:v>15.5</c:v>
                </c:pt>
                <c:pt idx="54">
                  <c:v>15.75</c:v>
                </c:pt>
                <c:pt idx="55">
                  <c:v>16</c:v>
                </c:pt>
                <c:pt idx="56">
                  <c:v>16.5</c:v>
                </c:pt>
                <c:pt idx="57">
                  <c:v>17</c:v>
                </c:pt>
                <c:pt idx="58">
                  <c:v>17.75</c:v>
                </c:pt>
                <c:pt idx="59">
                  <c:v>18</c:v>
                </c:pt>
                <c:pt idx="60">
                  <c:v>18.25</c:v>
                </c:pt>
                <c:pt idx="61">
                  <c:v>18.5</c:v>
                </c:pt>
                <c:pt idx="62">
                  <c:v>18.75</c:v>
                </c:pt>
                <c:pt idx="63">
                  <c:v>19</c:v>
                </c:pt>
                <c:pt idx="64">
                  <c:v>19.25</c:v>
                </c:pt>
                <c:pt idx="65">
                  <c:v>19.5</c:v>
                </c:pt>
                <c:pt idx="66">
                  <c:v>19.75</c:v>
                </c:pt>
                <c:pt idx="67">
                  <c:v>20</c:v>
                </c:pt>
                <c:pt idx="68">
                  <c:v>20.25</c:v>
                </c:pt>
                <c:pt idx="69">
                  <c:v>20.5</c:v>
                </c:pt>
                <c:pt idx="70">
                  <c:v>20.75</c:v>
                </c:pt>
                <c:pt idx="71">
                  <c:v>21</c:v>
                </c:pt>
                <c:pt idx="72">
                  <c:v>21.25</c:v>
                </c:pt>
                <c:pt idx="73">
                  <c:v>21.5</c:v>
                </c:pt>
                <c:pt idx="74">
                  <c:v>21.75</c:v>
                </c:pt>
                <c:pt idx="75">
                  <c:v>22</c:v>
                </c:pt>
                <c:pt idx="76">
                  <c:v>22.25</c:v>
                </c:pt>
                <c:pt idx="77">
                  <c:v>22.375</c:v>
                </c:pt>
                <c:pt idx="78">
                  <c:v>22.5</c:v>
                </c:pt>
                <c:pt idx="79">
                  <c:v>22.75</c:v>
                </c:pt>
                <c:pt idx="80">
                  <c:v>23</c:v>
                </c:pt>
                <c:pt idx="81">
                  <c:v>23.25</c:v>
                </c:pt>
                <c:pt idx="82">
                  <c:v>23.5</c:v>
                </c:pt>
                <c:pt idx="83">
                  <c:v>23.75</c:v>
                </c:pt>
                <c:pt idx="84">
                  <c:v>26.25</c:v>
                </c:pt>
                <c:pt idx="85">
                  <c:v>26.5</c:v>
                </c:pt>
                <c:pt idx="86">
                  <c:v>26.75</c:v>
                </c:pt>
                <c:pt idx="87">
                  <c:v>27</c:v>
                </c:pt>
                <c:pt idx="88">
                  <c:v>27.25</c:v>
                </c:pt>
                <c:pt idx="89">
                  <c:v>27.5</c:v>
                </c:pt>
                <c:pt idx="90">
                  <c:v>27.75</c:v>
                </c:pt>
                <c:pt idx="91">
                  <c:v>28</c:v>
                </c:pt>
                <c:pt idx="92">
                  <c:v>30.25</c:v>
                </c:pt>
                <c:pt idx="93">
                  <c:v>30.5</c:v>
                </c:pt>
                <c:pt idx="94">
                  <c:v>30.75</c:v>
                </c:pt>
                <c:pt idx="95">
                  <c:v>31</c:v>
                </c:pt>
                <c:pt idx="96">
                  <c:v>31.25</c:v>
                </c:pt>
                <c:pt idx="97">
                  <c:v>31.5</c:v>
                </c:pt>
                <c:pt idx="98">
                  <c:v>31.75</c:v>
                </c:pt>
                <c:pt idx="99">
                  <c:v>32</c:v>
                </c:pt>
                <c:pt idx="100">
                  <c:v>34.25</c:v>
                </c:pt>
                <c:pt idx="101">
                  <c:v>34.5</c:v>
                </c:pt>
                <c:pt idx="102">
                  <c:v>34.75</c:v>
                </c:pt>
                <c:pt idx="103">
                  <c:v>35</c:v>
                </c:pt>
                <c:pt idx="104">
                  <c:v>35.25</c:v>
                </c:pt>
                <c:pt idx="105">
                  <c:v>35.5</c:v>
                </c:pt>
                <c:pt idx="106">
                  <c:v>35.75</c:v>
                </c:pt>
                <c:pt idx="107">
                  <c:v>36</c:v>
                </c:pt>
                <c:pt idx="108">
                  <c:v>38.25</c:v>
                </c:pt>
                <c:pt idx="109">
                  <c:v>38.5</c:v>
                </c:pt>
                <c:pt idx="110">
                  <c:v>38.75</c:v>
                </c:pt>
                <c:pt idx="111">
                  <c:v>39</c:v>
                </c:pt>
                <c:pt idx="112">
                  <c:v>39.25</c:v>
                </c:pt>
                <c:pt idx="113">
                  <c:v>39.5</c:v>
                </c:pt>
                <c:pt idx="114">
                  <c:v>39.75</c:v>
                </c:pt>
                <c:pt idx="115">
                  <c:v>40</c:v>
                </c:pt>
                <c:pt idx="116">
                  <c:v>40.5</c:v>
                </c:pt>
                <c:pt idx="117">
                  <c:v>41</c:v>
                </c:pt>
                <c:pt idx="118">
                  <c:v>41.5</c:v>
                </c:pt>
                <c:pt idx="119">
                  <c:v>42</c:v>
                </c:pt>
                <c:pt idx="120">
                  <c:v>42.5</c:v>
                </c:pt>
                <c:pt idx="121">
                  <c:v>43</c:v>
                </c:pt>
                <c:pt idx="122">
                  <c:v>43.5</c:v>
                </c:pt>
                <c:pt idx="123">
                  <c:v>44</c:v>
                </c:pt>
                <c:pt idx="124">
                  <c:v>44.5</c:v>
                </c:pt>
                <c:pt idx="125">
                  <c:v>45</c:v>
                </c:pt>
                <c:pt idx="126">
                  <c:v>45.5</c:v>
                </c:pt>
                <c:pt idx="127">
                  <c:v>46</c:v>
                </c:pt>
                <c:pt idx="128">
                  <c:v>46.5</c:v>
                </c:pt>
                <c:pt idx="129">
                  <c:v>47</c:v>
                </c:pt>
                <c:pt idx="130">
                  <c:v>48.25</c:v>
                </c:pt>
                <c:pt idx="131">
                  <c:v>48.5</c:v>
                </c:pt>
                <c:pt idx="132">
                  <c:v>48.75</c:v>
                </c:pt>
                <c:pt idx="133">
                  <c:v>49</c:v>
                </c:pt>
                <c:pt idx="134">
                  <c:v>49.25</c:v>
                </c:pt>
                <c:pt idx="135">
                  <c:v>49.5</c:v>
                </c:pt>
                <c:pt idx="136">
                  <c:v>49.75</c:v>
                </c:pt>
                <c:pt idx="137">
                  <c:v>50</c:v>
                </c:pt>
                <c:pt idx="138">
                  <c:v>50.25</c:v>
                </c:pt>
                <c:pt idx="139">
                  <c:v>50.5</c:v>
                </c:pt>
                <c:pt idx="140">
                  <c:v>50.75</c:v>
                </c:pt>
                <c:pt idx="141">
                  <c:v>51</c:v>
                </c:pt>
                <c:pt idx="142">
                  <c:v>51.25</c:v>
                </c:pt>
                <c:pt idx="143">
                  <c:v>51.5</c:v>
                </c:pt>
                <c:pt idx="144">
                  <c:v>51.75</c:v>
                </c:pt>
                <c:pt idx="145">
                  <c:v>52</c:v>
                </c:pt>
                <c:pt idx="146">
                  <c:v>52.25</c:v>
                </c:pt>
                <c:pt idx="147">
                  <c:v>52.5</c:v>
                </c:pt>
                <c:pt idx="148">
                  <c:v>52.75</c:v>
                </c:pt>
                <c:pt idx="149">
                  <c:v>53</c:v>
                </c:pt>
                <c:pt idx="150">
                  <c:v>53.25</c:v>
                </c:pt>
                <c:pt idx="151">
                  <c:v>53.5</c:v>
                </c:pt>
                <c:pt idx="152">
                  <c:v>53.75</c:v>
                </c:pt>
                <c:pt idx="153">
                  <c:v>54</c:v>
                </c:pt>
                <c:pt idx="154">
                  <c:v>54.25</c:v>
                </c:pt>
                <c:pt idx="155">
                  <c:v>54.5</c:v>
                </c:pt>
                <c:pt idx="156">
                  <c:v>54.75</c:v>
                </c:pt>
                <c:pt idx="157">
                  <c:v>55</c:v>
                </c:pt>
                <c:pt idx="158">
                  <c:v>55.5</c:v>
                </c:pt>
                <c:pt idx="159">
                  <c:v>55.75</c:v>
                </c:pt>
                <c:pt idx="160">
                  <c:v>56</c:v>
                </c:pt>
                <c:pt idx="161">
                  <c:v>56.25</c:v>
                </c:pt>
                <c:pt idx="162">
                  <c:v>56.5</c:v>
                </c:pt>
                <c:pt idx="163">
                  <c:v>56.75</c:v>
                </c:pt>
                <c:pt idx="164">
                  <c:v>57</c:v>
                </c:pt>
                <c:pt idx="165">
                  <c:v>57.25</c:v>
                </c:pt>
                <c:pt idx="166">
                  <c:v>57.5</c:v>
                </c:pt>
                <c:pt idx="167">
                  <c:v>57.75</c:v>
                </c:pt>
                <c:pt idx="168">
                  <c:v>58</c:v>
                </c:pt>
                <c:pt idx="169">
                  <c:v>60.25</c:v>
                </c:pt>
                <c:pt idx="170">
                  <c:v>60.5</c:v>
                </c:pt>
                <c:pt idx="171">
                  <c:v>60.75</c:v>
                </c:pt>
                <c:pt idx="172">
                  <c:v>61</c:v>
                </c:pt>
                <c:pt idx="173">
                  <c:v>61.25</c:v>
                </c:pt>
                <c:pt idx="174">
                  <c:v>61.5</c:v>
                </c:pt>
                <c:pt idx="175">
                  <c:v>61.75</c:v>
                </c:pt>
                <c:pt idx="176">
                  <c:v>62</c:v>
                </c:pt>
                <c:pt idx="177">
                  <c:v>64.25</c:v>
                </c:pt>
                <c:pt idx="178">
                  <c:v>64.5</c:v>
                </c:pt>
                <c:pt idx="179">
                  <c:v>64.75</c:v>
                </c:pt>
                <c:pt idx="180">
                  <c:v>65</c:v>
                </c:pt>
                <c:pt idx="181">
                  <c:v>65.25</c:v>
                </c:pt>
                <c:pt idx="182">
                  <c:v>65.5</c:v>
                </c:pt>
                <c:pt idx="183">
                  <c:v>65.75</c:v>
                </c:pt>
                <c:pt idx="184">
                  <c:v>66</c:v>
                </c:pt>
                <c:pt idx="185">
                  <c:v>68.25</c:v>
                </c:pt>
                <c:pt idx="186">
                  <c:v>68.5</c:v>
                </c:pt>
                <c:pt idx="187">
                  <c:v>68.75</c:v>
                </c:pt>
                <c:pt idx="188">
                  <c:v>69</c:v>
                </c:pt>
                <c:pt idx="189">
                  <c:v>69.25</c:v>
                </c:pt>
                <c:pt idx="190">
                  <c:v>69.5</c:v>
                </c:pt>
                <c:pt idx="191">
                  <c:v>69.75</c:v>
                </c:pt>
                <c:pt idx="192">
                  <c:v>70</c:v>
                </c:pt>
                <c:pt idx="193">
                  <c:v>72.25</c:v>
                </c:pt>
                <c:pt idx="194">
                  <c:v>72.5</c:v>
                </c:pt>
                <c:pt idx="195">
                  <c:v>72.75</c:v>
                </c:pt>
                <c:pt idx="196">
                  <c:v>73</c:v>
                </c:pt>
                <c:pt idx="197">
                  <c:v>73.25</c:v>
                </c:pt>
                <c:pt idx="198">
                  <c:v>73.5</c:v>
                </c:pt>
                <c:pt idx="199">
                  <c:v>73.75</c:v>
                </c:pt>
                <c:pt idx="200">
                  <c:v>74</c:v>
                </c:pt>
                <c:pt idx="201">
                  <c:v>74.25</c:v>
                </c:pt>
                <c:pt idx="202">
                  <c:v>74.5</c:v>
                </c:pt>
                <c:pt idx="203">
                  <c:v>74.75</c:v>
                </c:pt>
                <c:pt idx="204">
                  <c:v>75</c:v>
                </c:pt>
                <c:pt idx="205">
                  <c:v>75.25</c:v>
                </c:pt>
                <c:pt idx="206">
                  <c:v>75.5</c:v>
                </c:pt>
                <c:pt idx="207">
                  <c:v>75.75</c:v>
                </c:pt>
                <c:pt idx="208">
                  <c:v>76</c:v>
                </c:pt>
                <c:pt idx="209">
                  <c:v>76.25</c:v>
                </c:pt>
                <c:pt idx="210">
                  <c:v>76.5</c:v>
                </c:pt>
                <c:pt idx="211">
                  <c:v>76.75</c:v>
                </c:pt>
                <c:pt idx="212">
                  <c:v>77</c:v>
                </c:pt>
                <c:pt idx="213">
                  <c:v>77.25</c:v>
                </c:pt>
                <c:pt idx="214">
                  <c:v>77.5</c:v>
                </c:pt>
                <c:pt idx="215">
                  <c:v>77.75</c:v>
                </c:pt>
                <c:pt idx="216">
                  <c:v>78</c:v>
                </c:pt>
                <c:pt idx="217">
                  <c:v>78.5</c:v>
                </c:pt>
                <c:pt idx="218">
                  <c:v>79</c:v>
                </c:pt>
                <c:pt idx="219">
                  <c:v>79.5</c:v>
                </c:pt>
                <c:pt idx="220">
                  <c:v>79.75</c:v>
                </c:pt>
                <c:pt idx="221">
                  <c:v>80</c:v>
                </c:pt>
                <c:pt idx="222">
                  <c:v>80.25</c:v>
                </c:pt>
                <c:pt idx="223">
                  <c:v>80.5</c:v>
                </c:pt>
                <c:pt idx="224">
                  <c:v>80.75</c:v>
                </c:pt>
                <c:pt idx="225">
                  <c:v>81</c:v>
                </c:pt>
                <c:pt idx="226">
                  <c:v>81.25</c:v>
                </c:pt>
                <c:pt idx="227">
                  <c:v>81.5</c:v>
                </c:pt>
                <c:pt idx="228">
                  <c:v>81.75</c:v>
                </c:pt>
                <c:pt idx="229">
                  <c:v>82</c:v>
                </c:pt>
                <c:pt idx="230">
                  <c:v>82.25</c:v>
                </c:pt>
                <c:pt idx="231">
                  <c:v>82.5</c:v>
                </c:pt>
                <c:pt idx="232">
                  <c:v>82.75</c:v>
                </c:pt>
                <c:pt idx="233">
                  <c:v>83</c:v>
                </c:pt>
                <c:pt idx="234">
                  <c:v>83.25</c:v>
                </c:pt>
                <c:pt idx="235">
                  <c:v>83.5</c:v>
                </c:pt>
                <c:pt idx="236">
                  <c:v>83.75</c:v>
                </c:pt>
                <c:pt idx="237">
                  <c:v>84</c:v>
                </c:pt>
              </c:numCache>
            </c:numRef>
          </c:xVal>
          <c:yVal>
            <c:numRef>
              <c:f>Sheet1!$D$4:$D$241</c:f>
              <c:numCache>
                <c:formatCode>General</c:formatCode>
                <c:ptCount val="238"/>
                <c:pt idx="0">
                  <c:v>261.62956379894968</c:v>
                </c:pt>
                <c:pt idx="1">
                  <c:v>293.66975814369101</c:v>
                </c:pt>
                <c:pt idx="2">
                  <c:v>329.63372180082422</c:v>
                </c:pt>
                <c:pt idx="3">
                  <c:v>349.23506143398839</c:v>
                </c:pt>
                <c:pt idx="4">
                  <c:v>293.66975814369101</c:v>
                </c:pt>
                <c:pt idx="5">
                  <c:v>329.63372180082422</c:v>
                </c:pt>
                <c:pt idx="6">
                  <c:v>261.62956379894968</c:v>
                </c:pt>
                <c:pt idx="7">
                  <c:v>392.00377257605692</c:v>
                </c:pt>
                <c:pt idx="8">
                  <c:v>523.26449507501752</c:v>
                </c:pt>
                <c:pt idx="9">
                  <c:v>493.89549345236594</c:v>
                </c:pt>
                <c:pt idx="10">
                  <c:v>523.26449507501752</c:v>
                </c:pt>
                <c:pt idx="11">
                  <c:v>587.34554108704231</c:v>
                </c:pt>
                <c:pt idx="12">
                  <c:v>392.00377257605692</c:v>
                </c:pt>
                <c:pt idx="13">
                  <c:v>440.01010976071973</c:v>
                </c:pt>
                <c:pt idx="14">
                  <c:v>493.89549345236594</c:v>
                </c:pt>
                <c:pt idx="15">
                  <c:v>523.26449507501752</c:v>
                </c:pt>
                <c:pt idx="16">
                  <c:v>440.01010976071973</c:v>
                </c:pt>
                <c:pt idx="17">
                  <c:v>493.89549345236594</c:v>
                </c:pt>
                <c:pt idx="18">
                  <c:v>392.00377257605692</c:v>
                </c:pt>
                <c:pt idx="19">
                  <c:v>587.34554108704231</c:v>
                </c:pt>
                <c:pt idx="20">
                  <c:v>784.01558732918636</c:v>
                </c:pt>
                <c:pt idx="21">
                  <c:v>698.47728762097279</c:v>
                </c:pt>
                <c:pt idx="22">
                  <c:v>784.01558732918636</c:v>
                </c:pt>
                <c:pt idx="23">
                  <c:v>659.27420622217721</c:v>
                </c:pt>
                <c:pt idx="24">
                  <c:v>880.02924657542201</c:v>
                </c:pt>
                <c:pt idx="25">
                  <c:v>784.01558732918636</c:v>
                </c:pt>
                <c:pt idx="26">
                  <c:v>698.47728762097279</c:v>
                </c:pt>
                <c:pt idx="27">
                  <c:v>659.27420622217721</c:v>
                </c:pt>
                <c:pt idx="28">
                  <c:v>784.01558732918636</c:v>
                </c:pt>
                <c:pt idx="29">
                  <c:v>698.47728762097279</c:v>
                </c:pt>
                <c:pt idx="30">
                  <c:v>880.02924657542201</c:v>
                </c:pt>
                <c:pt idx="31">
                  <c:v>784.01558732918636</c:v>
                </c:pt>
                <c:pt idx="32">
                  <c:v>698.47728762097279</c:v>
                </c:pt>
                <c:pt idx="33">
                  <c:v>659.27420622217721</c:v>
                </c:pt>
                <c:pt idx="34">
                  <c:v>587.34554108704231</c:v>
                </c:pt>
                <c:pt idx="35">
                  <c:v>523.26449507501752</c:v>
                </c:pt>
                <c:pt idx="36">
                  <c:v>659.27420622217721</c:v>
                </c:pt>
                <c:pt idx="37">
                  <c:v>587.34554108704231</c:v>
                </c:pt>
                <c:pt idx="38">
                  <c:v>698.47728762097279</c:v>
                </c:pt>
                <c:pt idx="39">
                  <c:v>659.27420622217721</c:v>
                </c:pt>
                <c:pt idx="40">
                  <c:v>587.34554108704231</c:v>
                </c:pt>
                <c:pt idx="41">
                  <c:v>523.26449507501752</c:v>
                </c:pt>
                <c:pt idx="42">
                  <c:v>493.89549345236594</c:v>
                </c:pt>
                <c:pt idx="43">
                  <c:v>440.01010976071973</c:v>
                </c:pt>
                <c:pt idx="44">
                  <c:v>523.26449507501752</c:v>
                </c:pt>
                <c:pt idx="45">
                  <c:v>493.89549345236594</c:v>
                </c:pt>
                <c:pt idx="46">
                  <c:v>587.34554108704231</c:v>
                </c:pt>
                <c:pt idx="47">
                  <c:v>523.26449507501752</c:v>
                </c:pt>
                <c:pt idx="48">
                  <c:v>493.89549345236594</c:v>
                </c:pt>
                <c:pt idx="49">
                  <c:v>440.01010976071973</c:v>
                </c:pt>
                <c:pt idx="50">
                  <c:v>392.00377257605692</c:v>
                </c:pt>
                <c:pt idx="51">
                  <c:v>370.00197512709912</c:v>
                </c:pt>
                <c:pt idx="52">
                  <c:v>440.01010976071973</c:v>
                </c:pt>
                <c:pt idx="53">
                  <c:v>392.00377257605692</c:v>
                </c:pt>
                <c:pt idx="54">
                  <c:v>493.89549345236594</c:v>
                </c:pt>
                <c:pt idx="55">
                  <c:v>440.01010976071973</c:v>
                </c:pt>
                <c:pt idx="56">
                  <c:v>293.66975814369101</c:v>
                </c:pt>
                <c:pt idx="57">
                  <c:v>523.26449507501752</c:v>
                </c:pt>
                <c:pt idx="58">
                  <c:v>587.34554108704231</c:v>
                </c:pt>
                <c:pt idx="59">
                  <c:v>493.89549345236594</c:v>
                </c:pt>
                <c:pt idx="60">
                  <c:v>440.01010976071973</c:v>
                </c:pt>
                <c:pt idx="61">
                  <c:v>392.00377257605692</c:v>
                </c:pt>
                <c:pt idx="62">
                  <c:v>370.00197512709912</c:v>
                </c:pt>
                <c:pt idx="63">
                  <c:v>329.63372180082422</c:v>
                </c:pt>
                <c:pt idx="64">
                  <c:v>392.00377257605692</c:v>
                </c:pt>
                <c:pt idx="65">
                  <c:v>370.00197512709912</c:v>
                </c:pt>
                <c:pt idx="66">
                  <c:v>440.01010976071973</c:v>
                </c:pt>
                <c:pt idx="67">
                  <c:v>392.00377257605692</c:v>
                </c:pt>
                <c:pt idx="68">
                  <c:v>493.89549345236594</c:v>
                </c:pt>
                <c:pt idx="69">
                  <c:v>440.01010976071973</c:v>
                </c:pt>
                <c:pt idx="70">
                  <c:v>523.26449507501752</c:v>
                </c:pt>
                <c:pt idx="71">
                  <c:v>493.89549345236594</c:v>
                </c:pt>
                <c:pt idx="72">
                  <c:v>587.34554108704231</c:v>
                </c:pt>
                <c:pt idx="73">
                  <c:v>523.26449507501752</c:v>
                </c:pt>
                <c:pt idx="74">
                  <c:v>659.27420622217721</c:v>
                </c:pt>
                <c:pt idx="75">
                  <c:v>587.34554108704231</c:v>
                </c:pt>
                <c:pt idx="76">
                  <c:v>493.89549345236594</c:v>
                </c:pt>
                <c:pt idx="77">
                  <c:v>523.26449507501752</c:v>
                </c:pt>
                <c:pt idx="78">
                  <c:v>587.34554108704231</c:v>
                </c:pt>
                <c:pt idx="79">
                  <c:v>784.01558732918636</c:v>
                </c:pt>
                <c:pt idx="80">
                  <c:v>493.89549345236594</c:v>
                </c:pt>
                <c:pt idx="81">
                  <c:v>440.01010976071973</c:v>
                </c:pt>
                <c:pt idx="82">
                  <c:v>392.00377257605692</c:v>
                </c:pt>
                <c:pt idx="83">
                  <c:v>392.00377257605692</c:v>
                </c:pt>
                <c:pt idx="84">
                  <c:v>392.00377257605692</c:v>
                </c:pt>
                <c:pt idx="85">
                  <c:v>440.01010976071973</c:v>
                </c:pt>
                <c:pt idx="86">
                  <c:v>493.89549345236594</c:v>
                </c:pt>
                <c:pt idx="87">
                  <c:v>523.26449507501752</c:v>
                </c:pt>
                <c:pt idx="88">
                  <c:v>440.01010976071973</c:v>
                </c:pt>
                <c:pt idx="89">
                  <c:v>493.89549345236594</c:v>
                </c:pt>
                <c:pt idx="90">
                  <c:v>392.00377257605692</c:v>
                </c:pt>
                <c:pt idx="91">
                  <c:v>370.00197512709912</c:v>
                </c:pt>
                <c:pt idx="92">
                  <c:v>440.01010976071973</c:v>
                </c:pt>
                <c:pt idx="93">
                  <c:v>493.89549345236594</c:v>
                </c:pt>
                <c:pt idx="94">
                  <c:v>523.26449507501752</c:v>
                </c:pt>
                <c:pt idx="95">
                  <c:v>587.34554108704231</c:v>
                </c:pt>
                <c:pt idx="96">
                  <c:v>493.89549345236594</c:v>
                </c:pt>
                <c:pt idx="97">
                  <c:v>523.26449507501752</c:v>
                </c:pt>
                <c:pt idx="98">
                  <c:v>440.01010976071973</c:v>
                </c:pt>
                <c:pt idx="99">
                  <c:v>493.89549345236594</c:v>
                </c:pt>
                <c:pt idx="100">
                  <c:v>587.34554108704231</c:v>
                </c:pt>
                <c:pt idx="101">
                  <c:v>523.26449507501752</c:v>
                </c:pt>
                <c:pt idx="102">
                  <c:v>493.89549345236594</c:v>
                </c:pt>
                <c:pt idx="103">
                  <c:v>440.01010976071973</c:v>
                </c:pt>
                <c:pt idx="104">
                  <c:v>523.26449507501752</c:v>
                </c:pt>
                <c:pt idx="105">
                  <c:v>493.89549345236594</c:v>
                </c:pt>
                <c:pt idx="106">
                  <c:v>587.34554108704231</c:v>
                </c:pt>
                <c:pt idx="107">
                  <c:v>523.26449507501752</c:v>
                </c:pt>
                <c:pt idx="108">
                  <c:v>659.27420622217721</c:v>
                </c:pt>
                <c:pt idx="109">
                  <c:v>587.34554108704231</c:v>
                </c:pt>
                <c:pt idx="110">
                  <c:v>523.26449507501752</c:v>
                </c:pt>
                <c:pt idx="111">
                  <c:v>493.89549345236594</c:v>
                </c:pt>
                <c:pt idx="112">
                  <c:v>587.34554108704231</c:v>
                </c:pt>
                <c:pt idx="113">
                  <c:v>554.37989501015818</c:v>
                </c:pt>
                <c:pt idx="114">
                  <c:v>659.27420622217721</c:v>
                </c:pt>
                <c:pt idx="115">
                  <c:v>587.34554108704231</c:v>
                </c:pt>
                <c:pt idx="116">
                  <c:v>554.37989501015818</c:v>
                </c:pt>
                <c:pt idx="117">
                  <c:v>587.34554108704231</c:v>
                </c:pt>
                <c:pt idx="118">
                  <c:v>659.27420622217721</c:v>
                </c:pt>
                <c:pt idx="119">
                  <c:v>698.47728762097279</c:v>
                </c:pt>
                <c:pt idx="120">
                  <c:v>440.01010976071973</c:v>
                </c:pt>
                <c:pt idx="121">
                  <c:v>493.89549345236594</c:v>
                </c:pt>
                <c:pt idx="122">
                  <c:v>523.26449507501752</c:v>
                </c:pt>
                <c:pt idx="123">
                  <c:v>587.34554108704231</c:v>
                </c:pt>
                <c:pt idx="124">
                  <c:v>370.00197512709912</c:v>
                </c:pt>
                <c:pt idx="125">
                  <c:v>415.31388490851958</c:v>
                </c:pt>
                <c:pt idx="126">
                  <c:v>440.01010976071973</c:v>
                </c:pt>
                <c:pt idx="127">
                  <c:v>493.89549345236594</c:v>
                </c:pt>
                <c:pt idx="128">
                  <c:v>523.26449507501752</c:v>
                </c:pt>
                <c:pt idx="129">
                  <c:v>587.34554108704231</c:v>
                </c:pt>
                <c:pt idx="130">
                  <c:v>329.63372180082422</c:v>
                </c:pt>
                <c:pt idx="131">
                  <c:v>370.00197512709912</c:v>
                </c:pt>
                <c:pt idx="132">
                  <c:v>415.31388490851958</c:v>
                </c:pt>
                <c:pt idx="133">
                  <c:v>440.01010976071973</c:v>
                </c:pt>
                <c:pt idx="134">
                  <c:v>370.00197512709912</c:v>
                </c:pt>
                <c:pt idx="135">
                  <c:v>415.31388490851958</c:v>
                </c:pt>
                <c:pt idx="136">
                  <c:v>329.63372180082422</c:v>
                </c:pt>
                <c:pt idx="137">
                  <c:v>659.27420622217721</c:v>
                </c:pt>
                <c:pt idx="138">
                  <c:v>587.34554108704231</c:v>
                </c:pt>
                <c:pt idx="139">
                  <c:v>523.26449507501752</c:v>
                </c:pt>
                <c:pt idx="140">
                  <c:v>659.27420622217721</c:v>
                </c:pt>
                <c:pt idx="141">
                  <c:v>587.34554108704231</c:v>
                </c:pt>
                <c:pt idx="142">
                  <c:v>523.26449507501752</c:v>
                </c:pt>
                <c:pt idx="143">
                  <c:v>493.89549345236594</c:v>
                </c:pt>
                <c:pt idx="144">
                  <c:v>587.34554108704231</c:v>
                </c:pt>
                <c:pt idx="145">
                  <c:v>523.26449507501752</c:v>
                </c:pt>
                <c:pt idx="146">
                  <c:v>880.02924657542201</c:v>
                </c:pt>
                <c:pt idx="147">
                  <c:v>830.63629021412908</c:v>
                </c:pt>
                <c:pt idx="148">
                  <c:v>987.80111944755811</c:v>
                </c:pt>
                <c:pt idx="149">
                  <c:v>880.02924657542201</c:v>
                </c:pt>
                <c:pt idx="150">
                  <c:v>659.27420622217721</c:v>
                </c:pt>
                <c:pt idx="151">
                  <c:v>698.47728762097279</c:v>
                </c:pt>
                <c:pt idx="152">
                  <c:v>587.34554108704231</c:v>
                </c:pt>
                <c:pt idx="153">
                  <c:v>415.31388490851958</c:v>
                </c:pt>
                <c:pt idx="154">
                  <c:v>698.47728762097279</c:v>
                </c:pt>
                <c:pt idx="155">
                  <c:v>659.27420622217721</c:v>
                </c:pt>
                <c:pt idx="156">
                  <c:v>587.34554108704231</c:v>
                </c:pt>
                <c:pt idx="157">
                  <c:v>523.26449507501752</c:v>
                </c:pt>
                <c:pt idx="158">
                  <c:v>493.89549345236594</c:v>
                </c:pt>
                <c:pt idx="159">
                  <c:v>440.01010976071973</c:v>
                </c:pt>
                <c:pt idx="160">
                  <c:v>440.01010976071973</c:v>
                </c:pt>
                <c:pt idx="161">
                  <c:v>880.02924657542201</c:v>
                </c:pt>
                <c:pt idx="162">
                  <c:v>784.01558732918636</c:v>
                </c:pt>
                <c:pt idx="163">
                  <c:v>698.47728762097279</c:v>
                </c:pt>
                <c:pt idx="164">
                  <c:v>659.27420622217721</c:v>
                </c:pt>
                <c:pt idx="165">
                  <c:v>784.01558732918636</c:v>
                </c:pt>
                <c:pt idx="166">
                  <c:v>698.47728762097279</c:v>
                </c:pt>
                <c:pt idx="167">
                  <c:v>880.02924657542201</c:v>
                </c:pt>
                <c:pt idx="168">
                  <c:v>784.01558732918636</c:v>
                </c:pt>
                <c:pt idx="169">
                  <c:v>659.27420622217721</c:v>
                </c:pt>
                <c:pt idx="170">
                  <c:v>698.47728762097279</c:v>
                </c:pt>
                <c:pt idx="171">
                  <c:v>784.01558732918636</c:v>
                </c:pt>
                <c:pt idx="172">
                  <c:v>880.02924657542201</c:v>
                </c:pt>
                <c:pt idx="173">
                  <c:v>698.47728762097279</c:v>
                </c:pt>
                <c:pt idx="174">
                  <c:v>784.01558732918636</c:v>
                </c:pt>
                <c:pt idx="175">
                  <c:v>659.27420622217721</c:v>
                </c:pt>
                <c:pt idx="176">
                  <c:v>698.47728762097279</c:v>
                </c:pt>
                <c:pt idx="177">
                  <c:v>784.01558732918636</c:v>
                </c:pt>
                <c:pt idx="178">
                  <c:v>698.47728762097279</c:v>
                </c:pt>
                <c:pt idx="179">
                  <c:v>659.27420622217721</c:v>
                </c:pt>
                <c:pt idx="180">
                  <c:v>587.34554108704231</c:v>
                </c:pt>
                <c:pt idx="181">
                  <c:v>698.47728762097279</c:v>
                </c:pt>
                <c:pt idx="182">
                  <c:v>659.27420622217721</c:v>
                </c:pt>
                <c:pt idx="183">
                  <c:v>784.01558732918636</c:v>
                </c:pt>
                <c:pt idx="184">
                  <c:v>698.47728762097279</c:v>
                </c:pt>
                <c:pt idx="185">
                  <c:v>587.34554108704231</c:v>
                </c:pt>
                <c:pt idx="186">
                  <c:v>659.27420622217721</c:v>
                </c:pt>
                <c:pt idx="187">
                  <c:v>698.47728762097279</c:v>
                </c:pt>
                <c:pt idx="188">
                  <c:v>784.01558732918636</c:v>
                </c:pt>
                <c:pt idx="189">
                  <c:v>659.27420622217721</c:v>
                </c:pt>
                <c:pt idx="190">
                  <c:v>698.47728762097279</c:v>
                </c:pt>
                <c:pt idx="191">
                  <c:v>587.34554108704231</c:v>
                </c:pt>
                <c:pt idx="192">
                  <c:v>659.27420622217721</c:v>
                </c:pt>
                <c:pt idx="193">
                  <c:v>523.26449507501752</c:v>
                </c:pt>
                <c:pt idx="194">
                  <c:v>587.34554108704231</c:v>
                </c:pt>
                <c:pt idx="195">
                  <c:v>659.27420622217721</c:v>
                </c:pt>
                <c:pt idx="196">
                  <c:v>698.47728762097279</c:v>
                </c:pt>
                <c:pt idx="197">
                  <c:v>587.34554108704231</c:v>
                </c:pt>
                <c:pt idx="198">
                  <c:v>659.27420622217721</c:v>
                </c:pt>
                <c:pt idx="199">
                  <c:v>523.26449507501752</c:v>
                </c:pt>
                <c:pt idx="200">
                  <c:v>587.34554108704231</c:v>
                </c:pt>
                <c:pt idx="201">
                  <c:v>659.27420622217721</c:v>
                </c:pt>
                <c:pt idx="202">
                  <c:v>698.47728762097279</c:v>
                </c:pt>
                <c:pt idx="203">
                  <c:v>784.01558732918636</c:v>
                </c:pt>
                <c:pt idx="204">
                  <c:v>880.02924657542201</c:v>
                </c:pt>
                <c:pt idx="205">
                  <c:v>698.47728762097279</c:v>
                </c:pt>
                <c:pt idx="206">
                  <c:v>784.01558732918636</c:v>
                </c:pt>
                <c:pt idx="207">
                  <c:v>659.27420622217721</c:v>
                </c:pt>
                <c:pt idx="208">
                  <c:v>698.47728762097279</c:v>
                </c:pt>
                <c:pt idx="209">
                  <c:v>784.01558732918636</c:v>
                </c:pt>
                <c:pt idx="210">
                  <c:v>880.02924657542201</c:v>
                </c:pt>
                <c:pt idx="211">
                  <c:v>987.80111944755811</c:v>
                </c:pt>
                <c:pt idx="212">
                  <c:v>1046.5397252143878</c:v>
                </c:pt>
                <c:pt idx="213">
                  <c:v>880.02924657542201</c:v>
                </c:pt>
                <c:pt idx="214">
                  <c:v>987.80111944755811</c:v>
                </c:pt>
                <c:pt idx="215">
                  <c:v>784.01558732918636</c:v>
                </c:pt>
                <c:pt idx="216">
                  <c:v>1046.5397252143878</c:v>
                </c:pt>
                <c:pt idx="217">
                  <c:v>784.01558732918636</c:v>
                </c:pt>
                <c:pt idx="218">
                  <c:v>659.27420622217721</c:v>
                </c:pt>
                <c:pt idx="219">
                  <c:v>587.34554108704231</c:v>
                </c:pt>
                <c:pt idx="220">
                  <c:v>523.26449507501752</c:v>
                </c:pt>
                <c:pt idx="221">
                  <c:v>523.26449507501752</c:v>
                </c:pt>
                <c:pt idx="222">
                  <c:v>466.17487092753117</c:v>
                </c:pt>
                <c:pt idx="223">
                  <c:v>440.01010976071973</c:v>
                </c:pt>
                <c:pt idx="224">
                  <c:v>392.00377257605692</c:v>
                </c:pt>
                <c:pt idx="225">
                  <c:v>349.23506143398839</c:v>
                </c:pt>
                <c:pt idx="226">
                  <c:v>440.01010976071973</c:v>
                </c:pt>
                <c:pt idx="227">
                  <c:v>392.00377257605692</c:v>
                </c:pt>
                <c:pt idx="228">
                  <c:v>466.17487092753117</c:v>
                </c:pt>
                <c:pt idx="229">
                  <c:v>440.01010976071973</c:v>
                </c:pt>
                <c:pt idx="230">
                  <c:v>493.89549345236594</c:v>
                </c:pt>
                <c:pt idx="231">
                  <c:v>523.26449507501752</c:v>
                </c:pt>
                <c:pt idx="232">
                  <c:v>329.63372180082422</c:v>
                </c:pt>
                <c:pt idx="233">
                  <c:v>293.66975814369101</c:v>
                </c:pt>
                <c:pt idx="234">
                  <c:v>523.26449507501752</c:v>
                </c:pt>
                <c:pt idx="235">
                  <c:v>349.23506143398839</c:v>
                </c:pt>
                <c:pt idx="236">
                  <c:v>493.89549345236594</c:v>
                </c:pt>
                <c:pt idx="237">
                  <c:v>523.26449507501752</c:v>
                </c:pt>
              </c:numCache>
            </c:numRef>
          </c:yVal>
          <c:smooth val="0"/>
        </c:ser>
        <c:ser>
          <c:idx val="1"/>
          <c:order val="1"/>
          <c:tx>
            <c:v>Left Hand</c:v>
          </c:tx>
          <c:xVal>
            <c:numRef>
              <c:f>Sheet1!$F$4:$F$219</c:f>
              <c:numCache>
                <c:formatCode>General</c:formatCode>
                <c:ptCount val="216"/>
                <c:pt idx="0">
                  <c:v>2.25</c:v>
                </c:pt>
                <c:pt idx="1">
                  <c:v>2.5</c:v>
                </c:pt>
                <c:pt idx="2">
                  <c:v>2.75</c:v>
                </c:pt>
                <c:pt idx="3">
                  <c:v>3</c:v>
                </c:pt>
                <c:pt idx="4">
                  <c:v>3.25</c:v>
                </c:pt>
                <c:pt idx="5">
                  <c:v>3.5</c:v>
                </c:pt>
                <c:pt idx="6">
                  <c:v>3.75</c:v>
                </c:pt>
                <c:pt idx="7">
                  <c:v>4</c:v>
                </c:pt>
                <c:pt idx="8">
                  <c:v>4.5</c:v>
                </c:pt>
                <c:pt idx="9">
                  <c:v>6.25</c:v>
                </c:pt>
                <c:pt idx="10">
                  <c:v>6.5</c:v>
                </c:pt>
                <c:pt idx="11">
                  <c:v>6.75</c:v>
                </c:pt>
                <c:pt idx="12">
                  <c:v>7</c:v>
                </c:pt>
                <c:pt idx="13">
                  <c:v>7.25</c:v>
                </c:pt>
                <c:pt idx="14">
                  <c:v>7.5</c:v>
                </c:pt>
                <c:pt idx="15">
                  <c:v>7.75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16.25</c:v>
                </c:pt>
                <c:pt idx="32">
                  <c:v>16.5</c:v>
                </c:pt>
                <c:pt idx="33">
                  <c:v>16.75</c:v>
                </c:pt>
                <c:pt idx="34">
                  <c:v>17</c:v>
                </c:pt>
                <c:pt idx="35">
                  <c:v>17.25</c:v>
                </c:pt>
                <c:pt idx="36">
                  <c:v>17.5</c:v>
                </c:pt>
                <c:pt idx="37">
                  <c:v>17.75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  <c:pt idx="43">
                  <c:v>20.5</c:v>
                </c:pt>
                <c:pt idx="44">
                  <c:v>21</c:v>
                </c:pt>
                <c:pt idx="45">
                  <c:v>21.5</c:v>
                </c:pt>
                <c:pt idx="46">
                  <c:v>22</c:v>
                </c:pt>
                <c:pt idx="47">
                  <c:v>22.75</c:v>
                </c:pt>
                <c:pt idx="48">
                  <c:v>23</c:v>
                </c:pt>
                <c:pt idx="49">
                  <c:v>23.5</c:v>
                </c:pt>
                <c:pt idx="50">
                  <c:v>24.25</c:v>
                </c:pt>
                <c:pt idx="51">
                  <c:v>24.5</c:v>
                </c:pt>
                <c:pt idx="52">
                  <c:v>24.75</c:v>
                </c:pt>
                <c:pt idx="53">
                  <c:v>25</c:v>
                </c:pt>
                <c:pt idx="54">
                  <c:v>25.25</c:v>
                </c:pt>
                <c:pt idx="55">
                  <c:v>25.5</c:v>
                </c:pt>
                <c:pt idx="56">
                  <c:v>25.75</c:v>
                </c:pt>
                <c:pt idx="57">
                  <c:v>26</c:v>
                </c:pt>
                <c:pt idx="58">
                  <c:v>26.5</c:v>
                </c:pt>
                <c:pt idx="59">
                  <c:v>27</c:v>
                </c:pt>
                <c:pt idx="60">
                  <c:v>27.5</c:v>
                </c:pt>
                <c:pt idx="61">
                  <c:v>28</c:v>
                </c:pt>
                <c:pt idx="62">
                  <c:v>28.25</c:v>
                </c:pt>
                <c:pt idx="63">
                  <c:v>28.5</c:v>
                </c:pt>
                <c:pt idx="64">
                  <c:v>28.75</c:v>
                </c:pt>
                <c:pt idx="65">
                  <c:v>29</c:v>
                </c:pt>
                <c:pt idx="66">
                  <c:v>29.25</c:v>
                </c:pt>
                <c:pt idx="67">
                  <c:v>29.5</c:v>
                </c:pt>
                <c:pt idx="68">
                  <c:v>29.75</c:v>
                </c:pt>
                <c:pt idx="69">
                  <c:v>30</c:v>
                </c:pt>
                <c:pt idx="70">
                  <c:v>30.25</c:v>
                </c:pt>
                <c:pt idx="71">
                  <c:v>30.75</c:v>
                </c:pt>
                <c:pt idx="72">
                  <c:v>31.25</c:v>
                </c:pt>
                <c:pt idx="73">
                  <c:v>31.75</c:v>
                </c:pt>
                <c:pt idx="74">
                  <c:v>32.25</c:v>
                </c:pt>
                <c:pt idx="75">
                  <c:v>32.5</c:v>
                </c:pt>
                <c:pt idx="76">
                  <c:v>32.75</c:v>
                </c:pt>
                <c:pt idx="77">
                  <c:v>33</c:v>
                </c:pt>
                <c:pt idx="78">
                  <c:v>33.25</c:v>
                </c:pt>
                <c:pt idx="79">
                  <c:v>33.5</c:v>
                </c:pt>
                <c:pt idx="80">
                  <c:v>33.75</c:v>
                </c:pt>
                <c:pt idx="81">
                  <c:v>34</c:v>
                </c:pt>
                <c:pt idx="82">
                  <c:v>34.5</c:v>
                </c:pt>
                <c:pt idx="83">
                  <c:v>35</c:v>
                </c:pt>
                <c:pt idx="84">
                  <c:v>35.5</c:v>
                </c:pt>
                <c:pt idx="85">
                  <c:v>36</c:v>
                </c:pt>
                <c:pt idx="86">
                  <c:v>36.25</c:v>
                </c:pt>
                <c:pt idx="87">
                  <c:v>36.5</c:v>
                </c:pt>
                <c:pt idx="88">
                  <c:v>36.75</c:v>
                </c:pt>
                <c:pt idx="89">
                  <c:v>37</c:v>
                </c:pt>
                <c:pt idx="90">
                  <c:v>37.25</c:v>
                </c:pt>
                <c:pt idx="91">
                  <c:v>37.5</c:v>
                </c:pt>
                <c:pt idx="92">
                  <c:v>37.75</c:v>
                </c:pt>
                <c:pt idx="93">
                  <c:v>38</c:v>
                </c:pt>
                <c:pt idx="94">
                  <c:v>38.5</c:v>
                </c:pt>
                <c:pt idx="95">
                  <c:v>39</c:v>
                </c:pt>
                <c:pt idx="96">
                  <c:v>39.5</c:v>
                </c:pt>
                <c:pt idx="97">
                  <c:v>40</c:v>
                </c:pt>
                <c:pt idx="98">
                  <c:v>40.25</c:v>
                </c:pt>
                <c:pt idx="99">
                  <c:v>40.5</c:v>
                </c:pt>
                <c:pt idx="100">
                  <c:v>40.75</c:v>
                </c:pt>
                <c:pt idx="101">
                  <c:v>41</c:v>
                </c:pt>
                <c:pt idx="102">
                  <c:v>41.25</c:v>
                </c:pt>
                <c:pt idx="103">
                  <c:v>41.5</c:v>
                </c:pt>
                <c:pt idx="104">
                  <c:v>41.75</c:v>
                </c:pt>
                <c:pt idx="105">
                  <c:v>42</c:v>
                </c:pt>
                <c:pt idx="106">
                  <c:v>42.25</c:v>
                </c:pt>
                <c:pt idx="107">
                  <c:v>42.5</c:v>
                </c:pt>
                <c:pt idx="108">
                  <c:v>42.75</c:v>
                </c:pt>
                <c:pt idx="109">
                  <c:v>43</c:v>
                </c:pt>
                <c:pt idx="110">
                  <c:v>43.25</c:v>
                </c:pt>
                <c:pt idx="111">
                  <c:v>43.5</c:v>
                </c:pt>
                <c:pt idx="112">
                  <c:v>43.75</c:v>
                </c:pt>
                <c:pt idx="113">
                  <c:v>44</c:v>
                </c:pt>
                <c:pt idx="114">
                  <c:v>44.25</c:v>
                </c:pt>
                <c:pt idx="115">
                  <c:v>44.5</c:v>
                </c:pt>
                <c:pt idx="116">
                  <c:v>44.75</c:v>
                </c:pt>
                <c:pt idx="117">
                  <c:v>45</c:v>
                </c:pt>
                <c:pt idx="118">
                  <c:v>45.25</c:v>
                </c:pt>
                <c:pt idx="119">
                  <c:v>45.5</c:v>
                </c:pt>
                <c:pt idx="120">
                  <c:v>45.75</c:v>
                </c:pt>
                <c:pt idx="121">
                  <c:v>46</c:v>
                </c:pt>
                <c:pt idx="122">
                  <c:v>46.25</c:v>
                </c:pt>
                <c:pt idx="123">
                  <c:v>46.5</c:v>
                </c:pt>
                <c:pt idx="124">
                  <c:v>46.75</c:v>
                </c:pt>
                <c:pt idx="125">
                  <c:v>47</c:v>
                </c:pt>
                <c:pt idx="126">
                  <c:v>47.25</c:v>
                </c:pt>
                <c:pt idx="127">
                  <c:v>47.5</c:v>
                </c:pt>
                <c:pt idx="128">
                  <c:v>47.75</c:v>
                </c:pt>
                <c:pt idx="129">
                  <c:v>48</c:v>
                </c:pt>
                <c:pt idx="130">
                  <c:v>48.5</c:v>
                </c:pt>
                <c:pt idx="131">
                  <c:v>49</c:v>
                </c:pt>
                <c:pt idx="132">
                  <c:v>49.75</c:v>
                </c:pt>
                <c:pt idx="133">
                  <c:v>50</c:v>
                </c:pt>
                <c:pt idx="134">
                  <c:v>50.25</c:v>
                </c:pt>
                <c:pt idx="135">
                  <c:v>50.5</c:v>
                </c:pt>
                <c:pt idx="136">
                  <c:v>50.75</c:v>
                </c:pt>
                <c:pt idx="137">
                  <c:v>51</c:v>
                </c:pt>
                <c:pt idx="138">
                  <c:v>51.25</c:v>
                </c:pt>
                <c:pt idx="139">
                  <c:v>51.5</c:v>
                </c:pt>
                <c:pt idx="140">
                  <c:v>51.75</c:v>
                </c:pt>
                <c:pt idx="141">
                  <c:v>52</c:v>
                </c:pt>
                <c:pt idx="142">
                  <c:v>52.25</c:v>
                </c:pt>
                <c:pt idx="143">
                  <c:v>52.5</c:v>
                </c:pt>
                <c:pt idx="144">
                  <c:v>52.75</c:v>
                </c:pt>
                <c:pt idx="145">
                  <c:v>53</c:v>
                </c:pt>
                <c:pt idx="146">
                  <c:v>53.25</c:v>
                </c:pt>
                <c:pt idx="147">
                  <c:v>53.5</c:v>
                </c:pt>
                <c:pt idx="148">
                  <c:v>53.75</c:v>
                </c:pt>
                <c:pt idx="149">
                  <c:v>54</c:v>
                </c:pt>
                <c:pt idx="150">
                  <c:v>54.5</c:v>
                </c:pt>
                <c:pt idx="151">
                  <c:v>55</c:v>
                </c:pt>
                <c:pt idx="152">
                  <c:v>55.5</c:v>
                </c:pt>
                <c:pt idx="153">
                  <c:v>56</c:v>
                </c:pt>
                <c:pt idx="154">
                  <c:v>56.5</c:v>
                </c:pt>
                <c:pt idx="155">
                  <c:v>58.25</c:v>
                </c:pt>
                <c:pt idx="156">
                  <c:v>58.5</c:v>
                </c:pt>
                <c:pt idx="157">
                  <c:v>58.75</c:v>
                </c:pt>
                <c:pt idx="158">
                  <c:v>59</c:v>
                </c:pt>
                <c:pt idx="159">
                  <c:v>59.25</c:v>
                </c:pt>
                <c:pt idx="160">
                  <c:v>59.5</c:v>
                </c:pt>
                <c:pt idx="161">
                  <c:v>59.75</c:v>
                </c:pt>
                <c:pt idx="162">
                  <c:v>62.25</c:v>
                </c:pt>
                <c:pt idx="163">
                  <c:v>62.5</c:v>
                </c:pt>
                <c:pt idx="164">
                  <c:v>62.75</c:v>
                </c:pt>
                <c:pt idx="165">
                  <c:v>63</c:v>
                </c:pt>
                <c:pt idx="166">
                  <c:v>63.25</c:v>
                </c:pt>
                <c:pt idx="167">
                  <c:v>63.5</c:v>
                </c:pt>
                <c:pt idx="168">
                  <c:v>63.75</c:v>
                </c:pt>
                <c:pt idx="169">
                  <c:v>64</c:v>
                </c:pt>
                <c:pt idx="170">
                  <c:v>66.25</c:v>
                </c:pt>
                <c:pt idx="171">
                  <c:v>66.5</c:v>
                </c:pt>
                <c:pt idx="172">
                  <c:v>66.75</c:v>
                </c:pt>
                <c:pt idx="173">
                  <c:v>67</c:v>
                </c:pt>
                <c:pt idx="174">
                  <c:v>67.25</c:v>
                </c:pt>
                <c:pt idx="175">
                  <c:v>67.5</c:v>
                </c:pt>
                <c:pt idx="176">
                  <c:v>67.75</c:v>
                </c:pt>
                <c:pt idx="177">
                  <c:v>68</c:v>
                </c:pt>
                <c:pt idx="178">
                  <c:v>70.25</c:v>
                </c:pt>
                <c:pt idx="179">
                  <c:v>70.5</c:v>
                </c:pt>
                <c:pt idx="180">
                  <c:v>70.75</c:v>
                </c:pt>
                <c:pt idx="181">
                  <c:v>71</c:v>
                </c:pt>
                <c:pt idx="182">
                  <c:v>71.25</c:v>
                </c:pt>
                <c:pt idx="183">
                  <c:v>71.5</c:v>
                </c:pt>
                <c:pt idx="184">
                  <c:v>71.75</c:v>
                </c:pt>
                <c:pt idx="185">
                  <c:v>72</c:v>
                </c:pt>
                <c:pt idx="186">
                  <c:v>72.5</c:v>
                </c:pt>
                <c:pt idx="187">
                  <c:v>73</c:v>
                </c:pt>
                <c:pt idx="188">
                  <c:v>73.5</c:v>
                </c:pt>
                <c:pt idx="189">
                  <c:v>74</c:v>
                </c:pt>
                <c:pt idx="190">
                  <c:v>74.5</c:v>
                </c:pt>
                <c:pt idx="191">
                  <c:v>75</c:v>
                </c:pt>
                <c:pt idx="192">
                  <c:v>75.5</c:v>
                </c:pt>
                <c:pt idx="193">
                  <c:v>76</c:v>
                </c:pt>
                <c:pt idx="194">
                  <c:v>76.5</c:v>
                </c:pt>
                <c:pt idx="195">
                  <c:v>77</c:v>
                </c:pt>
                <c:pt idx="196">
                  <c:v>77.5</c:v>
                </c:pt>
                <c:pt idx="197">
                  <c:v>78</c:v>
                </c:pt>
                <c:pt idx="198">
                  <c:v>78.25</c:v>
                </c:pt>
                <c:pt idx="199">
                  <c:v>78.5</c:v>
                </c:pt>
                <c:pt idx="200">
                  <c:v>78.75</c:v>
                </c:pt>
                <c:pt idx="201">
                  <c:v>79</c:v>
                </c:pt>
                <c:pt idx="202">
                  <c:v>79.25</c:v>
                </c:pt>
                <c:pt idx="203">
                  <c:v>79.5</c:v>
                </c:pt>
                <c:pt idx="204">
                  <c:v>79.75</c:v>
                </c:pt>
                <c:pt idx="205">
                  <c:v>80</c:v>
                </c:pt>
                <c:pt idx="206">
                  <c:v>80.5</c:v>
                </c:pt>
                <c:pt idx="207">
                  <c:v>81</c:v>
                </c:pt>
                <c:pt idx="208">
                  <c:v>81.5</c:v>
                </c:pt>
                <c:pt idx="209">
                  <c:v>82</c:v>
                </c:pt>
                <c:pt idx="210">
                  <c:v>82.25</c:v>
                </c:pt>
                <c:pt idx="211">
                  <c:v>82.5</c:v>
                </c:pt>
                <c:pt idx="212">
                  <c:v>82.75</c:v>
                </c:pt>
                <c:pt idx="213">
                  <c:v>83</c:v>
                </c:pt>
                <c:pt idx="214">
                  <c:v>83.5</c:v>
                </c:pt>
                <c:pt idx="215">
                  <c:v>84</c:v>
                </c:pt>
              </c:numCache>
            </c:numRef>
          </c:xVal>
          <c:yVal>
            <c:numRef>
              <c:f>Sheet1!$I$4:$I$219</c:f>
              <c:numCache>
                <c:formatCode>General</c:formatCode>
                <c:ptCount val="216"/>
                <c:pt idx="0">
                  <c:v>130.81344004395982</c:v>
                </c:pt>
                <c:pt idx="1">
                  <c:v>146.83337288738056</c:v>
                </c:pt>
                <c:pt idx="2">
                  <c:v>164.8151702626221</c:v>
                </c:pt>
                <c:pt idx="3">
                  <c:v>174.61573954711864</c:v>
                </c:pt>
                <c:pt idx="4">
                  <c:v>146.83337288738056</c:v>
                </c:pt>
                <c:pt idx="5">
                  <c:v>164.8151702626221</c:v>
                </c:pt>
                <c:pt idx="6">
                  <c:v>130.81344004395982</c:v>
                </c:pt>
                <c:pt idx="7">
                  <c:v>195.99987576438383</c:v>
                </c:pt>
                <c:pt idx="8">
                  <c:v>97.998932630681253</c:v>
                </c:pt>
                <c:pt idx="9">
                  <c:v>195.99987576438383</c:v>
                </c:pt>
                <c:pt idx="10">
                  <c:v>220.00279814001337</c:v>
                </c:pt>
                <c:pt idx="11">
                  <c:v>246.94521361646048</c:v>
                </c:pt>
                <c:pt idx="12">
                  <c:v>261.62956379894968</c:v>
                </c:pt>
                <c:pt idx="13">
                  <c:v>220.00279814001337</c:v>
                </c:pt>
                <c:pt idx="14">
                  <c:v>246.94521361646048</c:v>
                </c:pt>
                <c:pt idx="15">
                  <c:v>195.99987576438383</c:v>
                </c:pt>
                <c:pt idx="16">
                  <c:v>261.62956379894968</c:v>
                </c:pt>
                <c:pt idx="17">
                  <c:v>246.94521361646048</c:v>
                </c:pt>
                <c:pt idx="18">
                  <c:v>261.62956379894968</c:v>
                </c:pt>
                <c:pt idx="19">
                  <c:v>293.66975814369101</c:v>
                </c:pt>
                <c:pt idx="20">
                  <c:v>329.63372180082422</c:v>
                </c:pt>
                <c:pt idx="21">
                  <c:v>195.99987576438383</c:v>
                </c:pt>
                <c:pt idx="22">
                  <c:v>220.00279814001337</c:v>
                </c:pt>
                <c:pt idx="23">
                  <c:v>246.94521361646048</c:v>
                </c:pt>
                <c:pt idx="24">
                  <c:v>261.62956379894968</c:v>
                </c:pt>
                <c:pt idx="25">
                  <c:v>164.8151702626221</c:v>
                </c:pt>
                <c:pt idx="26">
                  <c:v>184.99908988354849</c:v>
                </c:pt>
                <c:pt idx="27">
                  <c:v>195.99987576438383</c:v>
                </c:pt>
                <c:pt idx="28">
                  <c:v>220.00279814001337</c:v>
                </c:pt>
                <c:pt idx="29">
                  <c:v>246.94521361646048</c:v>
                </c:pt>
                <c:pt idx="30">
                  <c:v>261.62956379894968</c:v>
                </c:pt>
                <c:pt idx="31">
                  <c:v>146.83337288738056</c:v>
                </c:pt>
                <c:pt idx="32">
                  <c:v>164.8151702626221</c:v>
                </c:pt>
                <c:pt idx="33">
                  <c:v>184.99908988354849</c:v>
                </c:pt>
                <c:pt idx="34">
                  <c:v>195.99987576438383</c:v>
                </c:pt>
                <c:pt idx="35">
                  <c:v>164.8151702626221</c:v>
                </c:pt>
                <c:pt idx="36">
                  <c:v>184.99908988354849</c:v>
                </c:pt>
                <c:pt idx="37">
                  <c:v>146.83337288738056</c:v>
                </c:pt>
                <c:pt idx="38">
                  <c:v>195.99987576438383</c:v>
                </c:pt>
                <c:pt idx="39">
                  <c:v>123.4713402663609</c:v>
                </c:pt>
                <c:pt idx="40">
                  <c:v>130.81344004395982</c:v>
                </c:pt>
                <c:pt idx="41">
                  <c:v>146.83337288738056</c:v>
                </c:pt>
                <c:pt idx="42">
                  <c:v>164.8151702626221</c:v>
                </c:pt>
                <c:pt idx="43">
                  <c:v>184.99908988354849</c:v>
                </c:pt>
                <c:pt idx="44">
                  <c:v>195.99987576438383</c:v>
                </c:pt>
                <c:pt idx="45">
                  <c:v>164.8151702626221</c:v>
                </c:pt>
                <c:pt idx="46">
                  <c:v>123.4713402663609</c:v>
                </c:pt>
                <c:pt idx="47">
                  <c:v>130.81344004395982</c:v>
                </c:pt>
                <c:pt idx="48">
                  <c:v>146.83337288738056</c:v>
                </c:pt>
                <c:pt idx="49">
                  <c:v>73.415933359182759</c:v>
                </c:pt>
                <c:pt idx="50">
                  <c:v>97.998932630681253</c:v>
                </c:pt>
                <c:pt idx="51">
                  <c:v>110.00027071140791</c:v>
                </c:pt>
                <c:pt idx="52">
                  <c:v>123.4713402663609</c:v>
                </c:pt>
                <c:pt idx="53">
                  <c:v>130.81344004395982</c:v>
                </c:pt>
                <c:pt idx="54">
                  <c:v>110.00027071140791</c:v>
                </c:pt>
                <c:pt idx="55">
                  <c:v>123.4713402663609</c:v>
                </c:pt>
                <c:pt idx="56">
                  <c:v>97.998932630681253</c:v>
                </c:pt>
                <c:pt idx="57">
                  <c:v>146.83337288738056</c:v>
                </c:pt>
                <c:pt idx="58">
                  <c:v>195.99987576438383</c:v>
                </c:pt>
                <c:pt idx="59">
                  <c:v>184.99908988354849</c:v>
                </c:pt>
                <c:pt idx="60">
                  <c:v>195.99987576438383</c:v>
                </c:pt>
                <c:pt idx="61">
                  <c:v>220.00279814001337</c:v>
                </c:pt>
                <c:pt idx="62">
                  <c:v>146.83337288738056</c:v>
                </c:pt>
                <c:pt idx="63">
                  <c:v>164.8151702626221</c:v>
                </c:pt>
                <c:pt idx="64">
                  <c:v>184.99908988354849</c:v>
                </c:pt>
                <c:pt idx="65">
                  <c:v>195.99987576438383</c:v>
                </c:pt>
                <c:pt idx="66">
                  <c:v>164.8151702626221</c:v>
                </c:pt>
                <c:pt idx="67">
                  <c:v>184.99908988354849</c:v>
                </c:pt>
                <c:pt idx="68">
                  <c:v>146.83337288738056</c:v>
                </c:pt>
                <c:pt idx="69">
                  <c:v>220.00279814001337</c:v>
                </c:pt>
                <c:pt idx="70">
                  <c:v>293.66975814369101</c:v>
                </c:pt>
                <c:pt idx="71">
                  <c:v>261.62956379894968</c:v>
                </c:pt>
                <c:pt idx="72">
                  <c:v>293.66975814369101</c:v>
                </c:pt>
                <c:pt idx="73">
                  <c:v>195.99987576438383</c:v>
                </c:pt>
                <c:pt idx="74">
                  <c:v>392.00377257605692</c:v>
                </c:pt>
                <c:pt idx="75">
                  <c:v>349.23506143398839</c:v>
                </c:pt>
                <c:pt idx="76">
                  <c:v>329.63372180082422</c:v>
                </c:pt>
                <c:pt idx="77">
                  <c:v>293.66975814369101</c:v>
                </c:pt>
                <c:pt idx="78">
                  <c:v>349.23506143398839</c:v>
                </c:pt>
                <c:pt idx="79">
                  <c:v>329.63372180082422</c:v>
                </c:pt>
                <c:pt idx="80">
                  <c:v>392.00377257605692</c:v>
                </c:pt>
                <c:pt idx="81">
                  <c:v>349.23506143398839</c:v>
                </c:pt>
                <c:pt idx="82">
                  <c:v>329.63372180082422</c:v>
                </c:pt>
                <c:pt idx="83">
                  <c:v>349.23506143398839</c:v>
                </c:pt>
                <c:pt idx="84">
                  <c:v>293.66975814369101</c:v>
                </c:pt>
                <c:pt idx="85">
                  <c:v>329.63372180082422</c:v>
                </c:pt>
                <c:pt idx="86">
                  <c:v>440.01010976071973</c:v>
                </c:pt>
                <c:pt idx="87">
                  <c:v>392.00377257605692</c:v>
                </c:pt>
                <c:pt idx="88">
                  <c:v>349.23506143398839</c:v>
                </c:pt>
                <c:pt idx="89">
                  <c:v>329.63372180082422</c:v>
                </c:pt>
                <c:pt idx="90">
                  <c:v>392.00377257605692</c:v>
                </c:pt>
                <c:pt idx="91">
                  <c:v>349.23506143398839</c:v>
                </c:pt>
                <c:pt idx="92">
                  <c:v>440.01010976071973</c:v>
                </c:pt>
                <c:pt idx="93">
                  <c:v>392.00377257605692</c:v>
                </c:pt>
                <c:pt idx="94">
                  <c:v>349.23506143398839</c:v>
                </c:pt>
                <c:pt idx="95">
                  <c:v>392.00377257605692</c:v>
                </c:pt>
                <c:pt idx="96">
                  <c:v>329.63372180082422</c:v>
                </c:pt>
                <c:pt idx="97">
                  <c:v>349.23506143398839</c:v>
                </c:pt>
                <c:pt idx="98">
                  <c:v>466.17487092753117</c:v>
                </c:pt>
                <c:pt idx="99">
                  <c:v>440.01010976071973</c:v>
                </c:pt>
                <c:pt idx="100">
                  <c:v>392.00377257605692</c:v>
                </c:pt>
                <c:pt idx="101">
                  <c:v>349.23506143398839</c:v>
                </c:pt>
                <c:pt idx="102">
                  <c:v>440.01010976071973</c:v>
                </c:pt>
                <c:pt idx="103">
                  <c:v>392.00377257605692</c:v>
                </c:pt>
                <c:pt idx="104">
                  <c:v>466.17487092753117</c:v>
                </c:pt>
                <c:pt idx="105">
                  <c:v>440.01010976071973</c:v>
                </c:pt>
                <c:pt idx="106">
                  <c:v>392.00377257605692</c:v>
                </c:pt>
                <c:pt idx="107">
                  <c:v>349.23506143398839</c:v>
                </c:pt>
                <c:pt idx="108">
                  <c:v>329.63372180082422</c:v>
                </c:pt>
                <c:pt idx="109">
                  <c:v>293.66975814369101</c:v>
                </c:pt>
                <c:pt idx="110">
                  <c:v>349.23506143398839</c:v>
                </c:pt>
                <c:pt idx="111">
                  <c:v>329.63372180082422</c:v>
                </c:pt>
                <c:pt idx="112">
                  <c:v>392.00377257605692</c:v>
                </c:pt>
                <c:pt idx="113">
                  <c:v>349.23506143398839</c:v>
                </c:pt>
                <c:pt idx="114">
                  <c:v>329.63372180082422</c:v>
                </c:pt>
                <c:pt idx="115">
                  <c:v>293.66975814369101</c:v>
                </c:pt>
                <c:pt idx="116">
                  <c:v>261.62956379894968</c:v>
                </c:pt>
                <c:pt idx="117">
                  <c:v>246.94521361646048</c:v>
                </c:pt>
                <c:pt idx="118">
                  <c:v>293.66975814369101</c:v>
                </c:pt>
                <c:pt idx="119">
                  <c:v>261.62956379894968</c:v>
                </c:pt>
                <c:pt idx="120">
                  <c:v>329.63372180082422</c:v>
                </c:pt>
                <c:pt idx="121">
                  <c:v>293.66975814369101</c:v>
                </c:pt>
                <c:pt idx="122">
                  <c:v>261.62956379894968</c:v>
                </c:pt>
                <c:pt idx="123">
                  <c:v>246.94521361646048</c:v>
                </c:pt>
                <c:pt idx="124">
                  <c:v>220.00279814001337</c:v>
                </c:pt>
                <c:pt idx="125">
                  <c:v>207.65481237683719</c:v>
                </c:pt>
                <c:pt idx="126">
                  <c:v>246.94521361646048</c:v>
                </c:pt>
                <c:pt idx="127">
                  <c:v>220.00279814001337</c:v>
                </c:pt>
                <c:pt idx="128">
                  <c:v>261.62956379894968</c:v>
                </c:pt>
                <c:pt idx="129">
                  <c:v>246.94521361646048</c:v>
                </c:pt>
                <c:pt idx="130">
                  <c:v>164.8151702626221</c:v>
                </c:pt>
                <c:pt idx="131">
                  <c:v>146.83337288738056</c:v>
                </c:pt>
                <c:pt idx="132">
                  <c:v>329.63372180082422</c:v>
                </c:pt>
                <c:pt idx="133">
                  <c:v>261.62956379894968</c:v>
                </c:pt>
                <c:pt idx="134">
                  <c:v>246.94521361646048</c:v>
                </c:pt>
                <c:pt idx="135">
                  <c:v>220.00279814001337</c:v>
                </c:pt>
                <c:pt idx="136">
                  <c:v>195.99987576438383</c:v>
                </c:pt>
                <c:pt idx="137">
                  <c:v>184.99908988354849</c:v>
                </c:pt>
                <c:pt idx="138">
                  <c:v>220.00279814001337</c:v>
                </c:pt>
                <c:pt idx="139">
                  <c:v>207.65481237683719</c:v>
                </c:pt>
                <c:pt idx="140">
                  <c:v>246.94521361646048</c:v>
                </c:pt>
                <c:pt idx="141">
                  <c:v>220.00279814001337</c:v>
                </c:pt>
                <c:pt idx="142">
                  <c:v>261.62956379894968</c:v>
                </c:pt>
                <c:pt idx="143">
                  <c:v>246.94521361646048</c:v>
                </c:pt>
                <c:pt idx="144">
                  <c:v>293.66975814369101</c:v>
                </c:pt>
                <c:pt idx="145">
                  <c:v>261.62956379894968</c:v>
                </c:pt>
                <c:pt idx="146">
                  <c:v>329.63372180082422</c:v>
                </c:pt>
                <c:pt idx="147">
                  <c:v>293.66975814369101</c:v>
                </c:pt>
                <c:pt idx="148">
                  <c:v>349.23506143398839</c:v>
                </c:pt>
                <c:pt idx="149">
                  <c:v>329.63372180082422</c:v>
                </c:pt>
                <c:pt idx="150">
                  <c:v>220.00279814001337</c:v>
                </c:pt>
                <c:pt idx="151">
                  <c:v>329.63372180082422</c:v>
                </c:pt>
                <c:pt idx="152">
                  <c:v>164.8151702626221</c:v>
                </c:pt>
                <c:pt idx="153">
                  <c:v>220.00279814001337</c:v>
                </c:pt>
                <c:pt idx="154">
                  <c:v>110.00027071140791</c:v>
                </c:pt>
                <c:pt idx="155">
                  <c:v>329.63372180082422</c:v>
                </c:pt>
                <c:pt idx="156">
                  <c:v>293.66975814369101</c:v>
                </c:pt>
                <c:pt idx="157">
                  <c:v>261.62956379894968</c:v>
                </c:pt>
                <c:pt idx="158">
                  <c:v>246.94521361646048</c:v>
                </c:pt>
                <c:pt idx="159">
                  <c:v>293.66975814369101</c:v>
                </c:pt>
                <c:pt idx="160">
                  <c:v>277.18710418069043</c:v>
                </c:pt>
                <c:pt idx="161">
                  <c:v>329.63372180082422</c:v>
                </c:pt>
                <c:pt idx="162">
                  <c:v>220.00279814001337</c:v>
                </c:pt>
                <c:pt idx="163">
                  <c:v>246.94521361646048</c:v>
                </c:pt>
                <c:pt idx="164">
                  <c:v>261.62956379894968</c:v>
                </c:pt>
                <c:pt idx="165">
                  <c:v>293.66975814369101</c:v>
                </c:pt>
                <c:pt idx="166">
                  <c:v>246.94521361646048</c:v>
                </c:pt>
                <c:pt idx="167">
                  <c:v>261.62956379894968</c:v>
                </c:pt>
                <c:pt idx="168">
                  <c:v>220.00279814001337</c:v>
                </c:pt>
                <c:pt idx="169">
                  <c:v>246.94521361646048</c:v>
                </c:pt>
                <c:pt idx="170">
                  <c:v>293.66975814369101</c:v>
                </c:pt>
                <c:pt idx="171">
                  <c:v>261.62956379894968</c:v>
                </c:pt>
                <c:pt idx="172">
                  <c:v>246.94521361646048</c:v>
                </c:pt>
                <c:pt idx="173">
                  <c:v>220.00279814001337</c:v>
                </c:pt>
                <c:pt idx="174">
                  <c:v>261.62956379894968</c:v>
                </c:pt>
                <c:pt idx="175">
                  <c:v>246.94521361646048</c:v>
                </c:pt>
                <c:pt idx="176">
                  <c:v>293.66975814369101</c:v>
                </c:pt>
                <c:pt idx="177">
                  <c:v>261.62956379894968</c:v>
                </c:pt>
                <c:pt idx="178">
                  <c:v>195.99987576438383</c:v>
                </c:pt>
                <c:pt idx="179">
                  <c:v>220.00279814001337</c:v>
                </c:pt>
                <c:pt idx="180">
                  <c:v>233.08504452861115</c:v>
                </c:pt>
                <c:pt idx="181">
                  <c:v>261.62956379894968</c:v>
                </c:pt>
                <c:pt idx="182">
                  <c:v>220.00279814001337</c:v>
                </c:pt>
                <c:pt idx="183">
                  <c:v>233.08504452861115</c:v>
                </c:pt>
                <c:pt idx="184">
                  <c:v>195.99987576438383</c:v>
                </c:pt>
                <c:pt idx="185">
                  <c:v>220.00279814001337</c:v>
                </c:pt>
                <c:pt idx="186">
                  <c:v>233.08504452861115</c:v>
                </c:pt>
                <c:pt idx="187">
                  <c:v>220.00279814001337</c:v>
                </c:pt>
                <c:pt idx="188">
                  <c:v>195.99987576438383</c:v>
                </c:pt>
                <c:pt idx="189">
                  <c:v>174.61573954711864</c:v>
                </c:pt>
                <c:pt idx="190">
                  <c:v>293.66975814369101</c:v>
                </c:pt>
                <c:pt idx="191">
                  <c:v>261.62956379894968</c:v>
                </c:pt>
                <c:pt idx="192">
                  <c:v>233.08504452861115</c:v>
                </c:pt>
                <c:pt idx="193">
                  <c:v>220.00279814001337</c:v>
                </c:pt>
                <c:pt idx="194">
                  <c:v>349.23506143398839</c:v>
                </c:pt>
                <c:pt idx="195">
                  <c:v>329.63372180082422</c:v>
                </c:pt>
                <c:pt idx="196">
                  <c:v>293.66975814369101</c:v>
                </c:pt>
                <c:pt idx="197">
                  <c:v>329.63372180082422</c:v>
                </c:pt>
                <c:pt idx="198">
                  <c:v>146.83337288738056</c:v>
                </c:pt>
                <c:pt idx="199">
                  <c:v>164.8151702626221</c:v>
                </c:pt>
                <c:pt idx="200">
                  <c:v>174.61573954711864</c:v>
                </c:pt>
                <c:pt idx="201">
                  <c:v>195.99987576438383</c:v>
                </c:pt>
                <c:pt idx="202">
                  <c:v>164.8151702626221</c:v>
                </c:pt>
                <c:pt idx="203">
                  <c:v>174.61573954711864</c:v>
                </c:pt>
                <c:pt idx="204">
                  <c:v>146.83337288738056</c:v>
                </c:pt>
                <c:pt idx="205">
                  <c:v>164.8151702626221</c:v>
                </c:pt>
                <c:pt idx="206">
                  <c:v>130.81344004395982</c:v>
                </c:pt>
                <c:pt idx="207">
                  <c:v>146.83337288738056</c:v>
                </c:pt>
                <c:pt idx="208">
                  <c:v>164.8151702626221</c:v>
                </c:pt>
                <c:pt idx="209">
                  <c:v>174.61573954711864</c:v>
                </c:pt>
                <c:pt idx="210">
                  <c:v>146.83337288738056</c:v>
                </c:pt>
                <c:pt idx="211">
                  <c:v>164.8151702626221</c:v>
                </c:pt>
                <c:pt idx="212">
                  <c:v>174.61573954711864</c:v>
                </c:pt>
                <c:pt idx="213">
                  <c:v>195.99987576438383</c:v>
                </c:pt>
                <c:pt idx="214">
                  <c:v>97.998932630681253</c:v>
                </c:pt>
                <c:pt idx="215">
                  <c:v>130.81344004395982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71872"/>
        <c:axId val="74872448"/>
      </c:scatterChart>
      <c:valAx>
        <c:axId val="74871872"/>
        <c:scaling>
          <c:orientation val="minMax"/>
          <c:max val="8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4872448"/>
        <c:crosses val="autoZero"/>
        <c:crossBetween val="midCat"/>
        <c:majorUnit val="21"/>
        <c:minorUnit val="1"/>
      </c:valAx>
      <c:valAx>
        <c:axId val="74872448"/>
        <c:scaling>
          <c:logBase val="10"/>
          <c:orientation val="minMax"/>
          <c:max val="2000"/>
          <c:min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4871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8593383906279999"/>
          <c:y val="0.180813404138436"/>
          <c:w val="8.9279095448434806E-2"/>
          <c:h val="0.61739608130378998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1/2 of All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900431024103695E-2"/>
          <c:y val="0.154069622876088"/>
          <c:w val="0.80288629632305097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Sheet1!$A$245:$A$363</c:f>
              <c:numCache>
                <c:formatCode>General</c:formatCode>
                <c:ptCount val="119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2.5</c:v>
                </c:pt>
                <c:pt idx="5">
                  <c:v>3.5</c:v>
                </c:pt>
                <c:pt idx="6">
                  <c:v>4.25</c:v>
                </c:pt>
                <c:pt idx="7">
                  <c:v>4.75</c:v>
                </c:pt>
                <c:pt idx="8">
                  <c:v>5.25</c:v>
                </c:pt>
                <c:pt idx="9">
                  <c:v>5.75</c:v>
                </c:pt>
                <c:pt idx="10">
                  <c:v>6.5</c:v>
                </c:pt>
                <c:pt idx="11">
                  <c:v>7.5</c:v>
                </c:pt>
                <c:pt idx="12">
                  <c:v>8.25</c:v>
                </c:pt>
                <c:pt idx="13">
                  <c:v>8.75</c:v>
                </c:pt>
                <c:pt idx="14">
                  <c:v>9.25</c:v>
                </c:pt>
                <c:pt idx="15">
                  <c:v>9.75</c:v>
                </c:pt>
                <c:pt idx="16">
                  <c:v>10.25</c:v>
                </c:pt>
                <c:pt idx="17">
                  <c:v>10.75</c:v>
                </c:pt>
                <c:pt idx="18">
                  <c:v>11.25</c:v>
                </c:pt>
                <c:pt idx="19">
                  <c:v>11.75</c:v>
                </c:pt>
                <c:pt idx="20">
                  <c:v>12.25</c:v>
                </c:pt>
                <c:pt idx="21">
                  <c:v>12.75</c:v>
                </c:pt>
                <c:pt idx="22">
                  <c:v>13.25</c:v>
                </c:pt>
                <c:pt idx="23">
                  <c:v>13.75</c:v>
                </c:pt>
                <c:pt idx="24">
                  <c:v>14.25</c:v>
                </c:pt>
                <c:pt idx="25">
                  <c:v>14.75</c:v>
                </c:pt>
                <c:pt idx="26">
                  <c:v>15.25</c:v>
                </c:pt>
                <c:pt idx="27">
                  <c:v>15.75</c:v>
                </c:pt>
                <c:pt idx="28">
                  <c:v>16.5</c:v>
                </c:pt>
                <c:pt idx="29">
                  <c:v>17.75</c:v>
                </c:pt>
                <c:pt idx="30">
                  <c:v>18.25</c:v>
                </c:pt>
                <c:pt idx="31">
                  <c:v>18.75</c:v>
                </c:pt>
                <c:pt idx="32">
                  <c:v>19.25</c:v>
                </c:pt>
                <c:pt idx="33">
                  <c:v>19.75</c:v>
                </c:pt>
                <c:pt idx="34">
                  <c:v>20.25</c:v>
                </c:pt>
                <c:pt idx="35">
                  <c:v>20.75</c:v>
                </c:pt>
                <c:pt idx="36">
                  <c:v>21.25</c:v>
                </c:pt>
                <c:pt idx="37">
                  <c:v>21.75</c:v>
                </c:pt>
                <c:pt idx="38">
                  <c:v>22.25</c:v>
                </c:pt>
                <c:pt idx="39">
                  <c:v>22.5</c:v>
                </c:pt>
                <c:pt idx="40">
                  <c:v>23</c:v>
                </c:pt>
                <c:pt idx="41">
                  <c:v>23.5</c:v>
                </c:pt>
                <c:pt idx="42">
                  <c:v>26.25</c:v>
                </c:pt>
                <c:pt idx="43">
                  <c:v>26.75</c:v>
                </c:pt>
                <c:pt idx="44">
                  <c:v>27.25</c:v>
                </c:pt>
                <c:pt idx="45">
                  <c:v>27.75</c:v>
                </c:pt>
                <c:pt idx="46">
                  <c:v>30.25</c:v>
                </c:pt>
                <c:pt idx="47">
                  <c:v>30.75</c:v>
                </c:pt>
                <c:pt idx="48">
                  <c:v>31.25</c:v>
                </c:pt>
                <c:pt idx="49">
                  <c:v>31.75</c:v>
                </c:pt>
                <c:pt idx="50">
                  <c:v>34.25</c:v>
                </c:pt>
                <c:pt idx="51">
                  <c:v>34.75</c:v>
                </c:pt>
                <c:pt idx="52">
                  <c:v>35.25</c:v>
                </c:pt>
                <c:pt idx="53">
                  <c:v>35.75</c:v>
                </c:pt>
                <c:pt idx="54">
                  <c:v>38.25</c:v>
                </c:pt>
                <c:pt idx="55">
                  <c:v>38.75</c:v>
                </c:pt>
                <c:pt idx="56">
                  <c:v>39.25</c:v>
                </c:pt>
                <c:pt idx="57">
                  <c:v>39.75</c:v>
                </c:pt>
                <c:pt idx="58">
                  <c:v>40.5</c:v>
                </c:pt>
                <c:pt idx="59">
                  <c:v>41.5</c:v>
                </c:pt>
                <c:pt idx="60">
                  <c:v>42.5</c:v>
                </c:pt>
                <c:pt idx="61">
                  <c:v>43.5</c:v>
                </c:pt>
                <c:pt idx="62">
                  <c:v>44.5</c:v>
                </c:pt>
                <c:pt idx="63">
                  <c:v>45.5</c:v>
                </c:pt>
                <c:pt idx="64">
                  <c:v>46.5</c:v>
                </c:pt>
                <c:pt idx="65">
                  <c:v>48.25</c:v>
                </c:pt>
                <c:pt idx="66">
                  <c:v>48.75</c:v>
                </c:pt>
                <c:pt idx="67">
                  <c:v>49.25</c:v>
                </c:pt>
                <c:pt idx="68">
                  <c:v>49.75</c:v>
                </c:pt>
                <c:pt idx="69">
                  <c:v>50.25</c:v>
                </c:pt>
                <c:pt idx="70">
                  <c:v>50.75</c:v>
                </c:pt>
                <c:pt idx="71">
                  <c:v>51.25</c:v>
                </c:pt>
                <c:pt idx="72">
                  <c:v>51.75</c:v>
                </c:pt>
                <c:pt idx="73">
                  <c:v>52.25</c:v>
                </c:pt>
                <c:pt idx="74">
                  <c:v>52.75</c:v>
                </c:pt>
                <c:pt idx="75">
                  <c:v>53.25</c:v>
                </c:pt>
                <c:pt idx="76">
                  <c:v>53.75</c:v>
                </c:pt>
                <c:pt idx="77">
                  <c:v>54.25</c:v>
                </c:pt>
                <c:pt idx="78">
                  <c:v>54.75</c:v>
                </c:pt>
                <c:pt idx="79">
                  <c:v>55.5</c:v>
                </c:pt>
                <c:pt idx="80">
                  <c:v>56</c:v>
                </c:pt>
                <c:pt idx="81">
                  <c:v>56.5</c:v>
                </c:pt>
                <c:pt idx="82">
                  <c:v>57</c:v>
                </c:pt>
                <c:pt idx="83">
                  <c:v>57.5</c:v>
                </c:pt>
                <c:pt idx="84">
                  <c:v>58</c:v>
                </c:pt>
                <c:pt idx="85">
                  <c:v>60.5</c:v>
                </c:pt>
                <c:pt idx="86">
                  <c:v>61</c:v>
                </c:pt>
                <c:pt idx="87">
                  <c:v>61.5</c:v>
                </c:pt>
                <c:pt idx="88">
                  <c:v>62</c:v>
                </c:pt>
                <c:pt idx="89">
                  <c:v>64.5</c:v>
                </c:pt>
                <c:pt idx="90">
                  <c:v>65</c:v>
                </c:pt>
                <c:pt idx="91">
                  <c:v>65.5</c:v>
                </c:pt>
                <c:pt idx="92">
                  <c:v>66</c:v>
                </c:pt>
                <c:pt idx="93">
                  <c:v>68.5</c:v>
                </c:pt>
                <c:pt idx="94">
                  <c:v>69</c:v>
                </c:pt>
                <c:pt idx="95">
                  <c:v>69.5</c:v>
                </c:pt>
                <c:pt idx="96">
                  <c:v>70</c:v>
                </c:pt>
                <c:pt idx="97">
                  <c:v>72.5</c:v>
                </c:pt>
                <c:pt idx="98">
                  <c:v>73</c:v>
                </c:pt>
                <c:pt idx="99">
                  <c:v>73.5</c:v>
                </c:pt>
                <c:pt idx="100">
                  <c:v>74</c:v>
                </c:pt>
                <c:pt idx="101">
                  <c:v>74.5</c:v>
                </c:pt>
                <c:pt idx="102">
                  <c:v>75</c:v>
                </c:pt>
                <c:pt idx="103">
                  <c:v>75.5</c:v>
                </c:pt>
                <c:pt idx="104">
                  <c:v>76</c:v>
                </c:pt>
                <c:pt idx="105">
                  <c:v>76.5</c:v>
                </c:pt>
                <c:pt idx="106">
                  <c:v>77</c:v>
                </c:pt>
                <c:pt idx="107">
                  <c:v>77.5</c:v>
                </c:pt>
                <c:pt idx="108">
                  <c:v>78</c:v>
                </c:pt>
                <c:pt idx="109">
                  <c:v>79</c:v>
                </c:pt>
                <c:pt idx="110">
                  <c:v>79.75</c:v>
                </c:pt>
                <c:pt idx="111">
                  <c:v>80.25</c:v>
                </c:pt>
                <c:pt idx="112">
                  <c:v>80.75</c:v>
                </c:pt>
                <c:pt idx="113">
                  <c:v>81.25</c:v>
                </c:pt>
                <c:pt idx="114">
                  <c:v>81.75</c:v>
                </c:pt>
                <c:pt idx="115">
                  <c:v>82.25</c:v>
                </c:pt>
                <c:pt idx="116">
                  <c:v>82.75</c:v>
                </c:pt>
                <c:pt idx="117">
                  <c:v>83.25</c:v>
                </c:pt>
                <c:pt idx="118">
                  <c:v>83.75</c:v>
                </c:pt>
              </c:numCache>
            </c:numRef>
          </c:xVal>
          <c:yVal>
            <c:numRef>
              <c:f>Sheet1!$D$245:$D$363</c:f>
              <c:numCache>
                <c:formatCode>General</c:formatCode>
                <c:ptCount val="119"/>
                <c:pt idx="0">
                  <c:v>261.62956379894968</c:v>
                </c:pt>
                <c:pt idx="1">
                  <c:v>329.63372180082422</c:v>
                </c:pt>
                <c:pt idx="2">
                  <c:v>293.66975814369101</c:v>
                </c:pt>
                <c:pt idx="3">
                  <c:v>261.62956379894968</c:v>
                </c:pt>
                <c:pt idx="4">
                  <c:v>523.26449507501752</c:v>
                </c:pt>
                <c:pt idx="5">
                  <c:v>523.26449507501752</c:v>
                </c:pt>
                <c:pt idx="6">
                  <c:v>392.00377257605692</c:v>
                </c:pt>
                <c:pt idx="7">
                  <c:v>493.89549345236594</c:v>
                </c:pt>
                <c:pt idx="8">
                  <c:v>440.01010976071973</c:v>
                </c:pt>
                <c:pt idx="9">
                  <c:v>392.00377257605692</c:v>
                </c:pt>
                <c:pt idx="10">
                  <c:v>784.01558732918636</c:v>
                </c:pt>
                <c:pt idx="11">
                  <c:v>784.01558732918636</c:v>
                </c:pt>
                <c:pt idx="12">
                  <c:v>880.02924657542201</c:v>
                </c:pt>
                <c:pt idx="13">
                  <c:v>698.47728762097279</c:v>
                </c:pt>
                <c:pt idx="14">
                  <c:v>784.01558732918636</c:v>
                </c:pt>
                <c:pt idx="15">
                  <c:v>880.02924657542201</c:v>
                </c:pt>
                <c:pt idx="16">
                  <c:v>698.47728762097279</c:v>
                </c:pt>
                <c:pt idx="17">
                  <c:v>587.34554108704231</c:v>
                </c:pt>
                <c:pt idx="18">
                  <c:v>659.27420622217721</c:v>
                </c:pt>
                <c:pt idx="19">
                  <c:v>698.47728762097279</c:v>
                </c:pt>
                <c:pt idx="20">
                  <c:v>587.34554108704231</c:v>
                </c:pt>
                <c:pt idx="21">
                  <c:v>493.89549345236594</c:v>
                </c:pt>
                <c:pt idx="22">
                  <c:v>523.26449507501752</c:v>
                </c:pt>
                <c:pt idx="23">
                  <c:v>587.34554108704231</c:v>
                </c:pt>
                <c:pt idx="24">
                  <c:v>493.89549345236594</c:v>
                </c:pt>
                <c:pt idx="25">
                  <c:v>392.00377257605692</c:v>
                </c:pt>
                <c:pt idx="26">
                  <c:v>440.01010976071973</c:v>
                </c:pt>
                <c:pt idx="27">
                  <c:v>493.89549345236594</c:v>
                </c:pt>
                <c:pt idx="28">
                  <c:v>293.66975814369101</c:v>
                </c:pt>
                <c:pt idx="29">
                  <c:v>587.34554108704231</c:v>
                </c:pt>
                <c:pt idx="30">
                  <c:v>440.01010976071973</c:v>
                </c:pt>
                <c:pt idx="31">
                  <c:v>370.00197512709912</c:v>
                </c:pt>
                <c:pt idx="32">
                  <c:v>392.00377257605692</c:v>
                </c:pt>
                <c:pt idx="33">
                  <c:v>440.01010976071973</c:v>
                </c:pt>
                <c:pt idx="34">
                  <c:v>493.89549345236594</c:v>
                </c:pt>
                <c:pt idx="35">
                  <c:v>523.26449507501752</c:v>
                </c:pt>
                <c:pt idx="36">
                  <c:v>587.34554108704231</c:v>
                </c:pt>
                <c:pt idx="37">
                  <c:v>659.27420622217721</c:v>
                </c:pt>
                <c:pt idx="38">
                  <c:v>493.89549345236594</c:v>
                </c:pt>
                <c:pt idx="39">
                  <c:v>587.34554108704231</c:v>
                </c:pt>
                <c:pt idx="40">
                  <c:v>493.89549345236594</c:v>
                </c:pt>
                <c:pt idx="41">
                  <c:v>392.00377257605692</c:v>
                </c:pt>
                <c:pt idx="42">
                  <c:v>392.00377257605692</c:v>
                </c:pt>
                <c:pt idx="43">
                  <c:v>493.89549345236594</c:v>
                </c:pt>
                <c:pt idx="44">
                  <c:v>440.01010976071973</c:v>
                </c:pt>
                <c:pt idx="45">
                  <c:v>392.00377257605692</c:v>
                </c:pt>
                <c:pt idx="46">
                  <c:v>440.01010976071973</c:v>
                </c:pt>
                <c:pt idx="47">
                  <c:v>523.26449507501752</c:v>
                </c:pt>
                <c:pt idx="48">
                  <c:v>493.89549345236594</c:v>
                </c:pt>
                <c:pt idx="49">
                  <c:v>440.01010976071973</c:v>
                </c:pt>
                <c:pt idx="50">
                  <c:v>587.34554108704231</c:v>
                </c:pt>
                <c:pt idx="51">
                  <c:v>493.89549345236594</c:v>
                </c:pt>
                <c:pt idx="52">
                  <c:v>523.26449507501752</c:v>
                </c:pt>
                <c:pt idx="53">
                  <c:v>587.34554108704231</c:v>
                </c:pt>
                <c:pt idx="54">
                  <c:v>659.27420622217721</c:v>
                </c:pt>
                <c:pt idx="55">
                  <c:v>523.26449507501752</c:v>
                </c:pt>
                <c:pt idx="56">
                  <c:v>587.34554108704231</c:v>
                </c:pt>
                <c:pt idx="57">
                  <c:v>659.27420622217721</c:v>
                </c:pt>
                <c:pt idx="58">
                  <c:v>554.37989501015818</c:v>
                </c:pt>
                <c:pt idx="59">
                  <c:v>659.27420622217721</c:v>
                </c:pt>
                <c:pt idx="60">
                  <c:v>440.01010976071973</c:v>
                </c:pt>
                <c:pt idx="61">
                  <c:v>523.26449507501752</c:v>
                </c:pt>
                <c:pt idx="62">
                  <c:v>370.00197512709912</c:v>
                </c:pt>
                <c:pt idx="63">
                  <c:v>440.01010976071973</c:v>
                </c:pt>
                <c:pt idx="64">
                  <c:v>523.26449507501752</c:v>
                </c:pt>
                <c:pt idx="65">
                  <c:v>329.63372180082422</c:v>
                </c:pt>
                <c:pt idx="66">
                  <c:v>415.31388490851958</c:v>
                </c:pt>
                <c:pt idx="67">
                  <c:v>370.00197512709912</c:v>
                </c:pt>
                <c:pt idx="68">
                  <c:v>329.63372180082422</c:v>
                </c:pt>
                <c:pt idx="69">
                  <c:v>587.34554108704231</c:v>
                </c:pt>
                <c:pt idx="70">
                  <c:v>659.27420622217721</c:v>
                </c:pt>
                <c:pt idx="71">
                  <c:v>523.26449507501752</c:v>
                </c:pt>
                <c:pt idx="72">
                  <c:v>587.34554108704231</c:v>
                </c:pt>
                <c:pt idx="73">
                  <c:v>880.02924657542201</c:v>
                </c:pt>
                <c:pt idx="74">
                  <c:v>987.80111944755811</c:v>
                </c:pt>
                <c:pt idx="75">
                  <c:v>659.27420622217721</c:v>
                </c:pt>
                <c:pt idx="76">
                  <c:v>587.34554108704231</c:v>
                </c:pt>
                <c:pt idx="77">
                  <c:v>698.47728762097279</c:v>
                </c:pt>
                <c:pt idx="78">
                  <c:v>587.34554108704231</c:v>
                </c:pt>
                <c:pt idx="79">
                  <c:v>493.89549345236594</c:v>
                </c:pt>
                <c:pt idx="80">
                  <c:v>440.01010976071973</c:v>
                </c:pt>
                <c:pt idx="81">
                  <c:v>784.01558732918636</c:v>
                </c:pt>
                <c:pt idx="82">
                  <c:v>659.27420622217721</c:v>
                </c:pt>
                <c:pt idx="83">
                  <c:v>698.47728762097279</c:v>
                </c:pt>
                <c:pt idx="84">
                  <c:v>784.01558732918636</c:v>
                </c:pt>
                <c:pt idx="85">
                  <c:v>698.47728762097279</c:v>
                </c:pt>
                <c:pt idx="86">
                  <c:v>880.02924657542201</c:v>
                </c:pt>
                <c:pt idx="87">
                  <c:v>784.01558732918636</c:v>
                </c:pt>
                <c:pt idx="88">
                  <c:v>698.47728762097279</c:v>
                </c:pt>
                <c:pt idx="89">
                  <c:v>698.47728762097279</c:v>
                </c:pt>
                <c:pt idx="90">
                  <c:v>587.34554108704231</c:v>
                </c:pt>
                <c:pt idx="91">
                  <c:v>659.27420622217721</c:v>
                </c:pt>
                <c:pt idx="92">
                  <c:v>698.47728762097279</c:v>
                </c:pt>
                <c:pt idx="93">
                  <c:v>659.27420622217721</c:v>
                </c:pt>
                <c:pt idx="94">
                  <c:v>784.01558732918636</c:v>
                </c:pt>
                <c:pt idx="95">
                  <c:v>698.47728762097279</c:v>
                </c:pt>
                <c:pt idx="96">
                  <c:v>659.27420622217721</c:v>
                </c:pt>
                <c:pt idx="97">
                  <c:v>587.34554108704231</c:v>
                </c:pt>
                <c:pt idx="98">
                  <c:v>698.47728762097279</c:v>
                </c:pt>
                <c:pt idx="99">
                  <c:v>659.27420622217721</c:v>
                </c:pt>
                <c:pt idx="100">
                  <c:v>587.34554108704231</c:v>
                </c:pt>
                <c:pt idx="101">
                  <c:v>698.47728762097279</c:v>
                </c:pt>
                <c:pt idx="102">
                  <c:v>880.02924657542201</c:v>
                </c:pt>
                <c:pt idx="103">
                  <c:v>784.01558732918636</c:v>
                </c:pt>
                <c:pt idx="104">
                  <c:v>698.47728762097279</c:v>
                </c:pt>
                <c:pt idx="105">
                  <c:v>880.02924657542201</c:v>
                </c:pt>
                <c:pt idx="106">
                  <c:v>1046.5397252143878</c:v>
                </c:pt>
                <c:pt idx="107">
                  <c:v>987.80111944755811</c:v>
                </c:pt>
                <c:pt idx="108">
                  <c:v>1046.5397252143878</c:v>
                </c:pt>
                <c:pt idx="109">
                  <c:v>659.27420622217721</c:v>
                </c:pt>
                <c:pt idx="110">
                  <c:v>523.26449507501752</c:v>
                </c:pt>
                <c:pt idx="111">
                  <c:v>466.17487092753117</c:v>
                </c:pt>
                <c:pt idx="112">
                  <c:v>392.00377257605692</c:v>
                </c:pt>
                <c:pt idx="113">
                  <c:v>440.01010976071973</c:v>
                </c:pt>
                <c:pt idx="114">
                  <c:v>466.17487092753117</c:v>
                </c:pt>
                <c:pt idx="115">
                  <c:v>493.89549345236594</c:v>
                </c:pt>
                <c:pt idx="116">
                  <c:v>329.63372180082422</c:v>
                </c:pt>
                <c:pt idx="117">
                  <c:v>523.26449507501752</c:v>
                </c:pt>
                <c:pt idx="118">
                  <c:v>493.89549345236594</c:v>
                </c:pt>
              </c:numCache>
            </c:numRef>
          </c:yVal>
          <c:smooth val="0"/>
        </c:ser>
        <c:ser>
          <c:idx val="1"/>
          <c:order val="1"/>
          <c:tx>
            <c:v>Left Hand</c:v>
          </c:tx>
          <c:xVal>
            <c:numRef>
              <c:f>Sheet1!$F$245:$F$352</c:f>
              <c:numCache>
                <c:formatCode>General</c:formatCode>
                <c:ptCount val="108"/>
                <c:pt idx="0">
                  <c:v>2.25</c:v>
                </c:pt>
                <c:pt idx="1">
                  <c:v>2.75</c:v>
                </c:pt>
                <c:pt idx="2">
                  <c:v>3.25</c:v>
                </c:pt>
                <c:pt idx="3">
                  <c:v>3.75</c:v>
                </c:pt>
                <c:pt idx="4">
                  <c:v>4.5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16.5</c:v>
                </c:pt>
                <c:pt idx="17">
                  <c:v>17</c:v>
                </c:pt>
                <c:pt idx="18">
                  <c:v>17.5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24.25</c:v>
                </c:pt>
                <c:pt idx="26">
                  <c:v>24.75</c:v>
                </c:pt>
                <c:pt idx="27">
                  <c:v>25.25</c:v>
                </c:pt>
                <c:pt idx="28">
                  <c:v>25.75</c:v>
                </c:pt>
                <c:pt idx="29">
                  <c:v>26.5</c:v>
                </c:pt>
                <c:pt idx="30">
                  <c:v>27.5</c:v>
                </c:pt>
                <c:pt idx="31">
                  <c:v>28.25</c:v>
                </c:pt>
                <c:pt idx="32">
                  <c:v>28.75</c:v>
                </c:pt>
                <c:pt idx="33">
                  <c:v>29.25</c:v>
                </c:pt>
                <c:pt idx="34">
                  <c:v>29.75</c:v>
                </c:pt>
                <c:pt idx="35">
                  <c:v>30.25</c:v>
                </c:pt>
                <c:pt idx="36">
                  <c:v>31.25</c:v>
                </c:pt>
                <c:pt idx="37">
                  <c:v>32.25</c:v>
                </c:pt>
                <c:pt idx="38">
                  <c:v>32.75</c:v>
                </c:pt>
                <c:pt idx="39">
                  <c:v>33.25</c:v>
                </c:pt>
                <c:pt idx="40">
                  <c:v>33.75</c:v>
                </c:pt>
                <c:pt idx="41">
                  <c:v>34.5</c:v>
                </c:pt>
                <c:pt idx="42">
                  <c:v>35.5</c:v>
                </c:pt>
                <c:pt idx="43">
                  <c:v>36.25</c:v>
                </c:pt>
                <c:pt idx="44">
                  <c:v>36.75</c:v>
                </c:pt>
                <c:pt idx="45">
                  <c:v>37.25</c:v>
                </c:pt>
                <c:pt idx="46">
                  <c:v>37.75</c:v>
                </c:pt>
                <c:pt idx="47">
                  <c:v>38.5</c:v>
                </c:pt>
                <c:pt idx="48">
                  <c:v>39.5</c:v>
                </c:pt>
                <c:pt idx="49">
                  <c:v>40.25</c:v>
                </c:pt>
                <c:pt idx="50">
                  <c:v>40.75</c:v>
                </c:pt>
                <c:pt idx="51">
                  <c:v>41.25</c:v>
                </c:pt>
                <c:pt idx="52">
                  <c:v>41.75</c:v>
                </c:pt>
                <c:pt idx="53">
                  <c:v>42.25</c:v>
                </c:pt>
                <c:pt idx="54">
                  <c:v>42.75</c:v>
                </c:pt>
                <c:pt idx="55">
                  <c:v>43.25</c:v>
                </c:pt>
                <c:pt idx="56">
                  <c:v>43.75</c:v>
                </c:pt>
                <c:pt idx="57">
                  <c:v>44.25</c:v>
                </c:pt>
                <c:pt idx="58">
                  <c:v>44.75</c:v>
                </c:pt>
                <c:pt idx="59">
                  <c:v>45.25</c:v>
                </c:pt>
                <c:pt idx="60">
                  <c:v>45.75</c:v>
                </c:pt>
                <c:pt idx="61">
                  <c:v>46.25</c:v>
                </c:pt>
                <c:pt idx="62">
                  <c:v>46.75</c:v>
                </c:pt>
                <c:pt idx="63">
                  <c:v>47.25</c:v>
                </c:pt>
                <c:pt idx="64">
                  <c:v>47.75</c:v>
                </c:pt>
                <c:pt idx="65">
                  <c:v>48.5</c:v>
                </c:pt>
                <c:pt idx="66">
                  <c:v>49.75</c:v>
                </c:pt>
                <c:pt idx="67">
                  <c:v>50.25</c:v>
                </c:pt>
                <c:pt idx="68">
                  <c:v>50.75</c:v>
                </c:pt>
                <c:pt idx="69">
                  <c:v>51.25</c:v>
                </c:pt>
                <c:pt idx="70">
                  <c:v>51.75</c:v>
                </c:pt>
                <c:pt idx="71">
                  <c:v>52.25</c:v>
                </c:pt>
                <c:pt idx="72">
                  <c:v>52.75</c:v>
                </c:pt>
                <c:pt idx="73">
                  <c:v>53.25</c:v>
                </c:pt>
                <c:pt idx="74">
                  <c:v>53.75</c:v>
                </c:pt>
                <c:pt idx="75">
                  <c:v>54.5</c:v>
                </c:pt>
                <c:pt idx="76">
                  <c:v>55.5</c:v>
                </c:pt>
                <c:pt idx="77">
                  <c:v>56.5</c:v>
                </c:pt>
                <c:pt idx="78">
                  <c:v>58.5</c:v>
                </c:pt>
                <c:pt idx="79">
                  <c:v>59</c:v>
                </c:pt>
                <c:pt idx="80">
                  <c:v>59.5</c:v>
                </c:pt>
                <c:pt idx="81">
                  <c:v>62.25</c:v>
                </c:pt>
                <c:pt idx="82">
                  <c:v>62.75</c:v>
                </c:pt>
                <c:pt idx="83">
                  <c:v>63.25</c:v>
                </c:pt>
                <c:pt idx="84">
                  <c:v>63.75</c:v>
                </c:pt>
                <c:pt idx="85">
                  <c:v>66.25</c:v>
                </c:pt>
                <c:pt idx="86">
                  <c:v>66.75</c:v>
                </c:pt>
                <c:pt idx="87">
                  <c:v>67.25</c:v>
                </c:pt>
                <c:pt idx="88">
                  <c:v>67.75</c:v>
                </c:pt>
                <c:pt idx="89">
                  <c:v>70.25</c:v>
                </c:pt>
                <c:pt idx="90">
                  <c:v>70.75</c:v>
                </c:pt>
                <c:pt idx="91">
                  <c:v>71.25</c:v>
                </c:pt>
                <c:pt idx="92">
                  <c:v>71.75</c:v>
                </c:pt>
                <c:pt idx="93">
                  <c:v>72.5</c:v>
                </c:pt>
                <c:pt idx="94">
                  <c:v>73.5</c:v>
                </c:pt>
                <c:pt idx="95">
                  <c:v>74.5</c:v>
                </c:pt>
                <c:pt idx="96">
                  <c:v>75.5</c:v>
                </c:pt>
                <c:pt idx="97">
                  <c:v>76.5</c:v>
                </c:pt>
                <c:pt idx="98">
                  <c:v>77.5</c:v>
                </c:pt>
                <c:pt idx="99">
                  <c:v>78.25</c:v>
                </c:pt>
                <c:pt idx="100">
                  <c:v>78.75</c:v>
                </c:pt>
                <c:pt idx="101">
                  <c:v>79.25</c:v>
                </c:pt>
                <c:pt idx="102">
                  <c:v>79.75</c:v>
                </c:pt>
                <c:pt idx="103">
                  <c:v>80.5</c:v>
                </c:pt>
                <c:pt idx="104">
                  <c:v>81.5</c:v>
                </c:pt>
                <c:pt idx="105">
                  <c:v>82.25</c:v>
                </c:pt>
                <c:pt idx="106">
                  <c:v>82.75</c:v>
                </c:pt>
                <c:pt idx="107">
                  <c:v>83.5</c:v>
                </c:pt>
              </c:numCache>
            </c:numRef>
          </c:xVal>
          <c:yVal>
            <c:numRef>
              <c:f>Sheet1!$I$245:$I$352</c:f>
              <c:numCache>
                <c:formatCode>General</c:formatCode>
                <c:ptCount val="108"/>
                <c:pt idx="0">
                  <c:v>130.81344004395982</c:v>
                </c:pt>
                <c:pt idx="1">
                  <c:v>164.8151702626221</c:v>
                </c:pt>
                <c:pt idx="2">
                  <c:v>146.83337288738056</c:v>
                </c:pt>
                <c:pt idx="3">
                  <c:v>130.81344004395982</c:v>
                </c:pt>
                <c:pt idx="4">
                  <c:v>97.998932630681253</c:v>
                </c:pt>
                <c:pt idx="5">
                  <c:v>220.00279814001337</c:v>
                </c:pt>
                <c:pt idx="6">
                  <c:v>261.62956379894968</c:v>
                </c:pt>
                <c:pt idx="7">
                  <c:v>246.94521361646048</c:v>
                </c:pt>
                <c:pt idx="8">
                  <c:v>261.62956379894968</c:v>
                </c:pt>
                <c:pt idx="9">
                  <c:v>261.62956379894968</c:v>
                </c:pt>
                <c:pt idx="10">
                  <c:v>329.63372180082422</c:v>
                </c:pt>
                <c:pt idx="11">
                  <c:v>220.00279814001337</c:v>
                </c:pt>
                <c:pt idx="12">
                  <c:v>261.62956379894968</c:v>
                </c:pt>
                <c:pt idx="13">
                  <c:v>184.99908988354849</c:v>
                </c:pt>
                <c:pt idx="14">
                  <c:v>220.00279814001337</c:v>
                </c:pt>
                <c:pt idx="15">
                  <c:v>261.62956379894968</c:v>
                </c:pt>
                <c:pt idx="16">
                  <c:v>164.8151702626221</c:v>
                </c:pt>
                <c:pt idx="17">
                  <c:v>195.99987576438383</c:v>
                </c:pt>
                <c:pt idx="18">
                  <c:v>184.99908988354849</c:v>
                </c:pt>
                <c:pt idx="19">
                  <c:v>195.99987576438383</c:v>
                </c:pt>
                <c:pt idx="20">
                  <c:v>130.81344004395982</c:v>
                </c:pt>
                <c:pt idx="21">
                  <c:v>164.8151702626221</c:v>
                </c:pt>
                <c:pt idx="22">
                  <c:v>195.99987576438383</c:v>
                </c:pt>
                <c:pt idx="23">
                  <c:v>123.4713402663609</c:v>
                </c:pt>
                <c:pt idx="24">
                  <c:v>146.83337288738056</c:v>
                </c:pt>
                <c:pt idx="25">
                  <c:v>97.998932630681253</c:v>
                </c:pt>
                <c:pt idx="26">
                  <c:v>123.4713402663609</c:v>
                </c:pt>
                <c:pt idx="27">
                  <c:v>110.00027071140791</c:v>
                </c:pt>
                <c:pt idx="28">
                  <c:v>97.998932630681253</c:v>
                </c:pt>
                <c:pt idx="29">
                  <c:v>195.99987576438383</c:v>
                </c:pt>
                <c:pt idx="30">
                  <c:v>195.99987576438383</c:v>
                </c:pt>
                <c:pt idx="31">
                  <c:v>146.83337288738056</c:v>
                </c:pt>
                <c:pt idx="32">
                  <c:v>184.99908988354849</c:v>
                </c:pt>
                <c:pt idx="33">
                  <c:v>164.8151702626221</c:v>
                </c:pt>
                <c:pt idx="34">
                  <c:v>146.83337288738056</c:v>
                </c:pt>
                <c:pt idx="35">
                  <c:v>293.66975814369101</c:v>
                </c:pt>
                <c:pt idx="36">
                  <c:v>293.66975814369101</c:v>
                </c:pt>
                <c:pt idx="37">
                  <c:v>392.00377257605692</c:v>
                </c:pt>
                <c:pt idx="38">
                  <c:v>329.63372180082422</c:v>
                </c:pt>
                <c:pt idx="39">
                  <c:v>349.23506143398839</c:v>
                </c:pt>
                <c:pt idx="40">
                  <c:v>392.00377257605692</c:v>
                </c:pt>
                <c:pt idx="41">
                  <c:v>329.63372180082422</c:v>
                </c:pt>
                <c:pt idx="42">
                  <c:v>293.66975814369101</c:v>
                </c:pt>
                <c:pt idx="43">
                  <c:v>440.01010976071973</c:v>
                </c:pt>
                <c:pt idx="44">
                  <c:v>349.23506143398839</c:v>
                </c:pt>
                <c:pt idx="45">
                  <c:v>392.00377257605692</c:v>
                </c:pt>
                <c:pt idx="46">
                  <c:v>440.01010976071973</c:v>
                </c:pt>
                <c:pt idx="47">
                  <c:v>349.23506143398839</c:v>
                </c:pt>
                <c:pt idx="48">
                  <c:v>329.63372180082422</c:v>
                </c:pt>
                <c:pt idx="49">
                  <c:v>466.17487092753117</c:v>
                </c:pt>
                <c:pt idx="50">
                  <c:v>392.00377257605692</c:v>
                </c:pt>
                <c:pt idx="51">
                  <c:v>440.01010976071973</c:v>
                </c:pt>
                <c:pt idx="52">
                  <c:v>466.17487092753117</c:v>
                </c:pt>
                <c:pt idx="53">
                  <c:v>392.00377257605692</c:v>
                </c:pt>
                <c:pt idx="54">
                  <c:v>329.63372180082422</c:v>
                </c:pt>
                <c:pt idx="55">
                  <c:v>349.23506143398839</c:v>
                </c:pt>
                <c:pt idx="56">
                  <c:v>392.00377257605692</c:v>
                </c:pt>
                <c:pt idx="57">
                  <c:v>329.63372180082422</c:v>
                </c:pt>
                <c:pt idx="58">
                  <c:v>261.62956379894968</c:v>
                </c:pt>
                <c:pt idx="59">
                  <c:v>293.66975814369101</c:v>
                </c:pt>
                <c:pt idx="60">
                  <c:v>329.63372180082422</c:v>
                </c:pt>
                <c:pt idx="61">
                  <c:v>261.62956379894968</c:v>
                </c:pt>
                <c:pt idx="62">
                  <c:v>220.00279814001337</c:v>
                </c:pt>
                <c:pt idx="63">
                  <c:v>246.94521361646048</c:v>
                </c:pt>
                <c:pt idx="64">
                  <c:v>261.62956379894968</c:v>
                </c:pt>
                <c:pt idx="65">
                  <c:v>164.8151702626221</c:v>
                </c:pt>
                <c:pt idx="66">
                  <c:v>329.63372180082422</c:v>
                </c:pt>
                <c:pt idx="67">
                  <c:v>246.94521361646048</c:v>
                </c:pt>
                <c:pt idx="68">
                  <c:v>195.99987576438383</c:v>
                </c:pt>
                <c:pt idx="69">
                  <c:v>220.00279814001337</c:v>
                </c:pt>
                <c:pt idx="70">
                  <c:v>246.94521361646048</c:v>
                </c:pt>
                <c:pt idx="71">
                  <c:v>261.62956379894968</c:v>
                </c:pt>
                <c:pt idx="72">
                  <c:v>293.66975814369101</c:v>
                </c:pt>
                <c:pt idx="73">
                  <c:v>329.63372180082422</c:v>
                </c:pt>
                <c:pt idx="74">
                  <c:v>349.23506143398839</c:v>
                </c:pt>
                <c:pt idx="75">
                  <c:v>220.00279814001337</c:v>
                </c:pt>
                <c:pt idx="76">
                  <c:v>164.8151702626221</c:v>
                </c:pt>
                <c:pt idx="77">
                  <c:v>110.00027071140791</c:v>
                </c:pt>
                <c:pt idx="78">
                  <c:v>293.66975814369101</c:v>
                </c:pt>
                <c:pt idx="79">
                  <c:v>246.94521361646048</c:v>
                </c:pt>
                <c:pt idx="80">
                  <c:v>277.18710418069043</c:v>
                </c:pt>
                <c:pt idx="81">
                  <c:v>220.00279814001337</c:v>
                </c:pt>
                <c:pt idx="82">
                  <c:v>261.62956379894968</c:v>
                </c:pt>
                <c:pt idx="83">
                  <c:v>246.94521361646048</c:v>
                </c:pt>
                <c:pt idx="84">
                  <c:v>220.00279814001337</c:v>
                </c:pt>
                <c:pt idx="85">
                  <c:v>293.66975814369101</c:v>
                </c:pt>
                <c:pt idx="86">
                  <c:v>246.94521361646048</c:v>
                </c:pt>
                <c:pt idx="87">
                  <c:v>261.62956379894968</c:v>
                </c:pt>
                <c:pt idx="88">
                  <c:v>293.66975814369101</c:v>
                </c:pt>
                <c:pt idx="89">
                  <c:v>195.99987576438383</c:v>
                </c:pt>
                <c:pt idx="90">
                  <c:v>233.08504452861115</c:v>
                </c:pt>
                <c:pt idx="91">
                  <c:v>220.00279814001337</c:v>
                </c:pt>
                <c:pt idx="92">
                  <c:v>195.99987576438383</c:v>
                </c:pt>
                <c:pt idx="93">
                  <c:v>233.08504452861115</c:v>
                </c:pt>
                <c:pt idx="94">
                  <c:v>195.99987576438383</c:v>
                </c:pt>
                <c:pt idx="95">
                  <c:v>293.66975814369101</c:v>
                </c:pt>
                <c:pt idx="96">
                  <c:v>233.08504452861115</c:v>
                </c:pt>
                <c:pt idx="97">
                  <c:v>349.23506143398839</c:v>
                </c:pt>
                <c:pt idx="98">
                  <c:v>293.66975814369101</c:v>
                </c:pt>
                <c:pt idx="99">
                  <c:v>146.83337288738056</c:v>
                </c:pt>
                <c:pt idx="100">
                  <c:v>174.61573954711864</c:v>
                </c:pt>
                <c:pt idx="101">
                  <c:v>164.8151702626221</c:v>
                </c:pt>
                <c:pt idx="102">
                  <c:v>146.83337288738056</c:v>
                </c:pt>
                <c:pt idx="103">
                  <c:v>130.81344004395982</c:v>
                </c:pt>
                <c:pt idx="104">
                  <c:v>164.8151702626221</c:v>
                </c:pt>
                <c:pt idx="105">
                  <c:v>146.83337288738056</c:v>
                </c:pt>
                <c:pt idx="106">
                  <c:v>174.61573954711864</c:v>
                </c:pt>
                <c:pt idx="107">
                  <c:v>97.998932630681253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74176"/>
        <c:axId val="57597952"/>
      </c:scatterChart>
      <c:valAx>
        <c:axId val="74874176"/>
        <c:scaling>
          <c:orientation val="minMax"/>
          <c:max val="8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597952"/>
        <c:crosses val="autoZero"/>
        <c:crossBetween val="midCat"/>
        <c:majorUnit val="21"/>
        <c:minorUnit val="1"/>
      </c:valAx>
      <c:valAx>
        <c:axId val="57597952"/>
        <c:scaling>
          <c:logBase val="10"/>
          <c:orientation val="minMax"/>
          <c:max val="2000"/>
          <c:min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4874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9198475763924001"/>
          <c:y val="0.213512082541406"/>
          <c:w val="8.3228226058898597E-2"/>
          <c:h val="0.53874660602769497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1/4 of All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867743227011806E-2"/>
          <c:y val="0.154069771547615"/>
          <c:w val="0.75645669291338602"/>
          <c:h val="0.62291625490133595"/>
        </c:manualLayout>
      </c:layout>
      <c:scatterChart>
        <c:scatterStyle val="lineMarker"/>
        <c:varyColors val="0"/>
        <c:ser>
          <c:idx val="2"/>
          <c:order val="0"/>
          <c:tx>
            <c:v>Right Hand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Sheet1!$A$367:$A$426</c:f>
              <c:numCache>
                <c:formatCode>General</c:formatCode>
                <c:ptCount val="60"/>
                <c:pt idx="0">
                  <c:v>0.25</c:v>
                </c:pt>
                <c:pt idx="1">
                  <c:v>1.25</c:v>
                </c:pt>
                <c:pt idx="2">
                  <c:v>2.5</c:v>
                </c:pt>
                <c:pt idx="3">
                  <c:v>4.25</c:v>
                </c:pt>
                <c:pt idx="4">
                  <c:v>5.25</c:v>
                </c:pt>
                <c:pt idx="5">
                  <c:v>6.5</c:v>
                </c:pt>
                <c:pt idx="6">
                  <c:v>8.25</c:v>
                </c:pt>
                <c:pt idx="7">
                  <c:v>9.25</c:v>
                </c:pt>
                <c:pt idx="8">
                  <c:v>10.25</c:v>
                </c:pt>
                <c:pt idx="9">
                  <c:v>11.25</c:v>
                </c:pt>
                <c:pt idx="10">
                  <c:v>12.25</c:v>
                </c:pt>
                <c:pt idx="11">
                  <c:v>13.25</c:v>
                </c:pt>
                <c:pt idx="12">
                  <c:v>14.25</c:v>
                </c:pt>
                <c:pt idx="13">
                  <c:v>15.25</c:v>
                </c:pt>
                <c:pt idx="14">
                  <c:v>16.5</c:v>
                </c:pt>
                <c:pt idx="15">
                  <c:v>18.25</c:v>
                </c:pt>
                <c:pt idx="16">
                  <c:v>19.25</c:v>
                </c:pt>
                <c:pt idx="17">
                  <c:v>20.25</c:v>
                </c:pt>
                <c:pt idx="18">
                  <c:v>21.25</c:v>
                </c:pt>
                <c:pt idx="19">
                  <c:v>22.25</c:v>
                </c:pt>
                <c:pt idx="20">
                  <c:v>23</c:v>
                </c:pt>
                <c:pt idx="21">
                  <c:v>26.25</c:v>
                </c:pt>
                <c:pt idx="22">
                  <c:v>27.25</c:v>
                </c:pt>
                <c:pt idx="23">
                  <c:v>30.25</c:v>
                </c:pt>
                <c:pt idx="24">
                  <c:v>31.25</c:v>
                </c:pt>
                <c:pt idx="25">
                  <c:v>34.25</c:v>
                </c:pt>
                <c:pt idx="26">
                  <c:v>35.25</c:v>
                </c:pt>
                <c:pt idx="27">
                  <c:v>38.25</c:v>
                </c:pt>
                <c:pt idx="28">
                  <c:v>39.25</c:v>
                </c:pt>
                <c:pt idx="29">
                  <c:v>40.5</c:v>
                </c:pt>
                <c:pt idx="30">
                  <c:v>42.5</c:v>
                </c:pt>
                <c:pt idx="31">
                  <c:v>44.5</c:v>
                </c:pt>
                <c:pt idx="32">
                  <c:v>46.5</c:v>
                </c:pt>
                <c:pt idx="33">
                  <c:v>48.75</c:v>
                </c:pt>
                <c:pt idx="34">
                  <c:v>49.75</c:v>
                </c:pt>
                <c:pt idx="35">
                  <c:v>50.75</c:v>
                </c:pt>
                <c:pt idx="36">
                  <c:v>51.75</c:v>
                </c:pt>
                <c:pt idx="37">
                  <c:v>52.75</c:v>
                </c:pt>
                <c:pt idx="38">
                  <c:v>53.75</c:v>
                </c:pt>
                <c:pt idx="39">
                  <c:v>54.75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61</c:v>
                </c:pt>
                <c:pt idx="44">
                  <c:v>62</c:v>
                </c:pt>
                <c:pt idx="45">
                  <c:v>65</c:v>
                </c:pt>
                <c:pt idx="46">
                  <c:v>66</c:v>
                </c:pt>
                <c:pt idx="47">
                  <c:v>69</c:v>
                </c:pt>
                <c:pt idx="48">
                  <c:v>70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76</c:v>
                </c:pt>
                <c:pt idx="53">
                  <c:v>77</c:v>
                </c:pt>
                <c:pt idx="54">
                  <c:v>78</c:v>
                </c:pt>
                <c:pt idx="55">
                  <c:v>79.75</c:v>
                </c:pt>
                <c:pt idx="56">
                  <c:v>80.75</c:v>
                </c:pt>
                <c:pt idx="57">
                  <c:v>81.75</c:v>
                </c:pt>
                <c:pt idx="58">
                  <c:v>82.75</c:v>
                </c:pt>
                <c:pt idx="59">
                  <c:v>83.75</c:v>
                </c:pt>
              </c:numCache>
            </c:numRef>
          </c:xVal>
          <c:yVal>
            <c:numRef>
              <c:f>Sheet1!$D$367:$D$426</c:f>
              <c:numCache>
                <c:formatCode>General</c:formatCode>
                <c:ptCount val="60"/>
                <c:pt idx="0">
                  <c:v>261.62956379894968</c:v>
                </c:pt>
                <c:pt idx="1">
                  <c:v>293.66975814369101</c:v>
                </c:pt>
                <c:pt idx="2">
                  <c:v>523.26449507501752</c:v>
                </c:pt>
                <c:pt idx="3">
                  <c:v>392.00377257605692</c:v>
                </c:pt>
                <c:pt idx="4">
                  <c:v>440.01010976071962</c:v>
                </c:pt>
                <c:pt idx="5">
                  <c:v>784.01558732918647</c:v>
                </c:pt>
                <c:pt idx="6">
                  <c:v>880.02924657542201</c:v>
                </c:pt>
                <c:pt idx="7">
                  <c:v>784.01558732918647</c:v>
                </c:pt>
                <c:pt idx="8">
                  <c:v>698.47728762097279</c:v>
                </c:pt>
                <c:pt idx="9">
                  <c:v>659.27420622217699</c:v>
                </c:pt>
                <c:pt idx="10">
                  <c:v>587.34554108704231</c:v>
                </c:pt>
                <c:pt idx="11">
                  <c:v>523.26449507501752</c:v>
                </c:pt>
                <c:pt idx="12">
                  <c:v>493.89549345236588</c:v>
                </c:pt>
                <c:pt idx="13">
                  <c:v>440.01010976071962</c:v>
                </c:pt>
                <c:pt idx="14">
                  <c:v>293.66975814369101</c:v>
                </c:pt>
                <c:pt idx="15">
                  <c:v>440.01010976071962</c:v>
                </c:pt>
                <c:pt idx="16">
                  <c:v>392.00377257605692</c:v>
                </c:pt>
                <c:pt idx="17">
                  <c:v>493.89549345236588</c:v>
                </c:pt>
                <c:pt idx="18">
                  <c:v>587.34554108704231</c:v>
                </c:pt>
                <c:pt idx="19">
                  <c:v>493.89549345236588</c:v>
                </c:pt>
                <c:pt idx="20">
                  <c:v>493.89549345236588</c:v>
                </c:pt>
                <c:pt idx="21">
                  <c:v>392.00377257605692</c:v>
                </c:pt>
                <c:pt idx="22">
                  <c:v>440.01010976071962</c:v>
                </c:pt>
                <c:pt idx="23">
                  <c:v>440.01010976071962</c:v>
                </c:pt>
                <c:pt idx="24">
                  <c:v>493.89549345236588</c:v>
                </c:pt>
                <c:pt idx="25">
                  <c:v>587.34554108704231</c:v>
                </c:pt>
                <c:pt idx="26">
                  <c:v>523.26449507501752</c:v>
                </c:pt>
                <c:pt idx="27">
                  <c:v>659.27420622217699</c:v>
                </c:pt>
                <c:pt idx="28">
                  <c:v>587.34554108704231</c:v>
                </c:pt>
                <c:pt idx="29">
                  <c:v>554.37989501015818</c:v>
                </c:pt>
                <c:pt idx="30">
                  <c:v>440.01010976071962</c:v>
                </c:pt>
                <c:pt idx="31">
                  <c:v>370.00197512709906</c:v>
                </c:pt>
                <c:pt idx="32">
                  <c:v>523.26449507501752</c:v>
                </c:pt>
                <c:pt idx="33">
                  <c:v>415.31388490851958</c:v>
                </c:pt>
                <c:pt idx="34">
                  <c:v>329.63372180082422</c:v>
                </c:pt>
                <c:pt idx="35">
                  <c:v>659.27420622217699</c:v>
                </c:pt>
                <c:pt idx="36">
                  <c:v>587.34554108704231</c:v>
                </c:pt>
                <c:pt idx="37">
                  <c:v>987.80111944755799</c:v>
                </c:pt>
                <c:pt idx="38">
                  <c:v>587.34554108704231</c:v>
                </c:pt>
                <c:pt idx="39">
                  <c:v>587.34554108704231</c:v>
                </c:pt>
                <c:pt idx="40">
                  <c:v>440.01010976071962</c:v>
                </c:pt>
                <c:pt idx="41">
                  <c:v>659.27420622217699</c:v>
                </c:pt>
                <c:pt idx="42">
                  <c:v>784.01558732918647</c:v>
                </c:pt>
                <c:pt idx="43">
                  <c:v>880.02924657542201</c:v>
                </c:pt>
                <c:pt idx="44">
                  <c:v>698.47728762097279</c:v>
                </c:pt>
                <c:pt idx="45">
                  <c:v>587.34554108704231</c:v>
                </c:pt>
                <c:pt idx="46">
                  <c:v>698.47728762097279</c:v>
                </c:pt>
                <c:pt idx="47">
                  <c:v>784.01558732918647</c:v>
                </c:pt>
                <c:pt idx="48">
                  <c:v>659.27420622217699</c:v>
                </c:pt>
                <c:pt idx="49">
                  <c:v>698.47728762097279</c:v>
                </c:pt>
                <c:pt idx="50">
                  <c:v>587.34554108704231</c:v>
                </c:pt>
                <c:pt idx="51">
                  <c:v>880.02924657542201</c:v>
                </c:pt>
                <c:pt idx="52">
                  <c:v>698.47728762097279</c:v>
                </c:pt>
                <c:pt idx="53">
                  <c:v>1046.5397252143878</c:v>
                </c:pt>
                <c:pt idx="54">
                  <c:v>1046.5397252143878</c:v>
                </c:pt>
                <c:pt idx="55">
                  <c:v>523.26449507501752</c:v>
                </c:pt>
                <c:pt idx="56">
                  <c:v>392.00377257605692</c:v>
                </c:pt>
                <c:pt idx="57">
                  <c:v>466.17487092753117</c:v>
                </c:pt>
                <c:pt idx="58">
                  <c:v>329.63372180082422</c:v>
                </c:pt>
                <c:pt idx="59">
                  <c:v>493.89549345236588</c:v>
                </c:pt>
              </c:numCache>
            </c:numRef>
          </c:yVal>
          <c:smooth val="0"/>
        </c:ser>
        <c:ser>
          <c:idx val="3"/>
          <c:order val="1"/>
          <c:tx>
            <c:v>Left Hand</c:v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Sheet1!$F$367:$F$420</c:f>
              <c:numCache>
                <c:formatCode>General</c:formatCode>
                <c:ptCount val="54"/>
                <c:pt idx="0">
                  <c:v>2.25</c:v>
                </c:pt>
                <c:pt idx="1">
                  <c:v>3.25</c:v>
                </c:pt>
                <c:pt idx="2">
                  <c:v>4.5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16.5</c:v>
                </c:pt>
                <c:pt idx="9">
                  <c:v>17.5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24.75</c:v>
                </c:pt>
                <c:pt idx="14">
                  <c:v>25.75</c:v>
                </c:pt>
                <c:pt idx="15">
                  <c:v>27.5</c:v>
                </c:pt>
                <c:pt idx="16">
                  <c:v>28.75</c:v>
                </c:pt>
                <c:pt idx="17">
                  <c:v>29.75</c:v>
                </c:pt>
                <c:pt idx="18">
                  <c:v>31.25</c:v>
                </c:pt>
                <c:pt idx="19">
                  <c:v>32.75</c:v>
                </c:pt>
                <c:pt idx="20">
                  <c:v>33.75</c:v>
                </c:pt>
                <c:pt idx="21">
                  <c:v>35.5</c:v>
                </c:pt>
                <c:pt idx="22">
                  <c:v>36.75</c:v>
                </c:pt>
                <c:pt idx="23">
                  <c:v>37.75</c:v>
                </c:pt>
                <c:pt idx="24">
                  <c:v>39.5</c:v>
                </c:pt>
                <c:pt idx="25">
                  <c:v>40.75</c:v>
                </c:pt>
                <c:pt idx="26">
                  <c:v>41.75</c:v>
                </c:pt>
                <c:pt idx="27">
                  <c:v>42.75</c:v>
                </c:pt>
                <c:pt idx="28">
                  <c:v>43.75</c:v>
                </c:pt>
                <c:pt idx="29">
                  <c:v>44.75</c:v>
                </c:pt>
                <c:pt idx="30">
                  <c:v>45.75</c:v>
                </c:pt>
                <c:pt idx="31">
                  <c:v>46.75</c:v>
                </c:pt>
                <c:pt idx="32">
                  <c:v>47.75</c:v>
                </c:pt>
                <c:pt idx="33">
                  <c:v>49.75</c:v>
                </c:pt>
                <c:pt idx="34">
                  <c:v>50.75</c:v>
                </c:pt>
                <c:pt idx="35">
                  <c:v>51.75</c:v>
                </c:pt>
                <c:pt idx="36">
                  <c:v>52.75</c:v>
                </c:pt>
                <c:pt idx="37">
                  <c:v>53.75</c:v>
                </c:pt>
                <c:pt idx="38">
                  <c:v>55.5</c:v>
                </c:pt>
                <c:pt idx="39">
                  <c:v>58.5</c:v>
                </c:pt>
                <c:pt idx="40">
                  <c:v>59.5</c:v>
                </c:pt>
                <c:pt idx="41">
                  <c:v>62.75</c:v>
                </c:pt>
                <c:pt idx="42">
                  <c:v>63.75</c:v>
                </c:pt>
                <c:pt idx="43">
                  <c:v>66.75</c:v>
                </c:pt>
                <c:pt idx="44">
                  <c:v>67.75</c:v>
                </c:pt>
                <c:pt idx="45">
                  <c:v>70.75</c:v>
                </c:pt>
                <c:pt idx="46">
                  <c:v>71.75</c:v>
                </c:pt>
                <c:pt idx="47">
                  <c:v>73.5</c:v>
                </c:pt>
                <c:pt idx="48">
                  <c:v>75.5</c:v>
                </c:pt>
                <c:pt idx="49">
                  <c:v>77.5</c:v>
                </c:pt>
                <c:pt idx="50">
                  <c:v>78.75</c:v>
                </c:pt>
                <c:pt idx="51">
                  <c:v>79.75</c:v>
                </c:pt>
                <c:pt idx="52">
                  <c:v>81.5</c:v>
                </c:pt>
                <c:pt idx="53">
                  <c:v>82.75</c:v>
                </c:pt>
              </c:numCache>
            </c:numRef>
          </c:xVal>
          <c:yVal>
            <c:numRef>
              <c:f>Sheet1!$I$367:$I$420</c:f>
              <c:numCache>
                <c:formatCode>General</c:formatCode>
                <c:ptCount val="54"/>
                <c:pt idx="0">
                  <c:v>130.81344004395982</c:v>
                </c:pt>
                <c:pt idx="1">
                  <c:v>146.83337288738062</c:v>
                </c:pt>
                <c:pt idx="2">
                  <c:v>97.998932630681239</c:v>
                </c:pt>
                <c:pt idx="3">
                  <c:v>261.62956379894968</c:v>
                </c:pt>
                <c:pt idx="4">
                  <c:v>261.62956379894968</c:v>
                </c:pt>
                <c:pt idx="5">
                  <c:v>329.63372180082422</c:v>
                </c:pt>
                <c:pt idx="6">
                  <c:v>261.62956379894968</c:v>
                </c:pt>
                <c:pt idx="7">
                  <c:v>220.00279814001343</c:v>
                </c:pt>
                <c:pt idx="8">
                  <c:v>164.8151702626221</c:v>
                </c:pt>
                <c:pt idx="9">
                  <c:v>184.99908988354849</c:v>
                </c:pt>
                <c:pt idx="10">
                  <c:v>130.81344004395982</c:v>
                </c:pt>
                <c:pt idx="11">
                  <c:v>195.99987576438375</c:v>
                </c:pt>
                <c:pt idx="12">
                  <c:v>146.83337288738062</c:v>
                </c:pt>
                <c:pt idx="13">
                  <c:v>123.4713402663609</c:v>
                </c:pt>
                <c:pt idx="14">
                  <c:v>97.998932630681239</c:v>
                </c:pt>
                <c:pt idx="15">
                  <c:v>195.99987576438375</c:v>
                </c:pt>
                <c:pt idx="16">
                  <c:v>184.99908988354849</c:v>
                </c:pt>
                <c:pt idx="17">
                  <c:v>146.83337288738062</c:v>
                </c:pt>
                <c:pt idx="18">
                  <c:v>293.66975814369101</c:v>
                </c:pt>
                <c:pt idx="19">
                  <c:v>329.63372180082422</c:v>
                </c:pt>
                <c:pt idx="20">
                  <c:v>392.00377257605692</c:v>
                </c:pt>
                <c:pt idx="21">
                  <c:v>293.66975814369101</c:v>
                </c:pt>
                <c:pt idx="22">
                  <c:v>349.23506143398839</c:v>
                </c:pt>
                <c:pt idx="23">
                  <c:v>440.01010976071962</c:v>
                </c:pt>
                <c:pt idx="24">
                  <c:v>329.63372180082422</c:v>
                </c:pt>
                <c:pt idx="25">
                  <c:v>392.00377257605692</c:v>
                </c:pt>
                <c:pt idx="26">
                  <c:v>466.17487092753117</c:v>
                </c:pt>
                <c:pt idx="27">
                  <c:v>329.63372180082422</c:v>
                </c:pt>
                <c:pt idx="28">
                  <c:v>392.00377257605692</c:v>
                </c:pt>
                <c:pt idx="29">
                  <c:v>261.62956379894968</c:v>
                </c:pt>
                <c:pt idx="30">
                  <c:v>329.63372180082422</c:v>
                </c:pt>
                <c:pt idx="31">
                  <c:v>220.00279814001343</c:v>
                </c:pt>
                <c:pt idx="32">
                  <c:v>261.62956379894968</c:v>
                </c:pt>
                <c:pt idx="33">
                  <c:v>329.63372180082422</c:v>
                </c:pt>
                <c:pt idx="34">
                  <c:v>195.99987576438375</c:v>
                </c:pt>
                <c:pt idx="35">
                  <c:v>246.94521361646051</c:v>
                </c:pt>
                <c:pt idx="36">
                  <c:v>293.66975814369101</c:v>
                </c:pt>
                <c:pt idx="37">
                  <c:v>349.23506143398839</c:v>
                </c:pt>
                <c:pt idx="38">
                  <c:v>164.8151702626221</c:v>
                </c:pt>
                <c:pt idx="39">
                  <c:v>293.66975814369101</c:v>
                </c:pt>
                <c:pt idx="40">
                  <c:v>277.18710418069037</c:v>
                </c:pt>
                <c:pt idx="41">
                  <c:v>261.62956379894968</c:v>
                </c:pt>
                <c:pt idx="42">
                  <c:v>220.00279814001343</c:v>
                </c:pt>
                <c:pt idx="43">
                  <c:v>246.94521361646051</c:v>
                </c:pt>
                <c:pt idx="44">
                  <c:v>293.66975814369101</c:v>
                </c:pt>
                <c:pt idx="45">
                  <c:v>233.08504452861112</c:v>
                </c:pt>
                <c:pt idx="46">
                  <c:v>195.99987576438375</c:v>
                </c:pt>
                <c:pt idx="47">
                  <c:v>195.99987576438375</c:v>
                </c:pt>
                <c:pt idx="48">
                  <c:v>233.08504452861112</c:v>
                </c:pt>
                <c:pt idx="49">
                  <c:v>293.66975814369101</c:v>
                </c:pt>
                <c:pt idx="50">
                  <c:v>174.61573954711858</c:v>
                </c:pt>
                <c:pt idx="51">
                  <c:v>146.83337288738062</c:v>
                </c:pt>
                <c:pt idx="52">
                  <c:v>164.8151702626221</c:v>
                </c:pt>
                <c:pt idx="53">
                  <c:v>174.61573954711858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99680"/>
        <c:axId val="57600256"/>
      </c:scatterChart>
      <c:valAx>
        <c:axId val="57599680"/>
        <c:scaling>
          <c:orientation val="minMax"/>
          <c:max val="8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600256"/>
        <c:crosses val="autoZero"/>
        <c:crossBetween val="midCat"/>
        <c:majorUnit val="21"/>
        <c:minorUnit val="1"/>
      </c:valAx>
      <c:valAx>
        <c:axId val="57600256"/>
        <c:scaling>
          <c:logBase val="10"/>
          <c:orientation val="minMax"/>
          <c:max val="2000"/>
          <c:min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599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9147752857907003"/>
          <c:y val="0.21739698456975401"/>
          <c:w val="8.37354927790427E-2"/>
          <c:h val="0.52301295858197105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1/8 of All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952469303406"/>
          <c:y val="0.154069622876088"/>
          <c:w val="0.76438551677103295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Sheet1!$A$430:$A$459</c:f>
              <c:numCache>
                <c:formatCode>General</c:formatCode>
                <c:ptCount val="30"/>
                <c:pt idx="0">
                  <c:v>0.25</c:v>
                </c:pt>
                <c:pt idx="1">
                  <c:v>2.5</c:v>
                </c:pt>
                <c:pt idx="2">
                  <c:v>5.25</c:v>
                </c:pt>
                <c:pt idx="3">
                  <c:v>8.25</c:v>
                </c:pt>
                <c:pt idx="4">
                  <c:v>10.25</c:v>
                </c:pt>
                <c:pt idx="5">
                  <c:v>12.25</c:v>
                </c:pt>
                <c:pt idx="6">
                  <c:v>14.25</c:v>
                </c:pt>
                <c:pt idx="7">
                  <c:v>16.5</c:v>
                </c:pt>
                <c:pt idx="8">
                  <c:v>19.25</c:v>
                </c:pt>
                <c:pt idx="9">
                  <c:v>21.25</c:v>
                </c:pt>
                <c:pt idx="10">
                  <c:v>23</c:v>
                </c:pt>
                <c:pt idx="11">
                  <c:v>27.25</c:v>
                </c:pt>
                <c:pt idx="12">
                  <c:v>31.25</c:v>
                </c:pt>
                <c:pt idx="13">
                  <c:v>35.25</c:v>
                </c:pt>
                <c:pt idx="14">
                  <c:v>39.25</c:v>
                </c:pt>
                <c:pt idx="15">
                  <c:v>42.5</c:v>
                </c:pt>
                <c:pt idx="16">
                  <c:v>46.5</c:v>
                </c:pt>
                <c:pt idx="17">
                  <c:v>49.75</c:v>
                </c:pt>
                <c:pt idx="18">
                  <c:v>51.75</c:v>
                </c:pt>
                <c:pt idx="19">
                  <c:v>53.75</c:v>
                </c:pt>
                <c:pt idx="20">
                  <c:v>56</c:v>
                </c:pt>
                <c:pt idx="21">
                  <c:v>58</c:v>
                </c:pt>
                <c:pt idx="22">
                  <c:v>62</c:v>
                </c:pt>
                <c:pt idx="23">
                  <c:v>66</c:v>
                </c:pt>
                <c:pt idx="24">
                  <c:v>70</c:v>
                </c:pt>
                <c:pt idx="25">
                  <c:v>74</c:v>
                </c:pt>
                <c:pt idx="26">
                  <c:v>76</c:v>
                </c:pt>
                <c:pt idx="27">
                  <c:v>78</c:v>
                </c:pt>
                <c:pt idx="28">
                  <c:v>80.75</c:v>
                </c:pt>
                <c:pt idx="29">
                  <c:v>82.75</c:v>
                </c:pt>
              </c:numCache>
            </c:numRef>
          </c:xVal>
          <c:yVal>
            <c:numRef>
              <c:f>Sheet1!$D$430:$D$459</c:f>
              <c:numCache>
                <c:formatCode>General</c:formatCode>
                <c:ptCount val="30"/>
                <c:pt idx="0">
                  <c:v>261.62956379894968</c:v>
                </c:pt>
                <c:pt idx="1">
                  <c:v>523.26449507501752</c:v>
                </c:pt>
                <c:pt idx="2">
                  <c:v>440.01010976071962</c:v>
                </c:pt>
                <c:pt idx="3">
                  <c:v>880.02924657542201</c:v>
                </c:pt>
                <c:pt idx="4">
                  <c:v>698.47728762097279</c:v>
                </c:pt>
                <c:pt idx="5">
                  <c:v>587.34554108704231</c:v>
                </c:pt>
                <c:pt idx="6">
                  <c:v>493.89549345236588</c:v>
                </c:pt>
                <c:pt idx="7">
                  <c:v>293.66975814369101</c:v>
                </c:pt>
                <c:pt idx="8">
                  <c:v>392.00377257605692</c:v>
                </c:pt>
                <c:pt idx="9">
                  <c:v>587.34554108704231</c:v>
                </c:pt>
                <c:pt idx="10">
                  <c:v>493.89549345236588</c:v>
                </c:pt>
                <c:pt idx="11">
                  <c:v>440.01010976071962</c:v>
                </c:pt>
                <c:pt idx="12">
                  <c:v>493.89549345236588</c:v>
                </c:pt>
                <c:pt idx="13">
                  <c:v>523.26449507501752</c:v>
                </c:pt>
                <c:pt idx="14">
                  <c:v>587.34554108704231</c:v>
                </c:pt>
                <c:pt idx="15">
                  <c:v>440.01010976071962</c:v>
                </c:pt>
                <c:pt idx="16">
                  <c:v>523.26449507501752</c:v>
                </c:pt>
                <c:pt idx="17">
                  <c:v>329.63372180082422</c:v>
                </c:pt>
                <c:pt idx="18">
                  <c:v>587.34554108704231</c:v>
                </c:pt>
                <c:pt idx="19">
                  <c:v>587.34554108704231</c:v>
                </c:pt>
                <c:pt idx="20">
                  <c:v>440.01010976071962</c:v>
                </c:pt>
                <c:pt idx="21">
                  <c:v>784.01558732918647</c:v>
                </c:pt>
                <c:pt idx="22">
                  <c:v>698.47728762097279</c:v>
                </c:pt>
                <c:pt idx="23">
                  <c:v>698.47728762097279</c:v>
                </c:pt>
                <c:pt idx="24">
                  <c:v>659.27420622217699</c:v>
                </c:pt>
                <c:pt idx="25">
                  <c:v>587.34554108704231</c:v>
                </c:pt>
                <c:pt idx="26">
                  <c:v>698.47728762097279</c:v>
                </c:pt>
                <c:pt idx="27">
                  <c:v>1046.5397252143878</c:v>
                </c:pt>
                <c:pt idx="28">
                  <c:v>392.00377257605692</c:v>
                </c:pt>
                <c:pt idx="29">
                  <c:v>329.63372180082422</c:v>
                </c:pt>
              </c:numCache>
            </c:numRef>
          </c:yVal>
          <c:smooth val="0"/>
        </c:ser>
        <c:ser>
          <c:idx val="1"/>
          <c:order val="1"/>
          <c:tx>
            <c:v>Left Hand</c:v>
          </c:tx>
          <c:xVal>
            <c:numRef>
              <c:f>Sheet1!$F$430:$F$456</c:f>
              <c:numCache>
                <c:formatCode>General</c:formatCode>
                <c:ptCount val="27"/>
                <c:pt idx="0">
                  <c:v>2.25</c:v>
                </c:pt>
                <c:pt idx="1">
                  <c:v>4.5</c:v>
                </c:pt>
                <c:pt idx="2">
                  <c:v>8</c:v>
                </c:pt>
                <c:pt idx="3">
                  <c:v>12</c:v>
                </c:pt>
                <c:pt idx="4">
                  <c:v>16.5</c:v>
                </c:pt>
                <c:pt idx="5">
                  <c:v>19</c:v>
                </c:pt>
                <c:pt idx="6">
                  <c:v>23</c:v>
                </c:pt>
                <c:pt idx="7">
                  <c:v>25.75</c:v>
                </c:pt>
                <c:pt idx="8">
                  <c:v>28.75</c:v>
                </c:pt>
                <c:pt idx="9">
                  <c:v>31.25</c:v>
                </c:pt>
                <c:pt idx="10">
                  <c:v>33.75</c:v>
                </c:pt>
                <c:pt idx="11">
                  <c:v>36.75</c:v>
                </c:pt>
                <c:pt idx="12">
                  <c:v>39.5</c:v>
                </c:pt>
                <c:pt idx="13">
                  <c:v>41.75</c:v>
                </c:pt>
                <c:pt idx="14">
                  <c:v>43.75</c:v>
                </c:pt>
                <c:pt idx="15">
                  <c:v>45.75</c:v>
                </c:pt>
                <c:pt idx="16">
                  <c:v>47.75</c:v>
                </c:pt>
                <c:pt idx="17">
                  <c:v>50.75</c:v>
                </c:pt>
                <c:pt idx="18">
                  <c:v>52.75</c:v>
                </c:pt>
                <c:pt idx="19">
                  <c:v>55.5</c:v>
                </c:pt>
                <c:pt idx="20">
                  <c:v>59.5</c:v>
                </c:pt>
                <c:pt idx="21">
                  <c:v>63.75</c:v>
                </c:pt>
                <c:pt idx="22">
                  <c:v>67.75</c:v>
                </c:pt>
                <c:pt idx="23">
                  <c:v>71.75</c:v>
                </c:pt>
                <c:pt idx="24">
                  <c:v>75.5</c:v>
                </c:pt>
                <c:pt idx="25">
                  <c:v>78.75</c:v>
                </c:pt>
                <c:pt idx="26">
                  <c:v>81.5</c:v>
                </c:pt>
              </c:numCache>
            </c:numRef>
          </c:xVal>
          <c:yVal>
            <c:numRef>
              <c:f>Sheet1!$I$430:$I$456</c:f>
              <c:numCache>
                <c:formatCode>General</c:formatCode>
                <c:ptCount val="27"/>
                <c:pt idx="0">
                  <c:v>130.81344004395982</c:v>
                </c:pt>
                <c:pt idx="1">
                  <c:v>97.998932630681239</c:v>
                </c:pt>
                <c:pt idx="2">
                  <c:v>261.62956379894968</c:v>
                </c:pt>
                <c:pt idx="3">
                  <c:v>261.62956379894968</c:v>
                </c:pt>
                <c:pt idx="4">
                  <c:v>164.8151702626221</c:v>
                </c:pt>
                <c:pt idx="5">
                  <c:v>130.81344004395982</c:v>
                </c:pt>
                <c:pt idx="6">
                  <c:v>146.83337288738062</c:v>
                </c:pt>
                <c:pt idx="7">
                  <c:v>97.998932630681239</c:v>
                </c:pt>
                <c:pt idx="8">
                  <c:v>184.99908988354849</c:v>
                </c:pt>
                <c:pt idx="9">
                  <c:v>293.66975814369101</c:v>
                </c:pt>
                <c:pt idx="10">
                  <c:v>392.00377257605692</c:v>
                </c:pt>
                <c:pt idx="11">
                  <c:v>349.23506143398839</c:v>
                </c:pt>
                <c:pt idx="12">
                  <c:v>329.63372180082422</c:v>
                </c:pt>
                <c:pt idx="13">
                  <c:v>466.17487092753117</c:v>
                </c:pt>
                <c:pt idx="14">
                  <c:v>392.00377257605692</c:v>
                </c:pt>
                <c:pt idx="15">
                  <c:v>329.63372180082422</c:v>
                </c:pt>
                <c:pt idx="16">
                  <c:v>261.62956379894968</c:v>
                </c:pt>
                <c:pt idx="17">
                  <c:v>195.99987576438375</c:v>
                </c:pt>
                <c:pt idx="18">
                  <c:v>293.66975814369101</c:v>
                </c:pt>
                <c:pt idx="19">
                  <c:v>164.8151702626221</c:v>
                </c:pt>
                <c:pt idx="20">
                  <c:v>277.18710418069037</c:v>
                </c:pt>
                <c:pt idx="21">
                  <c:v>220.00279814001343</c:v>
                </c:pt>
                <c:pt idx="22">
                  <c:v>293.66975814369101</c:v>
                </c:pt>
                <c:pt idx="23">
                  <c:v>195.99987576438375</c:v>
                </c:pt>
                <c:pt idx="24">
                  <c:v>233.08504452861112</c:v>
                </c:pt>
                <c:pt idx="25">
                  <c:v>174.61573954711858</c:v>
                </c:pt>
                <c:pt idx="26">
                  <c:v>164.8151702626221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01984"/>
        <c:axId val="57602560"/>
      </c:scatterChart>
      <c:valAx>
        <c:axId val="57601984"/>
        <c:scaling>
          <c:orientation val="minMax"/>
          <c:max val="8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602560"/>
        <c:crosses val="autoZero"/>
        <c:crossBetween val="midCat"/>
        <c:majorUnit val="21"/>
        <c:minorUnit val="1"/>
      </c:valAx>
      <c:valAx>
        <c:axId val="57602560"/>
        <c:scaling>
          <c:logBase val="10"/>
          <c:orientation val="minMax"/>
          <c:max val="2000"/>
          <c:min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6019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9467691735383503"/>
          <c:y val="0.29946981627296598"/>
          <c:w val="8.0536053072106206E-2"/>
          <c:h val="0.39970428696412902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1351706036701"/>
          <c:y val="2.7777777777777801E-2"/>
          <c:w val="0.54356452318460202"/>
          <c:h val="0.74409339457567802"/>
        </c:manualLayout>
      </c:layout>
      <c:lineChart>
        <c:grouping val="standard"/>
        <c:varyColors val="0"/>
        <c:ser>
          <c:idx val="0"/>
          <c:order val="0"/>
          <c:tx>
            <c:v>Right Hand Intervals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(Sheet1!$K$7,Sheet1!$K$248,Sheet1!$L$370,Sheet1!$L$433)</c:f>
              <c:numCache>
                <c:formatCode>General</c:formatCode>
                <c:ptCount val="4"/>
                <c:pt idx="0">
                  <c:v>628</c:v>
                </c:pt>
                <c:pt idx="1">
                  <c:v>371</c:v>
                </c:pt>
                <c:pt idx="2">
                  <c:v>182</c:v>
                </c:pt>
                <c:pt idx="3">
                  <c:v>86</c:v>
                </c:pt>
              </c:numCache>
            </c:numRef>
          </c:val>
          <c:smooth val="0"/>
        </c:ser>
        <c:ser>
          <c:idx val="1"/>
          <c:order val="1"/>
          <c:tx>
            <c:v>Left Hand Intervals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(Sheet1!$K$16,Sheet1!$K$257,Sheet1!$L$379,Sheet1!$L$442)</c:f>
              <c:numCache>
                <c:formatCode>General</c:formatCode>
                <c:ptCount val="4"/>
                <c:pt idx="0">
                  <c:v>664</c:v>
                </c:pt>
                <c:pt idx="1">
                  <c:v>407</c:v>
                </c:pt>
                <c:pt idx="2">
                  <c:v>170</c:v>
                </c:pt>
                <c:pt idx="3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v>Right Regression</c:v>
          </c:tx>
          <c:val>
            <c:numRef>
              <c:f>Sheet1!$T$14:$T$17</c:f>
              <c:numCache>
                <c:formatCode>General</c:formatCode>
                <c:ptCount val="4"/>
                <c:pt idx="0">
                  <c:v>589</c:v>
                </c:pt>
                <c:pt idx="1">
                  <c:v>407.5</c:v>
                </c:pt>
                <c:pt idx="2">
                  <c:v>226</c:v>
                </c:pt>
                <c:pt idx="3">
                  <c:v>44.5</c:v>
                </c:pt>
              </c:numCache>
            </c:numRef>
          </c:val>
          <c:smooth val="0"/>
        </c:ser>
        <c:ser>
          <c:idx val="3"/>
          <c:order val="3"/>
          <c:tx>
            <c:v>Left Regression</c:v>
          </c:tx>
          <c:val>
            <c:numRef>
              <c:f>Sheet1!$T$22:$T$25</c:f>
              <c:numCache>
                <c:formatCode>General</c:formatCode>
                <c:ptCount val="4"/>
                <c:pt idx="0">
                  <c:v>629.4</c:v>
                </c:pt>
                <c:pt idx="1">
                  <c:v>429.29999999999995</c:v>
                </c:pt>
                <c:pt idx="2">
                  <c:v>229.2</c:v>
                </c:pt>
                <c:pt idx="3">
                  <c:v>29.100000000000023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92544"/>
        <c:axId val="57604288"/>
      </c:lineChart>
      <c:catAx>
        <c:axId val="91692544"/>
        <c:scaling>
          <c:orientation val="minMax"/>
        </c:scaling>
        <c:delete val="0"/>
        <c:axPos val="b"/>
        <c:majorTickMark val="out"/>
        <c:minorTickMark val="none"/>
        <c:tickLblPos val="nextTo"/>
        <c:crossAx val="57604288"/>
        <c:crosses val="autoZero"/>
        <c:auto val="1"/>
        <c:lblAlgn val="ctr"/>
        <c:lblOffset val="100"/>
        <c:noMultiLvlLbl val="0"/>
      </c:catAx>
      <c:valAx>
        <c:axId val="5760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692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Invention No. 1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1317633460955"/>
          <c:y val="0.112026765885034"/>
          <c:w val="0.59501769847576402"/>
          <c:h val="0.74409339457567802"/>
        </c:manualLayout>
      </c:layout>
      <c:lineChart>
        <c:grouping val="standard"/>
        <c:varyColors val="0"/>
        <c:ser>
          <c:idx val="0"/>
          <c:order val="0"/>
          <c:tx>
            <c:v>Average Intervals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Sheet1!$W$14:$W$17</c:f>
              <c:numCache>
                <c:formatCode>General</c:formatCode>
                <c:ptCount val="4"/>
                <c:pt idx="0">
                  <c:v>1292</c:v>
                </c:pt>
                <c:pt idx="1">
                  <c:v>778</c:v>
                </c:pt>
                <c:pt idx="2">
                  <c:v>352</c:v>
                </c:pt>
                <c:pt idx="3">
                  <c:v>162</c:v>
                </c:pt>
              </c:numCache>
            </c:numRef>
          </c:val>
          <c:smooth val="0"/>
        </c:ser>
        <c:ser>
          <c:idx val="1"/>
          <c:order val="1"/>
          <c:tx>
            <c:v>Averaged Regression</c:v>
          </c:tx>
          <c:val>
            <c:numRef>
              <c:f>Sheet1!$AA$14:$AA$17</c:f>
              <c:numCache>
                <c:formatCode>General</c:formatCode>
                <c:ptCount val="4"/>
                <c:pt idx="0">
                  <c:v>1218.4000000000001</c:v>
                </c:pt>
                <c:pt idx="1">
                  <c:v>836.8</c:v>
                </c:pt>
                <c:pt idx="2">
                  <c:v>455.2</c:v>
                </c:pt>
                <c:pt idx="3">
                  <c:v>73.599999999999994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59872"/>
        <c:axId val="111828992"/>
      </c:lineChart>
      <c:catAx>
        <c:axId val="11175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Notes Left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1828992"/>
        <c:crosses val="autoZero"/>
        <c:auto val="1"/>
        <c:lblAlgn val="ctr"/>
        <c:lblOffset val="100"/>
        <c:noMultiLvlLbl val="0"/>
      </c:catAx>
      <c:valAx>
        <c:axId val="111828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Intervals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17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202393407117996"/>
          <c:y val="0.29158795573715901"/>
          <c:w val="0.22399005194280799"/>
          <c:h val="0.420890167125546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 Petit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236517605111"/>
          <c:y val="9.3064876957494602E-2"/>
          <c:w val="0.59962363195166601"/>
          <c:h val="0.77208987299406395"/>
        </c:manualLayout>
      </c:layout>
      <c:lineChart>
        <c:grouping val="standard"/>
        <c:varyColors val="0"/>
        <c:ser>
          <c:idx val="0"/>
          <c:order val="0"/>
          <c:tx>
            <c:v>Average Intervals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Sheet2!$AW$65:$AW$68</c:f>
              <c:numCache>
                <c:formatCode>General</c:formatCode>
                <c:ptCount val="4"/>
                <c:pt idx="0">
                  <c:v>1226.5</c:v>
                </c:pt>
                <c:pt idx="1">
                  <c:v>497</c:v>
                </c:pt>
                <c:pt idx="2">
                  <c:v>395</c:v>
                </c:pt>
                <c:pt idx="3">
                  <c:v>280</c:v>
                </c:pt>
              </c:numCache>
            </c:numRef>
          </c:val>
          <c:smooth val="0"/>
        </c:ser>
        <c:ser>
          <c:idx val="1"/>
          <c:order val="1"/>
          <c:tx>
            <c:v>Averaged Regression</c:v>
          </c:tx>
          <c:val>
            <c:numRef>
              <c:f>Sheet2!$AW$70:$AW$73</c:f>
              <c:numCache>
                <c:formatCode>General</c:formatCode>
                <c:ptCount val="4"/>
                <c:pt idx="0">
                  <c:v>1040.8499999999999</c:v>
                </c:pt>
                <c:pt idx="1">
                  <c:v>746.69999999999993</c:v>
                </c:pt>
                <c:pt idx="2">
                  <c:v>452.54999999999995</c:v>
                </c:pt>
                <c:pt idx="3">
                  <c:v>158.39999999999998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60384"/>
        <c:axId val="111830720"/>
      </c:lineChart>
      <c:catAx>
        <c:axId val="111760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Notes Left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1830720"/>
        <c:crosses val="autoZero"/>
        <c:auto val="1"/>
        <c:lblAlgn val="ctr"/>
        <c:lblOffset val="100"/>
        <c:noMultiLvlLbl val="0"/>
      </c:catAx>
      <c:valAx>
        <c:axId val="111830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Intervals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17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3971549546872895"/>
          <c:y val="0.31909211013052902"/>
          <c:w val="0.241416580002971"/>
          <c:h val="0.36315806161813702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Bagatelle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199144968842099"/>
          <c:y val="8.8988764044943797E-2"/>
          <c:w val="0.59705255784744504"/>
          <c:h val="0.77780713085021702"/>
        </c:manualLayout>
      </c:layout>
      <c:lineChart>
        <c:grouping val="standard"/>
        <c:varyColors val="0"/>
        <c:ser>
          <c:idx val="0"/>
          <c:order val="0"/>
          <c:tx>
            <c:v>Average Intervals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Sheet3!$BY$15:$BY$18</c:f>
              <c:numCache>
                <c:formatCode>General</c:formatCode>
                <c:ptCount val="4"/>
                <c:pt idx="0">
                  <c:v>941.5</c:v>
                </c:pt>
                <c:pt idx="1">
                  <c:v>509</c:v>
                </c:pt>
                <c:pt idx="2">
                  <c:v>299</c:v>
                </c:pt>
                <c:pt idx="3">
                  <c:v>170.5</c:v>
                </c:pt>
              </c:numCache>
            </c:numRef>
          </c:val>
          <c:smooth val="0"/>
        </c:ser>
        <c:ser>
          <c:idx val="1"/>
          <c:order val="1"/>
          <c:tx>
            <c:v>Averaged Regression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Sheet3!$BY$20:$BY$23</c:f>
              <c:numCache>
                <c:formatCode>General</c:formatCode>
                <c:ptCount val="4"/>
                <c:pt idx="0">
                  <c:v>858.1</c:v>
                </c:pt>
                <c:pt idx="1">
                  <c:v>605.95000000000005</c:v>
                </c:pt>
                <c:pt idx="2">
                  <c:v>353.8</c:v>
                </c:pt>
                <c:pt idx="3">
                  <c:v>101.64999999999998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60896"/>
        <c:axId val="111832448"/>
      </c:lineChart>
      <c:catAx>
        <c:axId val="11176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Notes Left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1832448"/>
        <c:crosses val="autoZero"/>
        <c:auto val="1"/>
        <c:lblAlgn val="ctr"/>
        <c:lblOffset val="100"/>
        <c:noMultiLvlLbl val="0"/>
      </c:catAx>
      <c:valAx>
        <c:axId val="111832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Intervals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17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051079574938497"/>
          <c:y val="0.37239794744757998"/>
          <c:w val="0.212297227173251"/>
          <c:h val="0.34868725117225502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Ballad of Beaconsfield Miners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4268915888825"/>
          <c:y val="9.3693693693693694E-2"/>
          <c:w val="0.56847786410804602"/>
          <c:h val="0.77730669646023998"/>
        </c:manualLayout>
      </c:layout>
      <c:lineChart>
        <c:grouping val="standard"/>
        <c:varyColors val="0"/>
        <c:ser>
          <c:idx val="0"/>
          <c:order val="0"/>
          <c:tx>
            <c:v>Average Intervals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Sheet4!$X$1004:$X$1007</c:f>
              <c:numCache>
                <c:formatCode>General</c:formatCode>
                <c:ptCount val="4"/>
                <c:pt idx="0">
                  <c:v>3732.5</c:v>
                </c:pt>
                <c:pt idx="1">
                  <c:v>1925.5</c:v>
                </c:pt>
                <c:pt idx="2">
                  <c:v>861.5</c:v>
                </c:pt>
                <c:pt idx="3">
                  <c:v>517.5</c:v>
                </c:pt>
              </c:numCache>
            </c:numRef>
          </c:val>
          <c:smooth val="0"/>
        </c:ser>
        <c:ser>
          <c:idx val="1"/>
          <c:order val="1"/>
          <c:tx>
            <c:v>Averaged Regression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Sheet4!$X$1010:$X$1013</c:f>
              <c:numCache>
                <c:formatCode>General</c:formatCode>
                <c:ptCount val="4"/>
                <c:pt idx="0">
                  <c:v>3365.6</c:v>
                </c:pt>
                <c:pt idx="1">
                  <c:v>2294.6999999999998</c:v>
                </c:pt>
                <c:pt idx="2">
                  <c:v>1223.7999999999997</c:v>
                </c:pt>
                <c:pt idx="3">
                  <c:v>152.89999999999964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11520"/>
        <c:axId val="111834176"/>
      </c:lineChart>
      <c:catAx>
        <c:axId val="7921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Notes Left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1834176"/>
        <c:crosses val="autoZero"/>
        <c:auto val="1"/>
        <c:lblAlgn val="ctr"/>
        <c:lblOffset val="100"/>
        <c:noMultiLvlLbl val="0"/>
      </c:catAx>
      <c:valAx>
        <c:axId val="11183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Intervals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921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5793137612765"/>
          <c:y val="0.36516705682060002"/>
          <c:w val="0.234339312718361"/>
          <c:h val="0.336332553025466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150104157113498E-2"/>
          <c:y val="2.1857923497267801E-2"/>
          <c:w val="0.86279245876295396"/>
          <c:h val="0.85044361258121404"/>
        </c:manualLayout>
      </c:layout>
      <c:lineChart>
        <c:grouping val="standard"/>
        <c:varyColors val="0"/>
        <c:ser>
          <c:idx val="0"/>
          <c:order val="0"/>
          <c:tx>
            <c:v>"Right Hand"</c:v>
          </c:tx>
          <c:cat>
            <c:strLit>
              <c:ptCount val="1"/>
              <c:pt idx="0">
                <c:v>_x0004_Time</c:v>
              </c:pt>
            </c:strLit>
          </c:cat>
          <c:val>
            <c:numRef>
              <c:f>Sheet2!$D$4:$D$696</c:f>
              <c:numCache>
                <c:formatCode>General</c:formatCode>
                <c:ptCount val="693"/>
                <c:pt idx="0">
                  <c:v>659.27420622217721</c:v>
                </c:pt>
                <c:pt idx="1">
                  <c:v>784.01558732918636</c:v>
                </c:pt>
                <c:pt idx="3">
                  <c:v>659.27420622217721</c:v>
                </c:pt>
                <c:pt idx="4">
                  <c:v>784.01558732918636</c:v>
                </c:pt>
                <c:pt idx="6">
                  <c:v>659.27420622217721</c:v>
                </c:pt>
                <c:pt idx="8">
                  <c:v>523.26449507501752</c:v>
                </c:pt>
                <c:pt idx="9">
                  <c:v>659.27420622217721</c:v>
                </c:pt>
                <c:pt idx="11">
                  <c:v>523.26449507501752</c:v>
                </c:pt>
                <c:pt idx="12">
                  <c:v>659.27420622217721</c:v>
                </c:pt>
                <c:pt idx="14">
                  <c:v>523.26449507501752</c:v>
                </c:pt>
                <c:pt idx="16">
                  <c:v>440.01010976071973</c:v>
                </c:pt>
                <c:pt idx="17">
                  <c:v>523.26449507501752</c:v>
                </c:pt>
                <c:pt idx="19">
                  <c:v>440.01010976071973</c:v>
                </c:pt>
                <c:pt idx="20">
                  <c:v>523.26449507501752</c:v>
                </c:pt>
                <c:pt idx="22">
                  <c:v>440.01010976071973</c:v>
                </c:pt>
                <c:pt idx="23">
                  <c:v>523.26449507501752</c:v>
                </c:pt>
                <c:pt idx="24">
                  <c:v>440.01010976071973</c:v>
                </c:pt>
                <c:pt idx="32">
                  <c:v>392.00377257605692</c:v>
                </c:pt>
                <c:pt idx="33">
                  <c:v>440.01010976071973</c:v>
                </c:pt>
                <c:pt idx="35">
                  <c:v>392.00377257605692</c:v>
                </c:pt>
                <c:pt idx="36">
                  <c:v>329.63372180082422</c:v>
                </c:pt>
                <c:pt idx="38">
                  <c:v>392.00377257605692</c:v>
                </c:pt>
                <c:pt idx="40">
                  <c:v>329.63372180082422</c:v>
                </c:pt>
                <c:pt idx="41">
                  <c:v>349.23506143398839</c:v>
                </c:pt>
                <c:pt idx="43">
                  <c:v>329.63372180082422</c:v>
                </c:pt>
                <c:pt idx="44">
                  <c:v>261.62956379894968</c:v>
                </c:pt>
                <c:pt idx="48">
                  <c:v>261.62956379894968</c:v>
                </c:pt>
                <c:pt idx="49">
                  <c:v>293.66975814369101</c:v>
                </c:pt>
                <c:pt idx="51">
                  <c:v>261.62956379894968</c:v>
                </c:pt>
                <c:pt idx="52">
                  <c:v>195.99987576438383</c:v>
                </c:pt>
                <c:pt idx="54">
                  <c:v>195.99987576438383</c:v>
                </c:pt>
                <c:pt idx="55">
                  <c:v>246.94521361646048</c:v>
                </c:pt>
                <c:pt idx="56">
                  <c:v>195.99987576438383</c:v>
                </c:pt>
                <c:pt idx="64">
                  <c:v>164.8151702626221</c:v>
                </c:pt>
                <c:pt idx="65">
                  <c:v>195.99987576438383</c:v>
                </c:pt>
                <c:pt idx="67">
                  <c:v>164.8151702626221</c:v>
                </c:pt>
                <c:pt idx="68">
                  <c:v>195.99987576438383</c:v>
                </c:pt>
                <c:pt idx="70">
                  <c:v>164.8151702626221</c:v>
                </c:pt>
                <c:pt idx="72">
                  <c:v>130.81344004395982</c:v>
                </c:pt>
                <c:pt idx="73">
                  <c:v>164.8151702626221</c:v>
                </c:pt>
                <c:pt idx="75">
                  <c:v>130.81344004395982</c:v>
                </c:pt>
                <c:pt idx="76">
                  <c:v>164.8151702626221</c:v>
                </c:pt>
                <c:pt idx="78">
                  <c:v>130.81344004395982</c:v>
                </c:pt>
                <c:pt idx="80">
                  <c:v>110.00027071140791</c:v>
                </c:pt>
                <c:pt idx="81">
                  <c:v>130.81344004395982</c:v>
                </c:pt>
                <c:pt idx="83">
                  <c:v>110.00027071140791</c:v>
                </c:pt>
                <c:pt idx="84">
                  <c:v>130.81344004395982</c:v>
                </c:pt>
                <c:pt idx="86">
                  <c:v>110.00027071140791</c:v>
                </c:pt>
                <c:pt idx="87">
                  <c:v>130.81344004395982</c:v>
                </c:pt>
                <c:pt idx="88">
                  <c:v>110.00027071140791</c:v>
                </c:pt>
                <c:pt idx="100">
                  <c:v>146.83337288738056</c:v>
                </c:pt>
                <c:pt idx="102">
                  <c:v>164.8151702626221</c:v>
                </c:pt>
                <c:pt idx="108">
                  <c:v>293.66975814369101</c:v>
                </c:pt>
                <c:pt idx="110">
                  <c:v>329.63372180082422</c:v>
                </c:pt>
                <c:pt idx="111">
                  <c:v>370.00197512709912</c:v>
                </c:pt>
                <c:pt idx="116">
                  <c:v>659.27420622217721</c:v>
                </c:pt>
                <c:pt idx="118">
                  <c:v>784.01558732918636</c:v>
                </c:pt>
                <c:pt idx="119">
                  <c:v>880.02924657542201</c:v>
                </c:pt>
                <c:pt idx="120">
                  <c:v>1046.5397252143878</c:v>
                </c:pt>
                <c:pt idx="128">
                  <c:v>466.17487092753117</c:v>
                </c:pt>
                <c:pt idx="136">
                  <c:v>466.17487092753117</c:v>
                </c:pt>
                <c:pt idx="144">
                  <c:v>466.17487092753117</c:v>
                </c:pt>
                <c:pt idx="150">
                  <c:v>392.00377257605692</c:v>
                </c:pt>
                <c:pt idx="152">
                  <c:v>466.17487092753117</c:v>
                </c:pt>
                <c:pt idx="166">
                  <c:v>493.89549345236594</c:v>
                </c:pt>
                <c:pt idx="168">
                  <c:v>523.26449507501752</c:v>
                </c:pt>
                <c:pt idx="170">
                  <c:v>466.17487092753117</c:v>
                </c:pt>
                <c:pt idx="174">
                  <c:v>440.01010976071973</c:v>
                </c:pt>
                <c:pt idx="176">
                  <c:v>349.23506143398839</c:v>
                </c:pt>
                <c:pt idx="178">
                  <c:v>440.01010976071973</c:v>
                </c:pt>
                <c:pt idx="182">
                  <c:v>293.66975814369101</c:v>
                </c:pt>
                <c:pt idx="184">
                  <c:v>329.63372180082422</c:v>
                </c:pt>
                <c:pt idx="186">
                  <c:v>392.00377257605692</c:v>
                </c:pt>
                <c:pt idx="188">
                  <c:v>293.66975814369101</c:v>
                </c:pt>
                <c:pt idx="190">
                  <c:v>392.00377257605692</c:v>
                </c:pt>
                <c:pt idx="192">
                  <c:v>261.62956379894968</c:v>
                </c:pt>
                <c:pt idx="194">
                  <c:v>329.63372180082422</c:v>
                </c:pt>
                <c:pt idx="198">
                  <c:v>220.00279814001337</c:v>
                </c:pt>
                <c:pt idx="200">
                  <c:v>233.08504452861115</c:v>
                </c:pt>
                <c:pt idx="202">
                  <c:v>293.66975814369101</c:v>
                </c:pt>
                <c:pt idx="204">
                  <c:v>349.23506143398839</c:v>
                </c:pt>
                <c:pt idx="206">
                  <c:v>392.00377257605692</c:v>
                </c:pt>
                <c:pt idx="208">
                  <c:v>466.17487092753117</c:v>
                </c:pt>
                <c:pt idx="210">
                  <c:v>587.34554108704231</c:v>
                </c:pt>
                <c:pt idx="212">
                  <c:v>698.47728762097279</c:v>
                </c:pt>
                <c:pt idx="214">
                  <c:v>587.34554108704231</c:v>
                </c:pt>
                <c:pt idx="216">
                  <c:v>466.17487092753117</c:v>
                </c:pt>
                <c:pt idx="218">
                  <c:v>370.00197512709912</c:v>
                </c:pt>
                <c:pt idx="222">
                  <c:v>370.00197512709912</c:v>
                </c:pt>
                <c:pt idx="226">
                  <c:v>370.00197512709912</c:v>
                </c:pt>
                <c:pt idx="230">
                  <c:v>493.89549345236594</c:v>
                </c:pt>
                <c:pt idx="232">
                  <c:v>523.26449507501752</c:v>
                </c:pt>
                <c:pt idx="234">
                  <c:v>466.17487092753117</c:v>
                </c:pt>
                <c:pt idx="238">
                  <c:v>440.01010976071973</c:v>
                </c:pt>
                <c:pt idx="240">
                  <c:v>349.23506143398839</c:v>
                </c:pt>
                <c:pt idx="242">
                  <c:v>440.01010976071973</c:v>
                </c:pt>
                <c:pt idx="246">
                  <c:v>293.66975814369101</c:v>
                </c:pt>
                <c:pt idx="248">
                  <c:v>329.63372180082422</c:v>
                </c:pt>
                <c:pt idx="250">
                  <c:v>370.00197512709912</c:v>
                </c:pt>
                <c:pt idx="252">
                  <c:v>293.66975814369101</c:v>
                </c:pt>
                <c:pt idx="254">
                  <c:v>370.00197512709912</c:v>
                </c:pt>
                <c:pt idx="256">
                  <c:v>261.62956379894968</c:v>
                </c:pt>
                <c:pt idx="258">
                  <c:v>329.63372180082422</c:v>
                </c:pt>
                <c:pt idx="262">
                  <c:v>220.00279814001337</c:v>
                </c:pt>
                <c:pt idx="264">
                  <c:v>233.08504452861115</c:v>
                </c:pt>
                <c:pt idx="266">
                  <c:v>293.66975814369101</c:v>
                </c:pt>
                <c:pt idx="268">
                  <c:v>349.23506143398839</c:v>
                </c:pt>
                <c:pt idx="270">
                  <c:v>392.00377257605692</c:v>
                </c:pt>
                <c:pt idx="272">
                  <c:v>466.17487092753117</c:v>
                </c:pt>
                <c:pt idx="274">
                  <c:v>587.34554108704231</c:v>
                </c:pt>
                <c:pt idx="276">
                  <c:v>698.47728762097279</c:v>
                </c:pt>
                <c:pt idx="278">
                  <c:v>587.34554108704231</c:v>
                </c:pt>
                <c:pt idx="280">
                  <c:v>698.47728762097279</c:v>
                </c:pt>
                <c:pt idx="282">
                  <c:v>587.34554108704231</c:v>
                </c:pt>
                <c:pt idx="284">
                  <c:v>698.47728762097279</c:v>
                </c:pt>
                <c:pt idx="286">
                  <c:v>622.27145634224212</c:v>
                </c:pt>
                <c:pt idx="288">
                  <c:v>698.47728762097279</c:v>
                </c:pt>
                <c:pt idx="290">
                  <c:v>622.27145634224212</c:v>
                </c:pt>
                <c:pt idx="292">
                  <c:v>698.47728762097279</c:v>
                </c:pt>
                <c:pt idx="294">
                  <c:v>622.27145634224212</c:v>
                </c:pt>
                <c:pt idx="296">
                  <c:v>740.01154105206626</c:v>
                </c:pt>
                <c:pt idx="298">
                  <c:v>622.27145634224212</c:v>
                </c:pt>
                <c:pt idx="300">
                  <c:v>740.01154105206626</c:v>
                </c:pt>
                <c:pt idx="304">
                  <c:v>659.27420622217721</c:v>
                </c:pt>
                <c:pt idx="305">
                  <c:v>784.01558732918636</c:v>
                </c:pt>
                <c:pt idx="307">
                  <c:v>659.27420622217721</c:v>
                </c:pt>
                <c:pt idx="308">
                  <c:v>784.01558732918636</c:v>
                </c:pt>
                <c:pt idx="310">
                  <c:v>659.27420622217721</c:v>
                </c:pt>
                <c:pt idx="312">
                  <c:v>523.26449507501752</c:v>
                </c:pt>
                <c:pt idx="313">
                  <c:v>659.27420622217721</c:v>
                </c:pt>
                <c:pt idx="315">
                  <c:v>523.26449507501752</c:v>
                </c:pt>
                <c:pt idx="316">
                  <c:v>659.27420622217721</c:v>
                </c:pt>
                <c:pt idx="318">
                  <c:v>523.26449507501752</c:v>
                </c:pt>
                <c:pt idx="320">
                  <c:v>440.01010976071973</c:v>
                </c:pt>
                <c:pt idx="321">
                  <c:v>523.26449507501752</c:v>
                </c:pt>
                <c:pt idx="323">
                  <c:v>440.01010976071973</c:v>
                </c:pt>
                <c:pt idx="324">
                  <c:v>523.26449507501752</c:v>
                </c:pt>
                <c:pt idx="326">
                  <c:v>440.01010976071973</c:v>
                </c:pt>
                <c:pt idx="327">
                  <c:v>523.26449507501752</c:v>
                </c:pt>
                <c:pt idx="328">
                  <c:v>440.01010976071973</c:v>
                </c:pt>
                <c:pt idx="336">
                  <c:v>392.00377257605692</c:v>
                </c:pt>
                <c:pt idx="337">
                  <c:v>440.01010976071973</c:v>
                </c:pt>
                <c:pt idx="339">
                  <c:v>392.00377257605692</c:v>
                </c:pt>
                <c:pt idx="340">
                  <c:v>329.63372180082422</c:v>
                </c:pt>
                <c:pt idx="342">
                  <c:v>392.00377257605692</c:v>
                </c:pt>
                <c:pt idx="344">
                  <c:v>329.63372180082422</c:v>
                </c:pt>
                <c:pt idx="345">
                  <c:v>349.23506143398839</c:v>
                </c:pt>
                <c:pt idx="347">
                  <c:v>329.63372180082422</c:v>
                </c:pt>
                <c:pt idx="348">
                  <c:v>261.62956379894968</c:v>
                </c:pt>
                <c:pt idx="352">
                  <c:v>261.62956379894968</c:v>
                </c:pt>
                <c:pt idx="353">
                  <c:v>293.66975814369101</c:v>
                </c:pt>
                <c:pt idx="355">
                  <c:v>261.62956379894968</c:v>
                </c:pt>
                <c:pt idx="356">
                  <c:v>195.99987576438383</c:v>
                </c:pt>
                <c:pt idx="358">
                  <c:v>195.99987576438383</c:v>
                </c:pt>
                <c:pt idx="359">
                  <c:v>246.94521361646048</c:v>
                </c:pt>
                <c:pt idx="360">
                  <c:v>195.99987576438383</c:v>
                </c:pt>
                <c:pt idx="368">
                  <c:v>164.8151702626221</c:v>
                </c:pt>
                <c:pt idx="369">
                  <c:v>195.99987576438383</c:v>
                </c:pt>
                <c:pt idx="371">
                  <c:v>164.8151702626221</c:v>
                </c:pt>
                <c:pt idx="372">
                  <c:v>195.99987576438383</c:v>
                </c:pt>
                <c:pt idx="374">
                  <c:v>164.8151702626221</c:v>
                </c:pt>
                <c:pt idx="376">
                  <c:v>130.81344004395982</c:v>
                </c:pt>
                <c:pt idx="377">
                  <c:v>164.8151702626221</c:v>
                </c:pt>
                <c:pt idx="379">
                  <c:v>130.81344004395982</c:v>
                </c:pt>
                <c:pt idx="380">
                  <c:v>164.8151702626221</c:v>
                </c:pt>
                <c:pt idx="382">
                  <c:v>130.81344004395982</c:v>
                </c:pt>
                <c:pt idx="384">
                  <c:v>110.00027071140791</c:v>
                </c:pt>
                <c:pt idx="385">
                  <c:v>130.81344004395982</c:v>
                </c:pt>
                <c:pt idx="387">
                  <c:v>110.00027071140791</c:v>
                </c:pt>
                <c:pt idx="388">
                  <c:v>130.81344004395982</c:v>
                </c:pt>
                <c:pt idx="390">
                  <c:v>110.00027071140791</c:v>
                </c:pt>
                <c:pt idx="391">
                  <c:v>130.81344004395982</c:v>
                </c:pt>
                <c:pt idx="392">
                  <c:v>110.00027071140791</c:v>
                </c:pt>
                <c:pt idx="404">
                  <c:v>146.83337288738056</c:v>
                </c:pt>
                <c:pt idx="406">
                  <c:v>164.8151702626221</c:v>
                </c:pt>
                <c:pt idx="412">
                  <c:v>293.66975814369101</c:v>
                </c:pt>
                <c:pt idx="414">
                  <c:v>329.63372180082422</c:v>
                </c:pt>
                <c:pt idx="415">
                  <c:v>370.00197512709912</c:v>
                </c:pt>
                <c:pt idx="420">
                  <c:v>659.27420622217721</c:v>
                </c:pt>
                <c:pt idx="422">
                  <c:v>784.01558732918636</c:v>
                </c:pt>
                <c:pt idx="423">
                  <c:v>880.02924657542201</c:v>
                </c:pt>
                <c:pt idx="424">
                  <c:v>1046.5397252143878</c:v>
                </c:pt>
                <c:pt idx="430">
                  <c:v>493.89549345236594</c:v>
                </c:pt>
                <c:pt idx="432">
                  <c:v>523.26449507501752</c:v>
                </c:pt>
                <c:pt idx="434">
                  <c:v>466.17487092753117</c:v>
                </c:pt>
                <c:pt idx="438">
                  <c:v>440.01010976071973</c:v>
                </c:pt>
                <c:pt idx="440">
                  <c:v>349.23506143398839</c:v>
                </c:pt>
                <c:pt idx="442">
                  <c:v>440.01010976071973</c:v>
                </c:pt>
                <c:pt idx="446">
                  <c:v>293.66975814369101</c:v>
                </c:pt>
                <c:pt idx="448">
                  <c:v>329.63372180082422</c:v>
                </c:pt>
                <c:pt idx="450">
                  <c:v>392.00377257605692</c:v>
                </c:pt>
                <c:pt idx="452">
                  <c:v>293.66975814369101</c:v>
                </c:pt>
                <c:pt idx="454">
                  <c:v>392.00377257605692</c:v>
                </c:pt>
                <c:pt idx="456">
                  <c:v>261.62956379894968</c:v>
                </c:pt>
                <c:pt idx="458">
                  <c:v>329.63372180082422</c:v>
                </c:pt>
                <c:pt idx="462">
                  <c:v>220.00279814001337</c:v>
                </c:pt>
                <c:pt idx="464">
                  <c:v>233.08504452861115</c:v>
                </c:pt>
                <c:pt idx="466">
                  <c:v>293.66975814369101</c:v>
                </c:pt>
                <c:pt idx="468">
                  <c:v>349.23506143398839</c:v>
                </c:pt>
                <c:pt idx="470">
                  <c:v>392.00377257605692</c:v>
                </c:pt>
                <c:pt idx="472">
                  <c:v>466.17487092753117</c:v>
                </c:pt>
                <c:pt idx="474">
                  <c:v>587.34554108704231</c:v>
                </c:pt>
                <c:pt idx="476">
                  <c:v>698.47728762097279</c:v>
                </c:pt>
                <c:pt idx="478">
                  <c:v>587.34554108704231</c:v>
                </c:pt>
                <c:pt idx="480">
                  <c:v>466.17487092753117</c:v>
                </c:pt>
                <c:pt idx="482">
                  <c:v>370.00197512709912</c:v>
                </c:pt>
                <c:pt idx="486">
                  <c:v>370.00197512709912</c:v>
                </c:pt>
                <c:pt idx="490">
                  <c:v>370.00197512709912</c:v>
                </c:pt>
                <c:pt idx="494">
                  <c:v>493.89549345236594</c:v>
                </c:pt>
                <c:pt idx="496">
                  <c:v>523.26449507501752</c:v>
                </c:pt>
                <c:pt idx="498">
                  <c:v>466.17487092753117</c:v>
                </c:pt>
                <c:pt idx="502">
                  <c:v>440.01010976071973</c:v>
                </c:pt>
                <c:pt idx="504">
                  <c:v>349.23506143398839</c:v>
                </c:pt>
                <c:pt idx="506">
                  <c:v>440.01010976071973</c:v>
                </c:pt>
                <c:pt idx="510">
                  <c:v>293.66975814369101</c:v>
                </c:pt>
                <c:pt idx="512">
                  <c:v>329.63372180082422</c:v>
                </c:pt>
                <c:pt idx="514">
                  <c:v>370.00197512709912</c:v>
                </c:pt>
                <c:pt idx="516">
                  <c:v>293.66975814369101</c:v>
                </c:pt>
                <c:pt idx="518">
                  <c:v>370.00197512709912</c:v>
                </c:pt>
                <c:pt idx="520">
                  <c:v>261.62956379894968</c:v>
                </c:pt>
                <c:pt idx="522">
                  <c:v>329.63372180082422</c:v>
                </c:pt>
                <c:pt idx="526">
                  <c:v>220.00279814001337</c:v>
                </c:pt>
                <c:pt idx="528">
                  <c:v>233.08504452861115</c:v>
                </c:pt>
                <c:pt idx="530">
                  <c:v>293.66975814369101</c:v>
                </c:pt>
                <c:pt idx="532">
                  <c:v>349.23506143398839</c:v>
                </c:pt>
                <c:pt idx="534">
                  <c:v>392.00377257605692</c:v>
                </c:pt>
                <c:pt idx="536">
                  <c:v>466.17487092753117</c:v>
                </c:pt>
                <c:pt idx="538">
                  <c:v>587.34554108704231</c:v>
                </c:pt>
                <c:pt idx="540">
                  <c:v>698.47728762097279</c:v>
                </c:pt>
                <c:pt idx="542">
                  <c:v>587.34554108704231</c:v>
                </c:pt>
                <c:pt idx="544">
                  <c:v>698.47728762097279</c:v>
                </c:pt>
                <c:pt idx="546">
                  <c:v>587.34554108704231</c:v>
                </c:pt>
                <c:pt idx="548">
                  <c:v>698.47728762097279</c:v>
                </c:pt>
                <c:pt idx="550">
                  <c:v>622.27145634224212</c:v>
                </c:pt>
                <c:pt idx="552">
                  <c:v>698.47728762097279</c:v>
                </c:pt>
                <c:pt idx="554">
                  <c:v>622.27145634224212</c:v>
                </c:pt>
                <c:pt idx="556">
                  <c:v>698.47728762097279</c:v>
                </c:pt>
                <c:pt idx="558">
                  <c:v>622.27145634224212</c:v>
                </c:pt>
                <c:pt idx="560">
                  <c:v>740.01154105206626</c:v>
                </c:pt>
                <c:pt idx="562">
                  <c:v>622.27145634224212</c:v>
                </c:pt>
                <c:pt idx="564">
                  <c:v>740.01154105206626</c:v>
                </c:pt>
                <c:pt idx="568">
                  <c:v>659.27420622217721</c:v>
                </c:pt>
                <c:pt idx="569">
                  <c:v>784.01558732918636</c:v>
                </c:pt>
                <c:pt idx="571">
                  <c:v>659.27420622217721</c:v>
                </c:pt>
                <c:pt idx="572">
                  <c:v>784.01558732918636</c:v>
                </c:pt>
                <c:pt idx="574">
                  <c:v>659.27420622217721</c:v>
                </c:pt>
                <c:pt idx="576">
                  <c:v>523.26449507501752</c:v>
                </c:pt>
                <c:pt idx="577">
                  <c:v>659.27420622217721</c:v>
                </c:pt>
                <c:pt idx="579">
                  <c:v>523.26449507501752</c:v>
                </c:pt>
                <c:pt idx="580">
                  <c:v>659.27420622217721</c:v>
                </c:pt>
                <c:pt idx="582">
                  <c:v>523.26449507501752</c:v>
                </c:pt>
                <c:pt idx="584">
                  <c:v>440.01010976071973</c:v>
                </c:pt>
                <c:pt idx="585">
                  <c:v>523.26449507501752</c:v>
                </c:pt>
                <c:pt idx="587">
                  <c:v>440.01010976071973</c:v>
                </c:pt>
                <c:pt idx="588">
                  <c:v>523.26449507501752</c:v>
                </c:pt>
                <c:pt idx="590">
                  <c:v>440.01010976071973</c:v>
                </c:pt>
                <c:pt idx="591">
                  <c:v>523.26449507501752</c:v>
                </c:pt>
                <c:pt idx="592">
                  <c:v>440.01010976071973</c:v>
                </c:pt>
                <c:pt idx="600">
                  <c:v>392.00377257605692</c:v>
                </c:pt>
                <c:pt idx="601">
                  <c:v>440.01010976071973</c:v>
                </c:pt>
                <c:pt idx="603">
                  <c:v>392.00377257605692</c:v>
                </c:pt>
                <c:pt idx="604">
                  <c:v>329.63372180082422</c:v>
                </c:pt>
                <c:pt idx="606">
                  <c:v>392.00377257605692</c:v>
                </c:pt>
                <c:pt idx="608">
                  <c:v>329.63372180082422</c:v>
                </c:pt>
                <c:pt idx="609">
                  <c:v>349.23506143398839</c:v>
                </c:pt>
                <c:pt idx="611">
                  <c:v>329.63372180082422</c:v>
                </c:pt>
                <c:pt idx="612">
                  <c:v>261.62956379894968</c:v>
                </c:pt>
                <c:pt idx="616">
                  <c:v>261.62956379894968</c:v>
                </c:pt>
                <c:pt idx="617">
                  <c:v>293.66975814369101</c:v>
                </c:pt>
                <c:pt idx="619">
                  <c:v>261.62956379894968</c:v>
                </c:pt>
                <c:pt idx="620">
                  <c:v>195.99987576438383</c:v>
                </c:pt>
                <c:pt idx="622">
                  <c:v>195.99987576438383</c:v>
                </c:pt>
                <c:pt idx="623">
                  <c:v>246.94521361646048</c:v>
                </c:pt>
                <c:pt idx="624">
                  <c:v>195.99987576438383</c:v>
                </c:pt>
                <c:pt idx="632">
                  <c:v>164.8151702626221</c:v>
                </c:pt>
                <c:pt idx="633">
                  <c:v>195.99987576438383</c:v>
                </c:pt>
                <c:pt idx="635">
                  <c:v>164.8151702626221</c:v>
                </c:pt>
                <c:pt idx="636">
                  <c:v>195.99987576438383</c:v>
                </c:pt>
                <c:pt idx="638">
                  <c:v>164.8151702626221</c:v>
                </c:pt>
                <c:pt idx="640">
                  <c:v>130.81344004395982</c:v>
                </c:pt>
                <c:pt idx="641">
                  <c:v>164.8151702626221</c:v>
                </c:pt>
                <c:pt idx="643">
                  <c:v>130.81344004395982</c:v>
                </c:pt>
                <c:pt idx="644">
                  <c:v>164.8151702626221</c:v>
                </c:pt>
                <c:pt idx="646">
                  <c:v>130.81344004395982</c:v>
                </c:pt>
                <c:pt idx="648">
                  <c:v>110.00027071140791</c:v>
                </c:pt>
                <c:pt idx="649">
                  <c:v>130.81344004395982</c:v>
                </c:pt>
                <c:pt idx="651">
                  <c:v>110.00027071140791</c:v>
                </c:pt>
                <c:pt idx="652">
                  <c:v>130.81344004395982</c:v>
                </c:pt>
                <c:pt idx="654">
                  <c:v>110.00027071140791</c:v>
                </c:pt>
                <c:pt idx="655">
                  <c:v>130.81344004395982</c:v>
                </c:pt>
                <c:pt idx="656">
                  <c:v>110.00027071140791</c:v>
                </c:pt>
                <c:pt idx="668">
                  <c:v>146.83337288738056</c:v>
                </c:pt>
                <c:pt idx="670">
                  <c:v>164.8151702626221</c:v>
                </c:pt>
                <c:pt idx="676">
                  <c:v>293.66975814369101</c:v>
                </c:pt>
                <c:pt idx="678">
                  <c:v>329.63372180082422</c:v>
                </c:pt>
                <c:pt idx="679">
                  <c:v>370.00197512709912</c:v>
                </c:pt>
                <c:pt idx="684">
                  <c:v>659.27420622217721</c:v>
                </c:pt>
                <c:pt idx="686">
                  <c:v>784.01558732918636</c:v>
                </c:pt>
                <c:pt idx="687">
                  <c:v>880.02924657542201</c:v>
                </c:pt>
                <c:pt idx="688">
                  <c:v>1046.5397252143878</c:v>
                </c:pt>
                <c:pt idx="692">
                  <c:v>523.26449507501752</c:v>
                </c:pt>
              </c:numCache>
            </c:numRef>
          </c:val>
          <c:smooth val="0"/>
        </c:ser>
        <c:ser>
          <c:idx val="1"/>
          <c:order val="1"/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val>
            <c:numRef>
              <c:f>Sheet2!$H$4:$H$696</c:f>
              <c:numCache>
                <c:formatCode>General</c:formatCode>
                <c:ptCount val="693"/>
                <c:pt idx="120">
                  <c:v>784.01558732918636</c:v>
                </c:pt>
                <c:pt idx="152">
                  <c:v>392.00377257605692</c:v>
                </c:pt>
                <c:pt idx="170">
                  <c:v>329.63372180082422</c:v>
                </c:pt>
                <c:pt idx="178">
                  <c:v>261.62956379894968</c:v>
                </c:pt>
                <c:pt idx="186">
                  <c:v>246.94521361646048</c:v>
                </c:pt>
                <c:pt idx="190">
                  <c:v>349.23506143398839</c:v>
                </c:pt>
                <c:pt idx="194">
                  <c:v>392.00377257605692</c:v>
                </c:pt>
                <c:pt idx="218">
                  <c:v>277.18710418069043</c:v>
                </c:pt>
                <c:pt idx="222">
                  <c:v>277.18710418069043</c:v>
                </c:pt>
                <c:pt idx="226">
                  <c:v>277.18710418069043</c:v>
                </c:pt>
                <c:pt idx="232">
                  <c:v>293.66975814369101</c:v>
                </c:pt>
                <c:pt idx="234">
                  <c:v>329.63372180082422</c:v>
                </c:pt>
                <c:pt idx="242">
                  <c:v>261.62956379894968</c:v>
                </c:pt>
                <c:pt idx="248">
                  <c:v>349.23506143398839</c:v>
                </c:pt>
                <c:pt idx="250">
                  <c:v>246.94521361646048</c:v>
                </c:pt>
                <c:pt idx="254">
                  <c:v>349.23506143398839</c:v>
                </c:pt>
                <c:pt idx="258">
                  <c:v>392.00377257605692</c:v>
                </c:pt>
                <c:pt idx="424">
                  <c:v>784.01558732918636</c:v>
                </c:pt>
                <c:pt idx="434">
                  <c:v>329.63372180082422</c:v>
                </c:pt>
                <c:pt idx="442">
                  <c:v>261.62956379894968</c:v>
                </c:pt>
                <c:pt idx="450">
                  <c:v>246.94521361646048</c:v>
                </c:pt>
                <c:pt idx="454">
                  <c:v>349.23506143398839</c:v>
                </c:pt>
                <c:pt idx="458">
                  <c:v>392.00377257605692</c:v>
                </c:pt>
                <c:pt idx="482">
                  <c:v>277.18710418069043</c:v>
                </c:pt>
                <c:pt idx="486">
                  <c:v>277.18710418069043</c:v>
                </c:pt>
                <c:pt idx="490">
                  <c:v>277.18710418069043</c:v>
                </c:pt>
                <c:pt idx="496">
                  <c:v>293.66975814369101</c:v>
                </c:pt>
                <c:pt idx="498">
                  <c:v>329.63372180082422</c:v>
                </c:pt>
                <c:pt idx="506">
                  <c:v>261.62956379894968</c:v>
                </c:pt>
                <c:pt idx="512">
                  <c:v>349.23506143398839</c:v>
                </c:pt>
                <c:pt idx="514">
                  <c:v>246.94521361646048</c:v>
                </c:pt>
                <c:pt idx="518">
                  <c:v>349.23506143398839</c:v>
                </c:pt>
                <c:pt idx="522">
                  <c:v>392.00377257605692</c:v>
                </c:pt>
                <c:pt idx="688">
                  <c:v>784.01558732918636</c:v>
                </c:pt>
                <c:pt idx="692">
                  <c:v>392.00377257605692</c:v>
                </c:pt>
              </c:numCache>
            </c:numRef>
          </c:val>
          <c:smooth val="0"/>
        </c:ser>
        <c:ser>
          <c:idx val="2"/>
          <c:order val="2"/>
          <c:tx>
            <c:v>"Left Hand"</c:v>
          </c:tx>
          <c:val>
            <c:numRef>
              <c:f>Sheet2!$L$4:$L$696</c:f>
              <c:numCache>
                <c:formatCode>General</c:formatCode>
                <c:ptCount val="693"/>
                <c:pt idx="16">
                  <c:v>293.66975814369101</c:v>
                </c:pt>
                <c:pt idx="18">
                  <c:v>311.13253664194741</c:v>
                </c:pt>
                <c:pt idx="20">
                  <c:v>329.63372180082422</c:v>
                </c:pt>
                <c:pt idx="22">
                  <c:v>311.13253664194741</c:v>
                </c:pt>
                <c:pt idx="24">
                  <c:v>293.66975814369101</c:v>
                </c:pt>
                <c:pt idx="26">
                  <c:v>311.13253664194741</c:v>
                </c:pt>
                <c:pt idx="28">
                  <c:v>293.66975814369101</c:v>
                </c:pt>
                <c:pt idx="30">
                  <c:v>277.18710418069043</c:v>
                </c:pt>
                <c:pt idx="32">
                  <c:v>261.62956379894968</c:v>
                </c:pt>
                <c:pt idx="34">
                  <c:v>246.94521361646048</c:v>
                </c:pt>
                <c:pt idx="36">
                  <c:v>233.08504452861115</c:v>
                </c:pt>
                <c:pt idx="38">
                  <c:v>220.00279814001337</c:v>
                </c:pt>
                <c:pt idx="40">
                  <c:v>207.65481237683719</c:v>
                </c:pt>
                <c:pt idx="42">
                  <c:v>195.99987576438383</c:v>
                </c:pt>
                <c:pt idx="44">
                  <c:v>184.99908988354849</c:v>
                </c:pt>
                <c:pt idx="46">
                  <c:v>174.61573954711864</c:v>
                </c:pt>
                <c:pt idx="48">
                  <c:v>164.8151702626221</c:v>
                </c:pt>
                <c:pt idx="50">
                  <c:v>155.56467257275574</c:v>
                </c:pt>
                <c:pt idx="52">
                  <c:v>146.83337288738056</c:v>
                </c:pt>
                <c:pt idx="54">
                  <c:v>138.5921304427338</c:v>
                </c:pt>
                <c:pt idx="56">
                  <c:v>146.83337288738056</c:v>
                </c:pt>
                <c:pt idx="58">
                  <c:v>97.998932630681253</c:v>
                </c:pt>
                <c:pt idx="60">
                  <c:v>138.5921304427338</c:v>
                </c:pt>
                <c:pt idx="62">
                  <c:v>97.998932630681253</c:v>
                </c:pt>
                <c:pt idx="64">
                  <c:v>130.81344004395982</c:v>
                </c:pt>
                <c:pt idx="66">
                  <c:v>261.62956379894968</c:v>
                </c:pt>
                <c:pt idx="68">
                  <c:v>123.4713402663609</c:v>
                </c:pt>
                <c:pt idx="70">
                  <c:v>246.94521361646048</c:v>
                </c:pt>
                <c:pt idx="72">
                  <c:v>110.00027071140791</c:v>
                </c:pt>
                <c:pt idx="74">
                  <c:v>220.00279814001337</c:v>
                </c:pt>
                <c:pt idx="76">
                  <c:v>97.998932630681253</c:v>
                </c:pt>
                <c:pt idx="78">
                  <c:v>195.99987576438383</c:v>
                </c:pt>
                <c:pt idx="80">
                  <c:v>87.306974197808145</c:v>
                </c:pt>
                <c:pt idx="82">
                  <c:v>174.61573954711864</c:v>
                </c:pt>
                <c:pt idx="84">
                  <c:v>82.406739821087044</c:v>
                </c:pt>
                <c:pt idx="86">
                  <c:v>164.8151702626221</c:v>
                </c:pt>
                <c:pt idx="88">
                  <c:v>73.415933359182759</c:v>
                </c:pt>
                <c:pt idx="90">
                  <c:v>146.83337288738056</c:v>
                </c:pt>
                <c:pt idx="92">
                  <c:v>87.306974197808145</c:v>
                </c:pt>
                <c:pt idx="94">
                  <c:v>174.61573954711864</c:v>
                </c:pt>
                <c:pt idx="96">
                  <c:v>97.998932630681253</c:v>
                </c:pt>
                <c:pt idx="97">
                  <c:v>110.00027071140791</c:v>
                </c:pt>
                <c:pt idx="99">
                  <c:v>130.81344004395982</c:v>
                </c:pt>
                <c:pt idx="104">
                  <c:v>195.99987576438383</c:v>
                </c:pt>
                <c:pt idx="105">
                  <c:v>220.00279814001337</c:v>
                </c:pt>
                <c:pt idx="107">
                  <c:v>261.62956379894968</c:v>
                </c:pt>
                <c:pt idx="112">
                  <c:v>440.01010976071973</c:v>
                </c:pt>
                <c:pt idx="113">
                  <c:v>523.26449507501752</c:v>
                </c:pt>
                <c:pt idx="115">
                  <c:v>587.34554108704231</c:v>
                </c:pt>
                <c:pt idx="118">
                  <c:v>587.34554108704231</c:v>
                </c:pt>
                <c:pt idx="120">
                  <c:v>523.26449507501752</c:v>
                </c:pt>
                <c:pt idx="126">
                  <c:v>261.62956379894968</c:v>
                </c:pt>
                <c:pt idx="142">
                  <c:v>293.66975814369101</c:v>
                </c:pt>
                <c:pt idx="166">
                  <c:v>246.94521361646048</c:v>
                </c:pt>
                <c:pt idx="168">
                  <c:v>261.62956379894968</c:v>
                </c:pt>
                <c:pt idx="174">
                  <c:v>220.00279814001337</c:v>
                </c:pt>
                <c:pt idx="176">
                  <c:v>174.61573954711864</c:v>
                </c:pt>
                <c:pt idx="182">
                  <c:v>146.83337288738056</c:v>
                </c:pt>
                <c:pt idx="184">
                  <c:v>164.8151702626221</c:v>
                </c:pt>
                <c:pt idx="188">
                  <c:v>146.83337288738056</c:v>
                </c:pt>
                <c:pt idx="190">
                  <c:v>246.94521361646048</c:v>
                </c:pt>
                <c:pt idx="192">
                  <c:v>130.81344004395982</c:v>
                </c:pt>
                <c:pt idx="198">
                  <c:v>110.00027071140791</c:v>
                </c:pt>
                <c:pt idx="200">
                  <c:v>116.54132680899107</c:v>
                </c:pt>
                <c:pt idx="202">
                  <c:v>146.83337288738056</c:v>
                </c:pt>
                <c:pt idx="204">
                  <c:v>174.61573954711864</c:v>
                </c:pt>
                <c:pt idx="206">
                  <c:v>195.99987576438383</c:v>
                </c:pt>
                <c:pt idx="208">
                  <c:v>233.08504452861115</c:v>
                </c:pt>
                <c:pt idx="210">
                  <c:v>293.66975814369101</c:v>
                </c:pt>
                <c:pt idx="212">
                  <c:v>349.23506143398839</c:v>
                </c:pt>
                <c:pt idx="214">
                  <c:v>293.66975814369101</c:v>
                </c:pt>
                <c:pt idx="216">
                  <c:v>233.08504452861115</c:v>
                </c:pt>
                <c:pt idx="230">
                  <c:v>246.94521361646048</c:v>
                </c:pt>
                <c:pt idx="232">
                  <c:v>261.62956379894968</c:v>
                </c:pt>
                <c:pt idx="238">
                  <c:v>220.00279814001337</c:v>
                </c:pt>
                <c:pt idx="240">
                  <c:v>174.61573954711864</c:v>
                </c:pt>
                <c:pt idx="246">
                  <c:v>146.83337288738056</c:v>
                </c:pt>
                <c:pt idx="248">
                  <c:v>164.8151702626221</c:v>
                </c:pt>
                <c:pt idx="252">
                  <c:v>146.83337288738056</c:v>
                </c:pt>
                <c:pt idx="254">
                  <c:v>246.94521361646048</c:v>
                </c:pt>
                <c:pt idx="256">
                  <c:v>130.81344004395982</c:v>
                </c:pt>
                <c:pt idx="262">
                  <c:v>110.00027071140791</c:v>
                </c:pt>
                <c:pt idx="264">
                  <c:v>116.54132680899107</c:v>
                </c:pt>
                <c:pt idx="266">
                  <c:v>146.83337288738056</c:v>
                </c:pt>
                <c:pt idx="268">
                  <c:v>174.61573954711864</c:v>
                </c:pt>
                <c:pt idx="270">
                  <c:v>195.99987576438383</c:v>
                </c:pt>
                <c:pt idx="272">
                  <c:v>233.08504452861115</c:v>
                </c:pt>
                <c:pt idx="274">
                  <c:v>293.66975814369101</c:v>
                </c:pt>
                <c:pt idx="276">
                  <c:v>349.23506143398839</c:v>
                </c:pt>
                <c:pt idx="278">
                  <c:v>293.66975814369101</c:v>
                </c:pt>
                <c:pt idx="280">
                  <c:v>349.23506143398839</c:v>
                </c:pt>
                <c:pt idx="282">
                  <c:v>293.66975814369101</c:v>
                </c:pt>
                <c:pt idx="284">
                  <c:v>349.23506143398839</c:v>
                </c:pt>
                <c:pt idx="286">
                  <c:v>311.13253664194741</c:v>
                </c:pt>
                <c:pt idx="288">
                  <c:v>349.23506143398839</c:v>
                </c:pt>
                <c:pt idx="290">
                  <c:v>311.13253664194741</c:v>
                </c:pt>
                <c:pt idx="292">
                  <c:v>349.23506143398839</c:v>
                </c:pt>
                <c:pt idx="294">
                  <c:v>311.13253664194741</c:v>
                </c:pt>
                <c:pt idx="296">
                  <c:v>370.00197512709912</c:v>
                </c:pt>
                <c:pt idx="298">
                  <c:v>311.13253664194741</c:v>
                </c:pt>
                <c:pt idx="300">
                  <c:v>370.00197512709912</c:v>
                </c:pt>
                <c:pt idx="302">
                  <c:v>493.89549345236594</c:v>
                </c:pt>
                <c:pt idx="304">
                  <c:v>523.26449507501752</c:v>
                </c:pt>
                <c:pt idx="308">
                  <c:v>493.89549345236594</c:v>
                </c:pt>
                <c:pt idx="312">
                  <c:v>440.01010976071973</c:v>
                </c:pt>
                <c:pt idx="316">
                  <c:v>392.00377257605692</c:v>
                </c:pt>
                <c:pt idx="320">
                  <c:v>293.66975814369101</c:v>
                </c:pt>
                <c:pt idx="322">
                  <c:v>311.13253664194741</c:v>
                </c:pt>
                <c:pt idx="324">
                  <c:v>329.63372180082422</c:v>
                </c:pt>
                <c:pt idx="326">
                  <c:v>311.13253664194741</c:v>
                </c:pt>
                <c:pt idx="328">
                  <c:v>293.66975814369101</c:v>
                </c:pt>
                <c:pt idx="330">
                  <c:v>311.13253664194741</c:v>
                </c:pt>
                <c:pt idx="332">
                  <c:v>293.66975814369101</c:v>
                </c:pt>
                <c:pt idx="334">
                  <c:v>277.18710418069043</c:v>
                </c:pt>
                <c:pt idx="336">
                  <c:v>261.62956379894968</c:v>
                </c:pt>
                <c:pt idx="338">
                  <c:v>246.94521361646048</c:v>
                </c:pt>
                <c:pt idx="340">
                  <c:v>233.08504452861115</c:v>
                </c:pt>
                <c:pt idx="342">
                  <c:v>220.00279814001337</c:v>
                </c:pt>
                <c:pt idx="344">
                  <c:v>207.65481237683719</c:v>
                </c:pt>
                <c:pt idx="346">
                  <c:v>195.99987576438383</c:v>
                </c:pt>
                <c:pt idx="348">
                  <c:v>184.99908988354849</c:v>
                </c:pt>
                <c:pt idx="350">
                  <c:v>174.61573954711864</c:v>
                </c:pt>
                <c:pt idx="352">
                  <c:v>164.8151702626221</c:v>
                </c:pt>
                <c:pt idx="354">
                  <c:v>155.56467257275574</c:v>
                </c:pt>
                <c:pt idx="356">
                  <c:v>146.83337288738056</c:v>
                </c:pt>
                <c:pt idx="358">
                  <c:v>138.5921304427338</c:v>
                </c:pt>
                <c:pt idx="360">
                  <c:v>146.83337288738056</c:v>
                </c:pt>
                <c:pt idx="362">
                  <c:v>97.998932630681253</c:v>
                </c:pt>
                <c:pt idx="364">
                  <c:v>138.5921304427338</c:v>
                </c:pt>
                <c:pt idx="366">
                  <c:v>97.998932630681253</c:v>
                </c:pt>
                <c:pt idx="368">
                  <c:v>130.81344004395982</c:v>
                </c:pt>
                <c:pt idx="370">
                  <c:v>261.62956379894968</c:v>
                </c:pt>
                <c:pt idx="372">
                  <c:v>123.4713402663609</c:v>
                </c:pt>
                <c:pt idx="374">
                  <c:v>246.94521361646048</c:v>
                </c:pt>
                <c:pt idx="376">
                  <c:v>110.00027071140791</c:v>
                </c:pt>
                <c:pt idx="378">
                  <c:v>220.00279814001337</c:v>
                </c:pt>
                <c:pt idx="380">
                  <c:v>97.998932630681253</c:v>
                </c:pt>
                <c:pt idx="382">
                  <c:v>195.99987576438383</c:v>
                </c:pt>
                <c:pt idx="384">
                  <c:v>87.306974197808145</c:v>
                </c:pt>
                <c:pt idx="386">
                  <c:v>174.61573954711864</c:v>
                </c:pt>
                <c:pt idx="388">
                  <c:v>82.406739821087044</c:v>
                </c:pt>
                <c:pt idx="390">
                  <c:v>164.8151702626221</c:v>
                </c:pt>
                <c:pt idx="392">
                  <c:v>73.415933359182759</c:v>
                </c:pt>
                <c:pt idx="394">
                  <c:v>146.83337288738056</c:v>
                </c:pt>
                <c:pt idx="396">
                  <c:v>87.306974197808145</c:v>
                </c:pt>
                <c:pt idx="398">
                  <c:v>174.61573954711864</c:v>
                </c:pt>
                <c:pt idx="400">
                  <c:v>97.998932630681253</c:v>
                </c:pt>
                <c:pt idx="401">
                  <c:v>110.00027071140791</c:v>
                </c:pt>
                <c:pt idx="403">
                  <c:v>130.81344004395982</c:v>
                </c:pt>
                <c:pt idx="408">
                  <c:v>195.99987576438383</c:v>
                </c:pt>
                <c:pt idx="409">
                  <c:v>220.00279814001337</c:v>
                </c:pt>
                <c:pt idx="411">
                  <c:v>261.62956379894968</c:v>
                </c:pt>
                <c:pt idx="416">
                  <c:v>440.01010976071973</c:v>
                </c:pt>
                <c:pt idx="417">
                  <c:v>523.26449507501752</c:v>
                </c:pt>
                <c:pt idx="419">
                  <c:v>587.34554108704231</c:v>
                </c:pt>
                <c:pt idx="422">
                  <c:v>587.34554108704231</c:v>
                </c:pt>
                <c:pt idx="424">
                  <c:v>523.26449507501752</c:v>
                </c:pt>
                <c:pt idx="430">
                  <c:v>246.94521361646048</c:v>
                </c:pt>
                <c:pt idx="432">
                  <c:v>261.62956379894968</c:v>
                </c:pt>
                <c:pt idx="438">
                  <c:v>220.00279814001337</c:v>
                </c:pt>
                <c:pt idx="440">
                  <c:v>174.61573954711864</c:v>
                </c:pt>
                <c:pt idx="446">
                  <c:v>146.83337288738056</c:v>
                </c:pt>
                <c:pt idx="448">
                  <c:v>164.8151702626221</c:v>
                </c:pt>
                <c:pt idx="452">
                  <c:v>146.83337288738056</c:v>
                </c:pt>
                <c:pt idx="454">
                  <c:v>246.94521361646048</c:v>
                </c:pt>
                <c:pt idx="456">
                  <c:v>130.81344004395982</c:v>
                </c:pt>
                <c:pt idx="462">
                  <c:v>110.00027071140791</c:v>
                </c:pt>
                <c:pt idx="464">
                  <c:v>116.54132680899107</c:v>
                </c:pt>
                <c:pt idx="466">
                  <c:v>146.83337288738056</c:v>
                </c:pt>
                <c:pt idx="468">
                  <c:v>174.61573954711864</c:v>
                </c:pt>
                <c:pt idx="470">
                  <c:v>195.99987576438383</c:v>
                </c:pt>
                <c:pt idx="472">
                  <c:v>233.08504452861115</c:v>
                </c:pt>
                <c:pt idx="474">
                  <c:v>293.66975814369101</c:v>
                </c:pt>
                <c:pt idx="476">
                  <c:v>349.23506143398839</c:v>
                </c:pt>
                <c:pt idx="478">
                  <c:v>293.66975814369101</c:v>
                </c:pt>
                <c:pt idx="480">
                  <c:v>233.08504452861115</c:v>
                </c:pt>
                <c:pt idx="494">
                  <c:v>246.94521361646048</c:v>
                </c:pt>
                <c:pt idx="496">
                  <c:v>261.62956379894968</c:v>
                </c:pt>
                <c:pt idx="502">
                  <c:v>220.00279814001337</c:v>
                </c:pt>
                <c:pt idx="504">
                  <c:v>174.61573954711864</c:v>
                </c:pt>
                <c:pt idx="510">
                  <c:v>146.83337288738056</c:v>
                </c:pt>
                <c:pt idx="512">
                  <c:v>164.8151702626221</c:v>
                </c:pt>
                <c:pt idx="516">
                  <c:v>146.83337288738056</c:v>
                </c:pt>
                <c:pt idx="518">
                  <c:v>246.94521361646048</c:v>
                </c:pt>
                <c:pt idx="520">
                  <c:v>130.81344004395982</c:v>
                </c:pt>
                <c:pt idx="526">
                  <c:v>110.00027071140791</c:v>
                </c:pt>
                <c:pt idx="528">
                  <c:v>116.54132680899107</c:v>
                </c:pt>
                <c:pt idx="530">
                  <c:v>146.83337288738056</c:v>
                </c:pt>
                <c:pt idx="532">
                  <c:v>174.61573954711864</c:v>
                </c:pt>
                <c:pt idx="534">
                  <c:v>195.99987576438383</c:v>
                </c:pt>
                <c:pt idx="536">
                  <c:v>233.08504452861115</c:v>
                </c:pt>
                <c:pt idx="538">
                  <c:v>293.66975814369101</c:v>
                </c:pt>
                <c:pt idx="540">
                  <c:v>349.23506143398839</c:v>
                </c:pt>
                <c:pt idx="542">
                  <c:v>293.66975814369101</c:v>
                </c:pt>
                <c:pt idx="544">
                  <c:v>349.23506143398839</c:v>
                </c:pt>
                <c:pt idx="546">
                  <c:v>293.66975814369101</c:v>
                </c:pt>
                <c:pt idx="548">
                  <c:v>349.23506143398839</c:v>
                </c:pt>
                <c:pt idx="550">
                  <c:v>311.13253664194741</c:v>
                </c:pt>
                <c:pt idx="552">
                  <c:v>349.23506143398839</c:v>
                </c:pt>
                <c:pt idx="554">
                  <c:v>311.13253664194741</c:v>
                </c:pt>
                <c:pt idx="556">
                  <c:v>349.23506143398839</c:v>
                </c:pt>
                <c:pt idx="558">
                  <c:v>311.13253664194741</c:v>
                </c:pt>
                <c:pt idx="560">
                  <c:v>370.00197512709912</c:v>
                </c:pt>
                <c:pt idx="562">
                  <c:v>311.13253664194741</c:v>
                </c:pt>
                <c:pt idx="564">
                  <c:v>370.00197512709912</c:v>
                </c:pt>
                <c:pt idx="566">
                  <c:v>493.89549345236594</c:v>
                </c:pt>
                <c:pt idx="568">
                  <c:v>523.26449507501752</c:v>
                </c:pt>
                <c:pt idx="572">
                  <c:v>493.89549345236594</c:v>
                </c:pt>
                <c:pt idx="576">
                  <c:v>440.01010976071973</c:v>
                </c:pt>
                <c:pt idx="580">
                  <c:v>392.00377257605692</c:v>
                </c:pt>
                <c:pt idx="584">
                  <c:v>293.66975814369101</c:v>
                </c:pt>
                <c:pt idx="586">
                  <c:v>311.13253664194741</c:v>
                </c:pt>
                <c:pt idx="588">
                  <c:v>329.63372180082422</c:v>
                </c:pt>
                <c:pt idx="590">
                  <c:v>311.13253664194741</c:v>
                </c:pt>
                <c:pt idx="592">
                  <c:v>293.66975814369101</c:v>
                </c:pt>
                <c:pt idx="594">
                  <c:v>311.13253664194741</c:v>
                </c:pt>
                <c:pt idx="596">
                  <c:v>293.66975814369101</c:v>
                </c:pt>
                <c:pt idx="598">
                  <c:v>277.18710418069043</c:v>
                </c:pt>
                <c:pt idx="600">
                  <c:v>261.62956379894968</c:v>
                </c:pt>
                <c:pt idx="602">
                  <c:v>246.94521361646048</c:v>
                </c:pt>
                <c:pt idx="604">
                  <c:v>233.08504452861115</c:v>
                </c:pt>
                <c:pt idx="606">
                  <c:v>220.00279814001337</c:v>
                </c:pt>
                <c:pt idx="608">
                  <c:v>207.65481237683719</c:v>
                </c:pt>
                <c:pt idx="610">
                  <c:v>195.99987576438383</c:v>
                </c:pt>
                <c:pt idx="612">
                  <c:v>184.99908988354849</c:v>
                </c:pt>
                <c:pt idx="614">
                  <c:v>174.61573954711864</c:v>
                </c:pt>
                <c:pt idx="616">
                  <c:v>164.8151702626221</c:v>
                </c:pt>
                <c:pt idx="618">
                  <c:v>155.56467257275574</c:v>
                </c:pt>
                <c:pt idx="620">
                  <c:v>146.83337288738056</c:v>
                </c:pt>
                <c:pt idx="622">
                  <c:v>138.5921304427338</c:v>
                </c:pt>
                <c:pt idx="624">
                  <c:v>146.83337288738056</c:v>
                </c:pt>
                <c:pt idx="626">
                  <c:v>97.998932630681253</c:v>
                </c:pt>
                <c:pt idx="628">
                  <c:v>138.5921304427338</c:v>
                </c:pt>
                <c:pt idx="630">
                  <c:v>97.998932630681253</c:v>
                </c:pt>
                <c:pt idx="632">
                  <c:v>130.81344004395982</c:v>
                </c:pt>
                <c:pt idx="634">
                  <c:v>261.62956379894968</c:v>
                </c:pt>
                <c:pt idx="636">
                  <c:v>123.4713402663609</c:v>
                </c:pt>
                <c:pt idx="638">
                  <c:v>246.94521361646048</c:v>
                </c:pt>
                <c:pt idx="640">
                  <c:v>110.00027071140791</c:v>
                </c:pt>
                <c:pt idx="642">
                  <c:v>220.00279814001337</c:v>
                </c:pt>
                <c:pt idx="644">
                  <c:v>97.998932630681253</c:v>
                </c:pt>
                <c:pt idx="646">
                  <c:v>195.99987576438383</c:v>
                </c:pt>
                <c:pt idx="648">
                  <c:v>87.306974197808145</c:v>
                </c:pt>
                <c:pt idx="650">
                  <c:v>174.61573954711864</c:v>
                </c:pt>
                <c:pt idx="652">
                  <c:v>82.406739821087044</c:v>
                </c:pt>
                <c:pt idx="654">
                  <c:v>164.8151702626221</c:v>
                </c:pt>
                <c:pt idx="656">
                  <c:v>73.415933359182759</c:v>
                </c:pt>
                <c:pt idx="658">
                  <c:v>146.83337288738056</c:v>
                </c:pt>
                <c:pt idx="660">
                  <c:v>87.306974197808145</c:v>
                </c:pt>
                <c:pt idx="662">
                  <c:v>174.61573954711864</c:v>
                </c:pt>
                <c:pt idx="664">
                  <c:v>97.998932630681253</c:v>
                </c:pt>
                <c:pt idx="665">
                  <c:v>110.00027071140791</c:v>
                </c:pt>
                <c:pt idx="667">
                  <c:v>130.81344004395982</c:v>
                </c:pt>
                <c:pt idx="672">
                  <c:v>195.99987576438383</c:v>
                </c:pt>
                <c:pt idx="673">
                  <c:v>220.00279814001337</c:v>
                </c:pt>
                <c:pt idx="675">
                  <c:v>261.62956379894968</c:v>
                </c:pt>
                <c:pt idx="680">
                  <c:v>440.01010976071973</c:v>
                </c:pt>
                <c:pt idx="681">
                  <c:v>523.26449507501752</c:v>
                </c:pt>
                <c:pt idx="683">
                  <c:v>587.34554108704231</c:v>
                </c:pt>
                <c:pt idx="686">
                  <c:v>587.34554108704231</c:v>
                </c:pt>
                <c:pt idx="688">
                  <c:v>523.26449507501752</c:v>
                </c:pt>
                <c:pt idx="692">
                  <c:v>261.62956379894968</c:v>
                </c:pt>
              </c:numCache>
            </c:numRef>
          </c:val>
          <c:smooth val="0"/>
        </c:ser>
        <c:ser>
          <c:idx val="3"/>
          <c:order val="3"/>
          <c:spPr>
            <a:ln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val>
            <c:numRef>
              <c:f>Sheet2!$P$4:$P$696</c:f>
              <c:numCache>
                <c:formatCode>General</c:formatCode>
                <c:ptCount val="693"/>
                <c:pt idx="16">
                  <c:v>349.23506143398839</c:v>
                </c:pt>
                <c:pt idx="18">
                  <c:v>370.00197512709912</c:v>
                </c:pt>
                <c:pt idx="20">
                  <c:v>392.00377257605692</c:v>
                </c:pt>
                <c:pt idx="22">
                  <c:v>370.00197512709912</c:v>
                </c:pt>
                <c:pt idx="24">
                  <c:v>349.23506143398839</c:v>
                </c:pt>
                <c:pt idx="26">
                  <c:v>370.00197512709912</c:v>
                </c:pt>
                <c:pt idx="28">
                  <c:v>349.23506143398839</c:v>
                </c:pt>
                <c:pt idx="30">
                  <c:v>329.63372180082422</c:v>
                </c:pt>
                <c:pt idx="32">
                  <c:v>311.13253664194741</c:v>
                </c:pt>
                <c:pt idx="34">
                  <c:v>293.66975814369101</c:v>
                </c:pt>
                <c:pt idx="36">
                  <c:v>277.18710418069043</c:v>
                </c:pt>
                <c:pt idx="38">
                  <c:v>261.62956379894968</c:v>
                </c:pt>
                <c:pt idx="40">
                  <c:v>246.94521361646048</c:v>
                </c:pt>
                <c:pt idx="42">
                  <c:v>233.08504452861115</c:v>
                </c:pt>
                <c:pt idx="44">
                  <c:v>220.00279814001337</c:v>
                </c:pt>
                <c:pt idx="46">
                  <c:v>207.65481237683719</c:v>
                </c:pt>
                <c:pt idx="48">
                  <c:v>195.99987576438383</c:v>
                </c:pt>
                <c:pt idx="50">
                  <c:v>184.99908988354849</c:v>
                </c:pt>
                <c:pt idx="52">
                  <c:v>174.61573954711864</c:v>
                </c:pt>
                <c:pt idx="54">
                  <c:v>184.99908988354849</c:v>
                </c:pt>
                <c:pt idx="56">
                  <c:v>174.61573954711864</c:v>
                </c:pt>
                <c:pt idx="60">
                  <c:v>174.61573954711864</c:v>
                </c:pt>
                <c:pt idx="118">
                  <c:v>698.47728762097279</c:v>
                </c:pt>
                <c:pt idx="120">
                  <c:v>659.27420622217721</c:v>
                </c:pt>
                <c:pt idx="134">
                  <c:v>293.66975814369101</c:v>
                </c:pt>
                <c:pt idx="142">
                  <c:v>349.23506143398839</c:v>
                </c:pt>
                <c:pt idx="320">
                  <c:v>349.23506143398839</c:v>
                </c:pt>
                <c:pt idx="322">
                  <c:v>370.00197512709912</c:v>
                </c:pt>
                <c:pt idx="324">
                  <c:v>392.00377257605692</c:v>
                </c:pt>
                <c:pt idx="326">
                  <c:v>370.00197512709912</c:v>
                </c:pt>
                <c:pt idx="328">
                  <c:v>349.23506143398839</c:v>
                </c:pt>
                <c:pt idx="330">
                  <c:v>370.00197512709912</c:v>
                </c:pt>
                <c:pt idx="332">
                  <c:v>349.23506143398839</c:v>
                </c:pt>
                <c:pt idx="334">
                  <c:v>329.63372180082422</c:v>
                </c:pt>
                <c:pt idx="336">
                  <c:v>311.13253664194741</c:v>
                </c:pt>
                <c:pt idx="338">
                  <c:v>293.66975814369101</c:v>
                </c:pt>
                <c:pt idx="340">
                  <c:v>277.18710418069043</c:v>
                </c:pt>
                <c:pt idx="342">
                  <c:v>261.62956379894968</c:v>
                </c:pt>
                <c:pt idx="344">
                  <c:v>246.94521361646048</c:v>
                </c:pt>
                <c:pt idx="346">
                  <c:v>233.08504452861115</c:v>
                </c:pt>
                <c:pt idx="348">
                  <c:v>220.00279814001337</c:v>
                </c:pt>
                <c:pt idx="350">
                  <c:v>207.65481237683719</c:v>
                </c:pt>
                <c:pt idx="352">
                  <c:v>195.99987576438383</c:v>
                </c:pt>
                <c:pt idx="354">
                  <c:v>184.99908988354849</c:v>
                </c:pt>
                <c:pt idx="356">
                  <c:v>174.61573954711864</c:v>
                </c:pt>
                <c:pt idx="358">
                  <c:v>184.99908988354849</c:v>
                </c:pt>
                <c:pt idx="360">
                  <c:v>174.61573954711864</c:v>
                </c:pt>
                <c:pt idx="364">
                  <c:v>174.61573954711864</c:v>
                </c:pt>
                <c:pt idx="584">
                  <c:v>349.23506143398839</c:v>
                </c:pt>
                <c:pt idx="586">
                  <c:v>370.00197512709912</c:v>
                </c:pt>
                <c:pt idx="588">
                  <c:v>392.00377257605692</c:v>
                </c:pt>
                <c:pt idx="590">
                  <c:v>370.00197512709912</c:v>
                </c:pt>
                <c:pt idx="592">
                  <c:v>349.23506143398839</c:v>
                </c:pt>
                <c:pt idx="594">
                  <c:v>370.00197512709912</c:v>
                </c:pt>
                <c:pt idx="596">
                  <c:v>349.23506143398839</c:v>
                </c:pt>
                <c:pt idx="598">
                  <c:v>329.63372180082422</c:v>
                </c:pt>
                <c:pt idx="600">
                  <c:v>311.13253664194741</c:v>
                </c:pt>
                <c:pt idx="602">
                  <c:v>293.66975814369101</c:v>
                </c:pt>
                <c:pt idx="604">
                  <c:v>277.18710418069043</c:v>
                </c:pt>
                <c:pt idx="606">
                  <c:v>261.62956379894968</c:v>
                </c:pt>
                <c:pt idx="608">
                  <c:v>246.94521361646048</c:v>
                </c:pt>
                <c:pt idx="610">
                  <c:v>233.08504452861115</c:v>
                </c:pt>
                <c:pt idx="612">
                  <c:v>220.00279814001337</c:v>
                </c:pt>
                <c:pt idx="614">
                  <c:v>207.65481237683719</c:v>
                </c:pt>
                <c:pt idx="616">
                  <c:v>195.99987576438383</c:v>
                </c:pt>
                <c:pt idx="618">
                  <c:v>184.99908988354849</c:v>
                </c:pt>
                <c:pt idx="620">
                  <c:v>174.61573954711864</c:v>
                </c:pt>
                <c:pt idx="622">
                  <c:v>184.99908988354849</c:v>
                </c:pt>
                <c:pt idx="624">
                  <c:v>174.61573954711864</c:v>
                </c:pt>
                <c:pt idx="628">
                  <c:v>174.61573954711864</c:v>
                </c:pt>
                <c:pt idx="686">
                  <c:v>698.47728762097279</c:v>
                </c:pt>
                <c:pt idx="688">
                  <c:v>659.27420622217721</c:v>
                </c:pt>
                <c:pt idx="692">
                  <c:v>329.63372180082422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02112"/>
        <c:axId val="111835904"/>
      </c:lineChart>
      <c:catAx>
        <c:axId val="87002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11835904"/>
        <c:crosses val="autoZero"/>
        <c:auto val="1"/>
        <c:lblAlgn val="ctr"/>
        <c:lblOffset val="100"/>
        <c:noMultiLvlLbl val="0"/>
      </c:catAx>
      <c:valAx>
        <c:axId val="111835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0021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1/2 of All Notes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Sheet2!$R$307:$R$456</c:f>
              <c:numCache>
                <c:formatCode>General</c:formatCode>
                <c:ptCount val="15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4</c:v>
                </c:pt>
                <c:pt idx="6">
                  <c:v>4.75</c:v>
                </c:pt>
                <c:pt idx="7">
                  <c:v>5.5</c:v>
                </c:pt>
                <c:pt idx="8">
                  <c:v>6</c:v>
                </c:pt>
                <c:pt idx="9">
                  <c:v>8.25</c:v>
                </c:pt>
                <c:pt idx="10">
                  <c:v>9</c:v>
                </c:pt>
                <c:pt idx="11">
                  <c:v>10</c:v>
                </c:pt>
                <c:pt idx="12">
                  <c:v>10.75</c:v>
                </c:pt>
                <c:pt idx="13">
                  <c:v>12</c:v>
                </c:pt>
                <c:pt idx="14">
                  <c:v>12.75</c:v>
                </c:pt>
                <c:pt idx="15">
                  <c:v>13.5</c:v>
                </c:pt>
                <c:pt idx="16">
                  <c:v>14</c:v>
                </c:pt>
                <c:pt idx="17">
                  <c:v>16.25</c:v>
                </c:pt>
                <c:pt idx="18">
                  <c:v>17</c:v>
                </c:pt>
                <c:pt idx="19">
                  <c:v>18</c:v>
                </c:pt>
                <c:pt idx="20">
                  <c:v>18.75</c:v>
                </c:pt>
                <c:pt idx="21">
                  <c:v>19.5</c:v>
                </c:pt>
                <c:pt idx="22">
                  <c:v>20.25</c:v>
                </c:pt>
                <c:pt idx="23">
                  <c:v>21</c:v>
                </c:pt>
                <c:pt idx="24">
                  <c:v>21.75</c:v>
                </c:pt>
                <c:pt idx="25">
                  <c:v>25</c:v>
                </c:pt>
                <c:pt idx="26">
                  <c:v>27</c:v>
                </c:pt>
                <c:pt idx="27">
                  <c:v>27.75</c:v>
                </c:pt>
                <c:pt idx="28">
                  <c:v>29.5</c:v>
                </c:pt>
                <c:pt idx="29">
                  <c:v>30</c:v>
                </c:pt>
                <c:pt idx="30">
                  <c:v>34</c:v>
                </c:pt>
                <c:pt idx="31">
                  <c:v>37.5</c:v>
                </c:pt>
                <c:pt idx="32">
                  <c:v>41.5</c:v>
                </c:pt>
                <c:pt idx="33">
                  <c:v>42.5</c:v>
                </c:pt>
                <c:pt idx="34">
                  <c:v>44</c:v>
                </c:pt>
                <c:pt idx="35">
                  <c:v>45.5</c:v>
                </c:pt>
                <c:pt idx="36">
                  <c:v>46.5</c:v>
                </c:pt>
                <c:pt idx="37">
                  <c:v>47.5</c:v>
                </c:pt>
                <c:pt idx="38">
                  <c:v>48.5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55.5</c:v>
                </c:pt>
                <c:pt idx="45">
                  <c:v>57.5</c:v>
                </c:pt>
                <c:pt idx="46">
                  <c:v>58.5</c:v>
                </c:pt>
                <c:pt idx="47">
                  <c:v>60</c:v>
                </c:pt>
                <c:pt idx="48">
                  <c:v>61.5</c:v>
                </c:pt>
                <c:pt idx="49">
                  <c:v>62.5</c:v>
                </c:pt>
                <c:pt idx="50">
                  <c:v>63.5</c:v>
                </c:pt>
                <c:pt idx="51">
                  <c:v>64.5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76.25</c:v>
                </c:pt>
                <c:pt idx="63">
                  <c:v>77</c:v>
                </c:pt>
                <c:pt idx="64">
                  <c:v>78</c:v>
                </c:pt>
                <c:pt idx="65">
                  <c:v>78.75</c:v>
                </c:pt>
                <c:pt idx="66">
                  <c:v>79.5</c:v>
                </c:pt>
                <c:pt idx="67">
                  <c:v>80.25</c:v>
                </c:pt>
                <c:pt idx="68">
                  <c:v>81</c:v>
                </c:pt>
                <c:pt idx="69">
                  <c:v>81.75</c:v>
                </c:pt>
                <c:pt idx="70">
                  <c:v>84</c:v>
                </c:pt>
                <c:pt idx="71">
                  <c:v>84.75</c:v>
                </c:pt>
                <c:pt idx="72">
                  <c:v>85.5</c:v>
                </c:pt>
                <c:pt idx="73">
                  <c:v>86.25</c:v>
                </c:pt>
                <c:pt idx="74">
                  <c:v>87</c:v>
                </c:pt>
                <c:pt idx="75">
                  <c:v>88.25</c:v>
                </c:pt>
                <c:pt idx="76">
                  <c:v>89</c:v>
                </c:pt>
                <c:pt idx="77">
                  <c:v>89.75</c:v>
                </c:pt>
                <c:pt idx="78">
                  <c:v>92</c:v>
                </c:pt>
                <c:pt idx="79">
                  <c:v>92.75</c:v>
                </c:pt>
                <c:pt idx="80">
                  <c:v>93.5</c:v>
                </c:pt>
                <c:pt idx="81">
                  <c:v>94.25</c:v>
                </c:pt>
                <c:pt idx="82">
                  <c:v>95</c:v>
                </c:pt>
                <c:pt idx="83">
                  <c:v>96</c:v>
                </c:pt>
                <c:pt idx="84">
                  <c:v>96.75</c:v>
                </c:pt>
                <c:pt idx="85">
                  <c:v>97.5</c:v>
                </c:pt>
                <c:pt idx="86">
                  <c:v>98</c:v>
                </c:pt>
                <c:pt idx="87">
                  <c:v>101.5</c:v>
                </c:pt>
                <c:pt idx="88">
                  <c:v>103.5</c:v>
                </c:pt>
                <c:pt idx="89">
                  <c:v>105</c:v>
                </c:pt>
                <c:pt idx="90">
                  <c:v>105.75</c:v>
                </c:pt>
                <c:pt idx="91">
                  <c:v>107.5</c:v>
                </c:pt>
                <c:pt idx="92">
                  <c:v>108.5</c:v>
                </c:pt>
                <c:pt idx="93">
                  <c:v>110</c:v>
                </c:pt>
                <c:pt idx="94">
                  <c:v>111.5</c:v>
                </c:pt>
                <c:pt idx="95">
                  <c:v>112.5</c:v>
                </c:pt>
                <c:pt idx="96">
                  <c:v>113.5</c:v>
                </c:pt>
                <c:pt idx="97">
                  <c:v>114.5</c:v>
                </c:pt>
                <c:pt idx="98">
                  <c:v>116</c:v>
                </c:pt>
                <c:pt idx="99">
                  <c:v>117</c:v>
                </c:pt>
                <c:pt idx="100">
                  <c:v>118</c:v>
                </c:pt>
                <c:pt idx="101">
                  <c:v>119</c:v>
                </c:pt>
                <c:pt idx="102">
                  <c:v>120</c:v>
                </c:pt>
                <c:pt idx="103">
                  <c:v>121.5</c:v>
                </c:pt>
                <c:pt idx="104">
                  <c:v>123.5</c:v>
                </c:pt>
                <c:pt idx="105">
                  <c:v>124.5</c:v>
                </c:pt>
                <c:pt idx="106">
                  <c:v>126</c:v>
                </c:pt>
                <c:pt idx="107">
                  <c:v>127.5</c:v>
                </c:pt>
                <c:pt idx="108">
                  <c:v>128.5</c:v>
                </c:pt>
                <c:pt idx="109">
                  <c:v>129.5</c:v>
                </c:pt>
                <c:pt idx="110">
                  <c:v>130.5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142.25</c:v>
                </c:pt>
                <c:pt idx="122">
                  <c:v>143</c:v>
                </c:pt>
                <c:pt idx="123">
                  <c:v>144</c:v>
                </c:pt>
                <c:pt idx="124">
                  <c:v>144.75</c:v>
                </c:pt>
                <c:pt idx="125">
                  <c:v>145.5</c:v>
                </c:pt>
                <c:pt idx="126">
                  <c:v>146.25</c:v>
                </c:pt>
                <c:pt idx="127">
                  <c:v>147</c:v>
                </c:pt>
                <c:pt idx="128">
                  <c:v>147.75</c:v>
                </c:pt>
                <c:pt idx="129">
                  <c:v>150</c:v>
                </c:pt>
                <c:pt idx="130">
                  <c:v>150.75</c:v>
                </c:pt>
                <c:pt idx="131">
                  <c:v>151.5</c:v>
                </c:pt>
                <c:pt idx="132">
                  <c:v>152.25</c:v>
                </c:pt>
                <c:pt idx="133">
                  <c:v>153</c:v>
                </c:pt>
                <c:pt idx="134">
                  <c:v>154.25</c:v>
                </c:pt>
                <c:pt idx="135">
                  <c:v>155</c:v>
                </c:pt>
                <c:pt idx="136">
                  <c:v>155.75</c:v>
                </c:pt>
                <c:pt idx="137">
                  <c:v>158</c:v>
                </c:pt>
                <c:pt idx="138">
                  <c:v>158.75</c:v>
                </c:pt>
                <c:pt idx="139">
                  <c:v>159.5</c:v>
                </c:pt>
                <c:pt idx="140">
                  <c:v>160.25</c:v>
                </c:pt>
                <c:pt idx="141">
                  <c:v>161.5</c:v>
                </c:pt>
                <c:pt idx="142">
                  <c:v>162.25</c:v>
                </c:pt>
                <c:pt idx="143">
                  <c:v>163</c:v>
                </c:pt>
                <c:pt idx="144">
                  <c:v>163.75</c:v>
                </c:pt>
                <c:pt idx="145">
                  <c:v>167</c:v>
                </c:pt>
                <c:pt idx="146">
                  <c:v>169</c:v>
                </c:pt>
                <c:pt idx="147">
                  <c:v>169.75</c:v>
                </c:pt>
                <c:pt idx="148">
                  <c:v>171.5</c:v>
                </c:pt>
                <c:pt idx="149">
                  <c:v>172</c:v>
                </c:pt>
              </c:numCache>
            </c:numRef>
          </c:xVal>
          <c:yVal>
            <c:numRef>
              <c:f>Sheet2!$U$307:$U$456</c:f>
              <c:numCache>
                <c:formatCode>General</c:formatCode>
                <c:ptCount val="150"/>
                <c:pt idx="0">
                  <c:v>659.27420622217721</c:v>
                </c:pt>
                <c:pt idx="1">
                  <c:v>659.27420622217721</c:v>
                </c:pt>
                <c:pt idx="2">
                  <c:v>659.27420622217721</c:v>
                </c:pt>
                <c:pt idx="3">
                  <c:v>659.27420622217721</c:v>
                </c:pt>
                <c:pt idx="4">
                  <c:v>659.27420622217721</c:v>
                </c:pt>
                <c:pt idx="5">
                  <c:v>440.01010976071973</c:v>
                </c:pt>
                <c:pt idx="6">
                  <c:v>440.01010976071973</c:v>
                </c:pt>
                <c:pt idx="7">
                  <c:v>440.01010976071973</c:v>
                </c:pt>
                <c:pt idx="8">
                  <c:v>440.01010976071973</c:v>
                </c:pt>
                <c:pt idx="9">
                  <c:v>440.01010976071973</c:v>
                </c:pt>
                <c:pt idx="10">
                  <c:v>329.63372180082422</c:v>
                </c:pt>
                <c:pt idx="11">
                  <c:v>329.63372180082422</c:v>
                </c:pt>
                <c:pt idx="12">
                  <c:v>329.63372180082422</c:v>
                </c:pt>
                <c:pt idx="13">
                  <c:v>261.62956379894968</c:v>
                </c:pt>
                <c:pt idx="14">
                  <c:v>261.62956379894968</c:v>
                </c:pt>
                <c:pt idx="15">
                  <c:v>195.99987576438383</c:v>
                </c:pt>
                <c:pt idx="16">
                  <c:v>195.99987576438383</c:v>
                </c:pt>
                <c:pt idx="17">
                  <c:v>195.99987576438383</c:v>
                </c:pt>
                <c:pt idx="18">
                  <c:v>195.99987576438383</c:v>
                </c:pt>
                <c:pt idx="19">
                  <c:v>130.81344004395982</c:v>
                </c:pt>
                <c:pt idx="20">
                  <c:v>130.81344004395982</c:v>
                </c:pt>
                <c:pt idx="21">
                  <c:v>130.81344004395982</c:v>
                </c:pt>
                <c:pt idx="22">
                  <c:v>130.81344004395982</c:v>
                </c:pt>
                <c:pt idx="23">
                  <c:v>130.81344004395982</c:v>
                </c:pt>
                <c:pt idx="24">
                  <c:v>130.81344004395982</c:v>
                </c:pt>
                <c:pt idx="25">
                  <c:v>146.83337288738056</c:v>
                </c:pt>
                <c:pt idx="26">
                  <c:v>293.66975814369101</c:v>
                </c:pt>
                <c:pt idx="27">
                  <c:v>370.00197512709912</c:v>
                </c:pt>
                <c:pt idx="28">
                  <c:v>784.01558732918636</c:v>
                </c:pt>
                <c:pt idx="29">
                  <c:v>1046.5397252143878</c:v>
                </c:pt>
                <c:pt idx="30">
                  <c:v>466.17487092753117</c:v>
                </c:pt>
                <c:pt idx="31">
                  <c:v>392.00377257605692</c:v>
                </c:pt>
                <c:pt idx="32">
                  <c:v>493.89549345236594</c:v>
                </c:pt>
                <c:pt idx="33">
                  <c:v>466.17487092753117</c:v>
                </c:pt>
                <c:pt idx="34">
                  <c:v>349.23506143398839</c:v>
                </c:pt>
                <c:pt idx="35">
                  <c:v>293.66975814369101</c:v>
                </c:pt>
                <c:pt idx="36">
                  <c:v>392.00377257605692</c:v>
                </c:pt>
                <c:pt idx="37">
                  <c:v>392.00377257605692</c:v>
                </c:pt>
                <c:pt idx="38">
                  <c:v>329.63372180082422</c:v>
                </c:pt>
                <c:pt idx="39">
                  <c:v>233.08504452861115</c:v>
                </c:pt>
                <c:pt idx="40">
                  <c:v>349.23506143398839</c:v>
                </c:pt>
                <c:pt idx="41">
                  <c:v>466.17487092753117</c:v>
                </c:pt>
                <c:pt idx="42">
                  <c:v>698.47728762097279</c:v>
                </c:pt>
                <c:pt idx="43">
                  <c:v>466.17487092753117</c:v>
                </c:pt>
                <c:pt idx="44">
                  <c:v>370.00197512709912</c:v>
                </c:pt>
                <c:pt idx="45">
                  <c:v>493.89549345236594</c:v>
                </c:pt>
                <c:pt idx="46">
                  <c:v>466.17487092753117</c:v>
                </c:pt>
                <c:pt idx="47">
                  <c:v>349.23506143398839</c:v>
                </c:pt>
                <c:pt idx="48">
                  <c:v>293.66975814369101</c:v>
                </c:pt>
                <c:pt idx="49">
                  <c:v>392.00377257605692</c:v>
                </c:pt>
                <c:pt idx="50">
                  <c:v>392.00377257605692</c:v>
                </c:pt>
                <c:pt idx="51">
                  <c:v>329.63372180082422</c:v>
                </c:pt>
                <c:pt idx="52">
                  <c:v>233.08504452861115</c:v>
                </c:pt>
                <c:pt idx="53">
                  <c:v>349.23506143398839</c:v>
                </c:pt>
                <c:pt idx="54">
                  <c:v>466.17487092753117</c:v>
                </c:pt>
                <c:pt idx="55">
                  <c:v>698.47728762097279</c:v>
                </c:pt>
                <c:pt idx="56">
                  <c:v>698.47728762097279</c:v>
                </c:pt>
                <c:pt idx="57">
                  <c:v>698.47728762097279</c:v>
                </c:pt>
                <c:pt idx="58">
                  <c:v>698.47728762097279</c:v>
                </c:pt>
                <c:pt idx="59">
                  <c:v>698.47728762097279</c:v>
                </c:pt>
                <c:pt idx="60">
                  <c:v>740.01154105206626</c:v>
                </c:pt>
                <c:pt idx="61">
                  <c:v>740.01154105206626</c:v>
                </c:pt>
                <c:pt idx="62">
                  <c:v>784.01558732918636</c:v>
                </c:pt>
                <c:pt idx="63">
                  <c:v>784.01558732918636</c:v>
                </c:pt>
                <c:pt idx="64">
                  <c:v>523.26449507501752</c:v>
                </c:pt>
                <c:pt idx="65">
                  <c:v>523.26449507501752</c:v>
                </c:pt>
                <c:pt idx="66">
                  <c:v>523.26449507501752</c:v>
                </c:pt>
                <c:pt idx="67">
                  <c:v>523.26449507501752</c:v>
                </c:pt>
                <c:pt idx="68">
                  <c:v>523.26449507501752</c:v>
                </c:pt>
                <c:pt idx="69">
                  <c:v>523.26449507501752</c:v>
                </c:pt>
                <c:pt idx="70">
                  <c:v>392.00377257605692</c:v>
                </c:pt>
                <c:pt idx="71">
                  <c:v>392.00377257605692</c:v>
                </c:pt>
                <c:pt idx="72">
                  <c:v>392.00377257605692</c:v>
                </c:pt>
                <c:pt idx="73">
                  <c:v>349.23506143398839</c:v>
                </c:pt>
                <c:pt idx="74">
                  <c:v>261.62956379894968</c:v>
                </c:pt>
                <c:pt idx="75">
                  <c:v>293.66975814369101</c:v>
                </c:pt>
                <c:pt idx="76">
                  <c:v>195.99987576438383</c:v>
                </c:pt>
                <c:pt idx="77">
                  <c:v>246.94521361646048</c:v>
                </c:pt>
                <c:pt idx="78">
                  <c:v>164.8151702626221</c:v>
                </c:pt>
                <c:pt idx="79">
                  <c:v>164.8151702626221</c:v>
                </c:pt>
                <c:pt idx="80">
                  <c:v>164.8151702626221</c:v>
                </c:pt>
                <c:pt idx="81">
                  <c:v>164.8151702626221</c:v>
                </c:pt>
                <c:pt idx="82">
                  <c:v>164.8151702626221</c:v>
                </c:pt>
                <c:pt idx="83">
                  <c:v>110.00027071140791</c:v>
                </c:pt>
                <c:pt idx="84">
                  <c:v>110.00027071140791</c:v>
                </c:pt>
                <c:pt idx="85">
                  <c:v>110.00027071140791</c:v>
                </c:pt>
                <c:pt idx="86">
                  <c:v>110.00027071140791</c:v>
                </c:pt>
                <c:pt idx="87">
                  <c:v>164.8151702626221</c:v>
                </c:pt>
                <c:pt idx="88">
                  <c:v>329.63372180082422</c:v>
                </c:pt>
                <c:pt idx="89">
                  <c:v>659.27420622217721</c:v>
                </c:pt>
                <c:pt idx="90">
                  <c:v>880.02924657542201</c:v>
                </c:pt>
                <c:pt idx="91">
                  <c:v>493.89549345236594</c:v>
                </c:pt>
                <c:pt idx="92">
                  <c:v>466.17487092753117</c:v>
                </c:pt>
                <c:pt idx="93">
                  <c:v>349.23506143398839</c:v>
                </c:pt>
                <c:pt idx="94">
                  <c:v>293.66975814369101</c:v>
                </c:pt>
                <c:pt idx="95">
                  <c:v>392.00377257605692</c:v>
                </c:pt>
                <c:pt idx="96">
                  <c:v>392.00377257605692</c:v>
                </c:pt>
                <c:pt idx="97">
                  <c:v>329.63372180082422</c:v>
                </c:pt>
                <c:pt idx="98">
                  <c:v>233.08504452861115</c:v>
                </c:pt>
                <c:pt idx="99">
                  <c:v>349.23506143398839</c:v>
                </c:pt>
                <c:pt idx="100">
                  <c:v>466.17487092753117</c:v>
                </c:pt>
                <c:pt idx="101">
                  <c:v>698.47728762097279</c:v>
                </c:pt>
                <c:pt idx="102">
                  <c:v>466.17487092753117</c:v>
                </c:pt>
                <c:pt idx="103">
                  <c:v>370.00197512709912</c:v>
                </c:pt>
                <c:pt idx="104">
                  <c:v>493.89549345236594</c:v>
                </c:pt>
                <c:pt idx="105">
                  <c:v>466.17487092753117</c:v>
                </c:pt>
                <c:pt idx="106">
                  <c:v>349.23506143398839</c:v>
                </c:pt>
                <c:pt idx="107">
                  <c:v>293.66975814369101</c:v>
                </c:pt>
                <c:pt idx="108">
                  <c:v>370.00197512709912</c:v>
                </c:pt>
                <c:pt idx="109">
                  <c:v>370.00197512709912</c:v>
                </c:pt>
                <c:pt idx="110">
                  <c:v>329.63372180082422</c:v>
                </c:pt>
                <c:pt idx="111">
                  <c:v>233.08504452861115</c:v>
                </c:pt>
                <c:pt idx="112">
                  <c:v>349.23506143398839</c:v>
                </c:pt>
                <c:pt idx="113">
                  <c:v>466.17487092753117</c:v>
                </c:pt>
                <c:pt idx="114">
                  <c:v>698.47728762097279</c:v>
                </c:pt>
                <c:pt idx="115">
                  <c:v>698.47728762097279</c:v>
                </c:pt>
                <c:pt idx="116">
                  <c:v>698.47728762097279</c:v>
                </c:pt>
                <c:pt idx="117">
                  <c:v>698.47728762097279</c:v>
                </c:pt>
                <c:pt idx="118">
                  <c:v>698.47728762097279</c:v>
                </c:pt>
                <c:pt idx="119">
                  <c:v>740.01154105206626</c:v>
                </c:pt>
                <c:pt idx="120">
                  <c:v>740.01154105206626</c:v>
                </c:pt>
                <c:pt idx="121">
                  <c:v>784.01558732918636</c:v>
                </c:pt>
                <c:pt idx="122">
                  <c:v>784.01558732918636</c:v>
                </c:pt>
                <c:pt idx="123">
                  <c:v>523.26449507501752</c:v>
                </c:pt>
                <c:pt idx="124">
                  <c:v>523.26449507501752</c:v>
                </c:pt>
                <c:pt idx="125">
                  <c:v>523.26449507501752</c:v>
                </c:pt>
                <c:pt idx="126">
                  <c:v>523.26449507501752</c:v>
                </c:pt>
                <c:pt idx="127">
                  <c:v>523.26449507501752</c:v>
                </c:pt>
                <c:pt idx="128">
                  <c:v>523.26449507501752</c:v>
                </c:pt>
                <c:pt idx="129">
                  <c:v>392.00377257605692</c:v>
                </c:pt>
                <c:pt idx="130">
                  <c:v>392.00377257605692</c:v>
                </c:pt>
                <c:pt idx="131">
                  <c:v>392.00377257605692</c:v>
                </c:pt>
                <c:pt idx="132">
                  <c:v>349.23506143398839</c:v>
                </c:pt>
                <c:pt idx="133">
                  <c:v>261.62956379894968</c:v>
                </c:pt>
                <c:pt idx="134">
                  <c:v>293.66975814369101</c:v>
                </c:pt>
                <c:pt idx="135">
                  <c:v>195.99987576438383</c:v>
                </c:pt>
                <c:pt idx="136">
                  <c:v>246.94521361646048</c:v>
                </c:pt>
                <c:pt idx="137">
                  <c:v>164.8151702626221</c:v>
                </c:pt>
                <c:pt idx="138">
                  <c:v>164.8151702626221</c:v>
                </c:pt>
                <c:pt idx="139">
                  <c:v>164.8151702626221</c:v>
                </c:pt>
                <c:pt idx="140">
                  <c:v>164.8151702626221</c:v>
                </c:pt>
                <c:pt idx="141">
                  <c:v>130.81344004395982</c:v>
                </c:pt>
                <c:pt idx="142">
                  <c:v>130.81344004395982</c:v>
                </c:pt>
                <c:pt idx="143">
                  <c:v>130.81344004395982</c:v>
                </c:pt>
                <c:pt idx="144">
                  <c:v>130.81344004395982</c:v>
                </c:pt>
                <c:pt idx="145">
                  <c:v>146.83337288738056</c:v>
                </c:pt>
                <c:pt idx="146">
                  <c:v>293.66975814369101</c:v>
                </c:pt>
                <c:pt idx="147">
                  <c:v>370.00197512709912</c:v>
                </c:pt>
                <c:pt idx="148">
                  <c:v>784.01558732918636</c:v>
                </c:pt>
                <c:pt idx="149">
                  <c:v>1046.5397252143878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Sheet2!$R$307:$R$456</c:f>
              <c:numCache>
                <c:formatCode>General</c:formatCode>
                <c:ptCount val="15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4</c:v>
                </c:pt>
                <c:pt idx="6">
                  <c:v>4.75</c:v>
                </c:pt>
                <c:pt idx="7">
                  <c:v>5.5</c:v>
                </c:pt>
                <c:pt idx="8">
                  <c:v>6</c:v>
                </c:pt>
                <c:pt idx="9">
                  <c:v>8.25</c:v>
                </c:pt>
                <c:pt idx="10">
                  <c:v>9</c:v>
                </c:pt>
                <c:pt idx="11">
                  <c:v>10</c:v>
                </c:pt>
                <c:pt idx="12">
                  <c:v>10.75</c:v>
                </c:pt>
                <c:pt idx="13">
                  <c:v>12</c:v>
                </c:pt>
                <c:pt idx="14">
                  <c:v>12.75</c:v>
                </c:pt>
                <c:pt idx="15">
                  <c:v>13.5</c:v>
                </c:pt>
                <c:pt idx="16">
                  <c:v>14</c:v>
                </c:pt>
                <c:pt idx="17">
                  <c:v>16.25</c:v>
                </c:pt>
                <c:pt idx="18">
                  <c:v>17</c:v>
                </c:pt>
                <c:pt idx="19">
                  <c:v>18</c:v>
                </c:pt>
                <c:pt idx="20">
                  <c:v>18.75</c:v>
                </c:pt>
                <c:pt idx="21">
                  <c:v>19.5</c:v>
                </c:pt>
                <c:pt idx="22">
                  <c:v>20.25</c:v>
                </c:pt>
                <c:pt idx="23">
                  <c:v>21</c:v>
                </c:pt>
                <c:pt idx="24">
                  <c:v>21.75</c:v>
                </c:pt>
                <c:pt idx="25">
                  <c:v>25</c:v>
                </c:pt>
                <c:pt idx="26">
                  <c:v>27</c:v>
                </c:pt>
                <c:pt idx="27">
                  <c:v>27.75</c:v>
                </c:pt>
                <c:pt idx="28">
                  <c:v>29.5</c:v>
                </c:pt>
                <c:pt idx="29">
                  <c:v>30</c:v>
                </c:pt>
                <c:pt idx="30">
                  <c:v>34</c:v>
                </c:pt>
                <c:pt idx="31">
                  <c:v>37.5</c:v>
                </c:pt>
                <c:pt idx="32">
                  <c:v>41.5</c:v>
                </c:pt>
                <c:pt idx="33">
                  <c:v>42.5</c:v>
                </c:pt>
                <c:pt idx="34">
                  <c:v>44</c:v>
                </c:pt>
                <c:pt idx="35">
                  <c:v>45.5</c:v>
                </c:pt>
                <c:pt idx="36">
                  <c:v>46.5</c:v>
                </c:pt>
                <c:pt idx="37">
                  <c:v>47.5</c:v>
                </c:pt>
                <c:pt idx="38">
                  <c:v>48.5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55.5</c:v>
                </c:pt>
                <c:pt idx="45">
                  <c:v>57.5</c:v>
                </c:pt>
                <c:pt idx="46">
                  <c:v>58.5</c:v>
                </c:pt>
                <c:pt idx="47">
                  <c:v>60</c:v>
                </c:pt>
                <c:pt idx="48">
                  <c:v>61.5</c:v>
                </c:pt>
                <c:pt idx="49">
                  <c:v>62.5</c:v>
                </c:pt>
                <c:pt idx="50">
                  <c:v>63.5</c:v>
                </c:pt>
                <c:pt idx="51">
                  <c:v>64.5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76.25</c:v>
                </c:pt>
                <c:pt idx="63">
                  <c:v>77</c:v>
                </c:pt>
                <c:pt idx="64">
                  <c:v>78</c:v>
                </c:pt>
                <c:pt idx="65">
                  <c:v>78.75</c:v>
                </c:pt>
                <c:pt idx="66">
                  <c:v>79.5</c:v>
                </c:pt>
                <c:pt idx="67">
                  <c:v>80.25</c:v>
                </c:pt>
                <c:pt idx="68">
                  <c:v>81</c:v>
                </c:pt>
                <c:pt idx="69">
                  <c:v>81.75</c:v>
                </c:pt>
                <c:pt idx="70">
                  <c:v>84</c:v>
                </c:pt>
                <c:pt idx="71">
                  <c:v>84.75</c:v>
                </c:pt>
                <c:pt idx="72">
                  <c:v>85.5</c:v>
                </c:pt>
                <c:pt idx="73">
                  <c:v>86.25</c:v>
                </c:pt>
                <c:pt idx="74">
                  <c:v>87</c:v>
                </c:pt>
                <c:pt idx="75">
                  <c:v>88.25</c:v>
                </c:pt>
                <c:pt idx="76">
                  <c:v>89</c:v>
                </c:pt>
                <c:pt idx="77">
                  <c:v>89.75</c:v>
                </c:pt>
                <c:pt idx="78">
                  <c:v>92</c:v>
                </c:pt>
                <c:pt idx="79">
                  <c:v>92.75</c:v>
                </c:pt>
                <c:pt idx="80">
                  <c:v>93.5</c:v>
                </c:pt>
                <c:pt idx="81">
                  <c:v>94.25</c:v>
                </c:pt>
                <c:pt idx="82">
                  <c:v>95</c:v>
                </c:pt>
                <c:pt idx="83">
                  <c:v>96</c:v>
                </c:pt>
                <c:pt idx="84">
                  <c:v>96.75</c:v>
                </c:pt>
                <c:pt idx="85">
                  <c:v>97.5</c:v>
                </c:pt>
                <c:pt idx="86">
                  <c:v>98</c:v>
                </c:pt>
                <c:pt idx="87">
                  <c:v>101.5</c:v>
                </c:pt>
                <c:pt idx="88">
                  <c:v>103.5</c:v>
                </c:pt>
                <c:pt idx="89">
                  <c:v>105</c:v>
                </c:pt>
                <c:pt idx="90">
                  <c:v>105.75</c:v>
                </c:pt>
                <c:pt idx="91">
                  <c:v>107.5</c:v>
                </c:pt>
                <c:pt idx="92">
                  <c:v>108.5</c:v>
                </c:pt>
                <c:pt idx="93">
                  <c:v>110</c:v>
                </c:pt>
                <c:pt idx="94">
                  <c:v>111.5</c:v>
                </c:pt>
                <c:pt idx="95">
                  <c:v>112.5</c:v>
                </c:pt>
                <c:pt idx="96">
                  <c:v>113.5</c:v>
                </c:pt>
                <c:pt idx="97">
                  <c:v>114.5</c:v>
                </c:pt>
                <c:pt idx="98">
                  <c:v>116</c:v>
                </c:pt>
                <c:pt idx="99">
                  <c:v>117</c:v>
                </c:pt>
                <c:pt idx="100">
                  <c:v>118</c:v>
                </c:pt>
                <c:pt idx="101">
                  <c:v>119</c:v>
                </c:pt>
                <c:pt idx="102">
                  <c:v>120</c:v>
                </c:pt>
                <c:pt idx="103">
                  <c:v>121.5</c:v>
                </c:pt>
                <c:pt idx="104">
                  <c:v>123.5</c:v>
                </c:pt>
                <c:pt idx="105">
                  <c:v>124.5</c:v>
                </c:pt>
                <c:pt idx="106">
                  <c:v>126</c:v>
                </c:pt>
                <c:pt idx="107">
                  <c:v>127.5</c:v>
                </c:pt>
                <c:pt idx="108">
                  <c:v>128.5</c:v>
                </c:pt>
                <c:pt idx="109">
                  <c:v>129.5</c:v>
                </c:pt>
                <c:pt idx="110">
                  <c:v>130.5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142.25</c:v>
                </c:pt>
                <c:pt idx="122">
                  <c:v>143</c:v>
                </c:pt>
                <c:pt idx="123">
                  <c:v>144</c:v>
                </c:pt>
                <c:pt idx="124">
                  <c:v>144.75</c:v>
                </c:pt>
                <c:pt idx="125">
                  <c:v>145.5</c:v>
                </c:pt>
                <c:pt idx="126">
                  <c:v>146.25</c:v>
                </c:pt>
                <c:pt idx="127">
                  <c:v>147</c:v>
                </c:pt>
                <c:pt idx="128">
                  <c:v>147.75</c:v>
                </c:pt>
                <c:pt idx="129">
                  <c:v>150</c:v>
                </c:pt>
                <c:pt idx="130">
                  <c:v>150.75</c:v>
                </c:pt>
                <c:pt idx="131">
                  <c:v>151.5</c:v>
                </c:pt>
                <c:pt idx="132">
                  <c:v>152.25</c:v>
                </c:pt>
                <c:pt idx="133">
                  <c:v>153</c:v>
                </c:pt>
                <c:pt idx="134">
                  <c:v>154.25</c:v>
                </c:pt>
                <c:pt idx="135">
                  <c:v>155</c:v>
                </c:pt>
                <c:pt idx="136">
                  <c:v>155.75</c:v>
                </c:pt>
                <c:pt idx="137">
                  <c:v>158</c:v>
                </c:pt>
                <c:pt idx="138">
                  <c:v>158.75</c:v>
                </c:pt>
                <c:pt idx="139">
                  <c:v>159.5</c:v>
                </c:pt>
                <c:pt idx="140">
                  <c:v>160.25</c:v>
                </c:pt>
                <c:pt idx="141">
                  <c:v>161.5</c:v>
                </c:pt>
                <c:pt idx="142">
                  <c:v>162.25</c:v>
                </c:pt>
                <c:pt idx="143">
                  <c:v>163</c:v>
                </c:pt>
                <c:pt idx="144">
                  <c:v>163.75</c:v>
                </c:pt>
                <c:pt idx="145">
                  <c:v>167</c:v>
                </c:pt>
                <c:pt idx="146">
                  <c:v>169</c:v>
                </c:pt>
                <c:pt idx="147">
                  <c:v>169.75</c:v>
                </c:pt>
                <c:pt idx="148">
                  <c:v>171.5</c:v>
                </c:pt>
                <c:pt idx="149">
                  <c:v>172</c:v>
                </c:pt>
              </c:numCache>
            </c:numRef>
          </c:xVal>
          <c:yVal>
            <c:numRef>
              <c:f>Sheet2!$Z$307:$Z$456</c:f>
              <c:numCache>
                <c:formatCode>General</c:formatCode>
                <c:ptCount val="150"/>
                <c:pt idx="29">
                  <c:v>784.01558732918636</c:v>
                </c:pt>
                <c:pt idx="33">
                  <c:v>329.63372180082422</c:v>
                </c:pt>
                <c:pt idx="36">
                  <c:v>246.94521361646048</c:v>
                </c:pt>
                <c:pt idx="37">
                  <c:v>349.23506143398839</c:v>
                </c:pt>
                <c:pt idx="38">
                  <c:v>392.00377257605692</c:v>
                </c:pt>
                <c:pt idx="44">
                  <c:v>277.18710418069043</c:v>
                </c:pt>
                <c:pt idx="46">
                  <c:v>329.63372180082422</c:v>
                </c:pt>
                <c:pt idx="49">
                  <c:v>246.94521361646048</c:v>
                </c:pt>
                <c:pt idx="50">
                  <c:v>349.23506143398839</c:v>
                </c:pt>
                <c:pt idx="51">
                  <c:v>392.00377257605692</c:v>
                </c:pt>
                <c:pt idx="92">
                  <c:v>329.63372180082422</c:v>
                </c:pt>
                <c:pt idx="95">
                  <c:v>246.94521361646048</c:v>
                </c:pt>
                <c:pt idx="96">
                  <c:v>349.23506143398839</c:v>
                </c:pt>
                <c:pt idx="97">
                  <c:v>392.00377257605692</c:v>
                </c:pt>
                <c:pt idx="103">
                  <c:v>277.18710418069043</c:v>
                </c:pt>
                <c:pt idx="105">
                  <c:v>329.63372180082422</c:v>
                </c:pt>
                <c:pt idx="108">
                  <c:v>246.94521361646048</c:v>
                </c:pt>
                <c:pt idx="109">
                  <c:v>349.23506143398839</c:v>
                </c:pt>
                <c:pt idx="110">
                  <c:v>392.00377257605692</c:v>
                </c:pt>
                <c:pt idx="149">
                  <c:v>784.01558732918636</c:v>
                </c:pt>
              </c:numCache>
            </c:numRef>
          </c:yVal>
          <c:smooth val="0"/>
        </c:ser>
        <c:ser>
          <c:idx val="2"/>
          <c:order val="2"/>
          <c:tx>
            <c:v>Left Hand</c:v>
          </c:tx>
          <c:xVal>
            <c:numRef>
              <c:f>Sheet2!$AB$307:$AB$437</c:f>
              <c:numCache>
                <c:formatCode>General</c:formatCode>
                <c:ptCount val="13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24.75</c:v>
                </c:pt>
                <c:pt idx="22">
                  <c:v>26.25</c:v>
                </c:pt>
                <c:pt idx="23">
                  <c:v>28</c:v>
                </c:pt>
                <c:pt idx="24">
                  <c:v>28.75</c:v>
                </c:pt>
                <c:pt idx="25">
                  <c:v>30</c:v>
                </c:pt>
                <c:pt idx="26">
                  <c:v>33.5</c:v>
                </c:pt>
                <c:pt idx="27">
                  <c:v>41.5</c:v>
                </c:pt>
                <c:pt idx="28">
                  <c:v>43.5</c:v>
                </c:pt>
                <c:pt idx="29">
                  <c:v>45.5</c:v>
                </c:pt>
                <c:pt idx="30">
                  <c:v>47</c:v>
                </c:pt>
                <c:pt idx="31">
                  <c:v>48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58</c:v>
                </c:pt>
                <c:pt idx="38">
                  <c:v>61.5</c:v>
                </c:pt>
                <c:pt idx="39">
                  <c:v>63</c:v>
                </c:pt>
                <c:pt idx="40">
                  <c:v>64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78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  <c:pt idx="73">
                  <c:v>100</c:v>
                </c:pt>
                <c:pt idx="74">
                  <c:v>100.75</c:v>
                </c:pt>
                <c:pt idx="75">
                  <c:v>102.25</c:v>
                </c:pt>
                <c:pt idx="76">
                  <c:v>104</c:v>
                </c:pt>
                <c:pt idx="77">
                  <c:v>104.75</c:v>
                </c:pt>
                <c:pt idx="78">
                  <c:v>106</c:v>
                </c:pt>
                <c:pt idx="79">
                  <c:v>108</c:v>
                </c:pt>
                <c:pt idx="80">
                  <c:v>110</c:v>
                </c:pt>
                <c:pt idx="81">
                  <c:v>112</c:v>
                </c:pt>
                <c:pt idx="82">
                  <c:v>113.5</c:v>
                </c:pt>
                <c:pt idx="83">
                  <c:v>115.5</c:v>
                </c:pt>
                <c:pt idx="84">
                  <c:v>116.5</c:v>
                </c:pt>
                <c:pt idx="85">
                  <c:v>117.5</c:v>
                </c:pt>
                <c:pt idx="86">
                  <c:v>118.5</c:v>
                </c:pt>
                <c:pt idx="87">
                  <c:v>119.5</c:v>
                </c:pt>
                <c:pt idx="88">
                  <c:v>123.5</c:v>
                </c:pt>
                <c:pt idx="89">
                  <c:v>125.5</c:v>
                </c:pt>
                <c:pt idx="90">
                  <c:v>127.5</c:v>
                </c:pt>
                <c:pt idx="91">
                  <c:v>129</c:v>
                </c:pt>
                <c:pt idx="92">
                  <c:v>130</c:v>
                </c:pt>
                <c:pt idx="93">
                  <c:v>132</c:v>
                </c:pt>
                <c:pt idx="94">
                  <c:v>133</c:v>
                </c:pt>
                <c:pt idx="95">
                  <c:v>134</c:v>
                </c:pt>
                <c:pt idx="96">
                  <c:v>135</c:v>
                </c:pt>
                <c:pt idx="97">
                  <c:v>136</c:v>
                </c:pt>
                <c:pt idx="98">
                  <c:v>137</c:v>
                </c:pt>
                <c:pt idx="99">
                  <c:v>138</c:v>
                </c:pt>
                <c:pt idx="100">
                  <c:v>139</c:v>
                </c:pt>
                <c:pt idx="101">
                  <c:v>140</c:v>
                </c:pt>
                <c:pt idx="102">
                  <c:v>141</c:v>
                </c:pt>
                <c:pt idx="103">
                  <c:v>142</c:v>
                </c:pt>
                <c:pt idx="104">
                  <c:v>144</c:v>
                </c:pt>
                <c:pt idx="105">
                  <c:v>146</c:v>
                </c:pt>
                <c:pt idx="106">
                  <c:v>147</c:v>
                </c:pt>
                <c:pt idx="107">
                  <c:v>148</c:v>
                </c:pt>
                <c:pt idx="108">
                  <c:v>149</c:v>
                </c:pt>
                <c:pt idx="109">
                  <c:v>150</c:v>
                </c:pt>
                <c:pt idx="110">
                  <c:v>151</c:v>
                </c:pt>
                <c:pt idx="111">
                  <c:v>152</c:v>
                </c:pt>
                <c:pt idx="112">
                  <c:v>153</c:v>
                </c:pt>
                <c:pt idx="113">
                  <c:v>154</c:v>
                </c:pt>
                <c:pt idx="114">
                  <c:v>155</c:v>
                </c:pt>
                <c:pt idx="115">
                  <c:v>156</c:v>
                </c:pt>
                <c:pt idx="116">
                  <c:v>157</c:v>
                </c:pt>
                <c:pt idx="117">
                  <c:v>158</c:v>
                </c:pt>
                <c:pt idx="118">
                  <c:v>159</c:v>
                </c:pt>
                <c:pt idx="119">
                  <c:v>160</c:v>
                </c:pt>
                <c:pt idx="120">
                  <c:v>161</c:v>
                </c:pt>
                <c:pt idx="121">
                  <c:v>162</c:v>
                </c:pt>
                <c:pt idx="122">
                  <c:v>163</c:v>
                </c:pt>
                <c:pt idx="123">
                  <c:v>164</c:v>
                </c:pt>
                <c:pt idx="124">
                  <c:v>165</c:v>
                </c:pt>
                <c:pt idx="125">
                  <c:v>166</c:v>
                </c:pt>
                <c:pt idx="126">
                  <c:v>166.75</c:v>
                </c:pt>
                <c:pt idx="127">
                  <c:v>168.25</c:v>
                </c:pt>
                <c:pt idx="128">
                  <c:v>170</c:v>
                </c:pt>
                <c:pt idx="129">
                  <c:v>170.75</c:v>
                </c:pt>
                <c:pt idx="130">
                  <c:v>172</c:v>
                </c:pt>
              </c:numCache>
            </c:numRef>
          </c:xVal>
          <c:yVal>
            <c:numRef>
              <c:f>Sheet2!$AE$307:$AE$437</c:f>
              <c:numCache>
                <c:formatCode>General</c:formatCode>
                <c:ptCount val="131"/>
                <c:pt idx="0">
                  <c:v>293.66975814369101</c:v>
                </c:pt>
                <c:pt idx="1">
                  <c:v>329.63372180082422</c:v>
                </c:pt>
                <c:pt idx="2">
                  <c:v>293.66975814369101</c:v>
                </c:pt>
                <c:pt idx="3">
                  <c:v>293.66975814369101</c:v>
                </c:pt>
                <c:pt idx="4">
                  <c:v>261.62956379894968</c:v>
                </c:pt>
                <c:pt idx="5">
                  <c:v>233.08504452861115</c:v>
                </c:pt>
                <c:pt idx="6">
                  <c:v>207.65481237683719</c:v>
                </c:pt>
                <c:pt idx="7">
                  <c:v>184.99908988354849</c:v>
                </c:pt>
                <c:pt idx="8">
                  <c:v>164.8151702626221</c:v>
                </c:pt>
                <c:pt idx="9">
                  <c:v>146.83337288738056</c:v>
                </c:pt>
                <c:pt idx="10">
                  <c:v>146.83337288738056</c:v>
                </c:pt>
                <c:pt idx="11">
                  <c:v>138.5921304427338</c:v>
                </c:pt>
                <c:pt idx="12">
                  <c:v>130.81344004395982</c:v>
                </c:pt>
                <c:pt idx="13">
                  <c:v>123.4713402663609</c:v>
                </c:pt>
                <c:pt idx="14">
                  <c:v>110.00027071140791</c:v>
                </c:pt>
                <c:pt idx="15">
                  <c:v>97.998932630681253</c:v>
                </c:pt>
                <c:pt idx="16">
                  <c:v>87.306974197808145</c:v>
                </c:pt>
                <c:pt idx="17">
                  <c:v>82.406739821087044</c:v>
                </c:pt>
                <c:pt idx="18">
                  <c:v>73.415933359182759</c:v>
                </c:pt>
                <c:pt idx="19">
                  <c:v>87.306974197808145</c:v>
                </c:pt>
                <c:pt idx="20">
                  <c:v>97.998932630681253</c:v>
                </c:pt>
                <c:pt idx="21">
                  <c:v>130.81344004395982</c:v>
                </c:pt>
                <c:pt idx="22">
                  <c:v>220.00279814001337</c:v>
                </c:pt>
                <c:pt idx="23">
                  <c:v>440.01010976071973</c:v>
                </c:pt>
                <c:pt idx="24">
                  <c:v>587.34554108704231</c:v>
                </c:pt>
                <c:pt idx="25">
                  <c:v>523.26449507501752</c:v>
                </c:pt>
                <c:pt idx="26">
                  <c:v>293.66975814369101</c:v>
                </c:pt>
                <c:pt idx="27">
                  <c:v>246.94521361646048</c:v>
                </c:pt>
                <c:pt idx="28">
                  <c:v>220.00279814001337</c:v>
                </c:pt>
                <c:pt idx="29">
                  <c:v>146.83337288738056</c:v>
                </c:pt>
                <c:pt idx="30">
                  <c:v>146.83337288738056</c:v>
                </c:pt>
                <c:pt idx="31">
                  <c:v>130.81344004395982</c:v>
                </c:pt>
                <c:pt idx="32">
                  <c:v>116.54132680899107</c:v>
                </c:pt>
                <c:pt idx="33">
                  <c:v>174.61573954711864</c:v>
                </c:pt>
                <c:pt idx="34">
                  <c:v>233.08504452861115</c:v>
                </c:pt>
                <c:pt idx="35">
                  <c:v>349.23506143398839</c:v>
                </c:pt>
                <c:pt idx="36">
                  <c:v>233.08504452861115</c:v>
                </c:pt>
                <c:pt idx="37">
                  <c:v>261.62956379894968</c:v>
                </c:pt>
                <c:pt idx="38">
                  <c:v>146.83337288738056</c:v>
                </c:pt>
                <c:pt idx="39">
                  <c:v>146.83337288738056</c:v>
                </c:pt>
                <c:pt idx="40">
                  <c:v>130.81344004395982</c:v>
                </c:pt>
                <c:pt idx="41">
                  <c:v>116.54132680899107</c:v>
                </c:pt>
                <c:pt idx="42">
                  <c:v>174.61573954711864</c:v>
                </c:pt>
                <c:pt idx="43">
                  <c:v>233.08504452861115</c:v>
                </c:pt>
                <c:pt idx="44">
                  <c:v>349.23506143398839</c:v>
                </c:pt>
                <c:pt idx="45">
                  <c:v>349.23506143398839</c:v>
                </c:pt>
                <c:pt idx="46">
                  <c:v>349.23506143398839</c:v>
                </c:pt>
                <c:pt idx="47">
                  <c:v>349.23506143398839</c:v>
                </c:pt>
                <c:pt idx="48">
                  <c:v>349.23506143398839</c:v>
                </c:pt>
                <c:pt idx="49">
                  <c:v>370.00197512709912</c:v>
                </c:pt>
                <c:pt idx="50">
                  <c:v>370.00197512709912</c:v>
                </c:pt>
                <c:pt idx="51">
                  <c:v>523.26449507501752</c:v>
                </c:pt>
                <c:pt idx="52">
                  <c:v>440.01010976071973</c:v>
                </c:pt>
                <c:pt idx="53">
                  <c:v>293.66975814369101</c:v>
                </c:pt>
                <c:pt idx="54">
                  <c:v>329.63372180082422</c:v>
                </c:pt>
                <c:pt idx="55">
                  <c:v>293.66975814369101</c:v>
                </c:pt>
                <c:pt idx="56">
                  <c:v>293.66975814369101</c:v>
                </c:pt>
                <c:pt idx="57">
                  <c:v>261.62956379894968</c:v>
                </c:pt>
                <c:pt idx="58">
                  <c:v>233.08504452861115</c:v>
                </c:pt>
                <c:pt idx="59">
                  <c:v>207.65481237683719</c:v>
                </c:pt>
                <c:pt idx="60">
                  <c:v>184.99908988354849</c:v>
                </c:pt>
                <c:pt idx="61">
                  <c:v>164.8151702626221</c:v>
                </c:pt>
                <c:pt idx="62">
                  <c:v>146.83337288738056</c:v>
                </c:pt>
                <c:pt idx="63">
                  <c:v>146.83337288738056</c:v>
                </c:pt>
                <c:pt idx="64">
                  <c:v>138.5921304427338</c:v>
                </c:pt>
                <c:pt idx="65">
                  <c:v>130.81344004395982</c:v>
                </c:pt>
                <c:pt idx="66">
                  <c:v>123.4713402663609</c:v>
                </c:pt>
                <c:pt idx="67">
                  <c:v>110.00027071140791</c:v>
                </c:pt>
                <c:pt idx="68">
                  <c:v>97.998932630681253</c:v>
                </c:pt>
                <c:pt idx="69">
                  <c:v>87.306974197808145</c:v>
                </c:pt>
                <c:pt idx="70">
                  <c:v>82.406739821087044</c:v>
                </c:pt>
                <c:pt idx="71">
                  <c:v>73.415933359182759</c:v>
                </c:pt>
                <c:pt idx="72">
                  <c:v>87.306974197808145</c:v>
                </c:pt>
                <c:pt idx="73">
                  <c:v>97.998932630681253</c:v>
                </c:pt>
                <c:pt idx="74">
                  <c:v>130.81344004395982</c:v>
                </c:pt>
                <c:pt idx="75">
                  <c:v>220.00279814001337</c:v>
                </c:pt>
                <c:pt idx="76">
                  <c:v>440.01010976071973</c:v>
                </c:pt>
                <c:pt idx="77">
                  <c:v>587.34554108704231</c:v>
                </c:pt>
                <c:pt idx="78">
                  <c:v>523.26449507501752</c:v>
                </c:pt>
                <c:pt idx="79">
                  <c:v>261.62956379894968</c:v>
                </c:pt>
                <c:pt idx="80">
                  <c:v>174.61573954711864</c:v>
                </c:pt>
                <c:pt idx="81">
                  <c:v>164.8151702626221</c:v>
                </c:pt>
                <c:pt idx="82">
                  <c:v>246.94521361646048</c:v>
                </c:pt>
                <c:pt idx="83">
                  <c:v>110.00027071140791</c:v>
                </c:pt>
                <c:pt idx="84">
                  <c:v>146.83337288738056</c:v>
                </c:pt>
                <c:pt idx="85">
                  <c:v>195.99987576438383</c:v>
                </c:pt>
                <c:pt idx="86">
                  <c:v>293.66975814369101</c:v>
                </c:pt>
                <c:pt idx="87">
                  <c:v>293.66975814369101</c:v>
                </c:pt>
                <c:pt idx="88">
                  <c:v>246.94521361646048</c:v>
                </c:pt>
                <c:pt idx="89">
                  <c:v>220.00279814001337</c:v>
                </c:pt>
                <c:pt idx="90">
                  <c:v>146.83337288738056</c:v>
                </c:pt>
                <c:pt idx="91">
                  <c:v>146.83337288738056</c:v>
                </c:pt>
                <c:pt idx="92">
                  <c:v>130.81344004395982</c:v>
                </c:pt>
                <c:pt idx="93">
                  <c:v>116.54132680899107</c:v>
                </c:pt>
                <c:pt idx="94">
                  <c:v>174.61573954711864</c:v>
                </c:pt>
                <c:pt idx="95">
                  <c:v>233.08504452861115</c:v>
                </c:pt>
                <c:pt idx="96">
                  <c:v>349.23506143398839</c:v>
                </c:pt>
                <c:pt idx="97">
                  <c:v>349.23506143398839</c:v>
                </c:pt>
                <c:pt idx="98">
                  <c:v>349.23506143398839</c:v>
                </c:pt>
                <c:pt idx="99">
                  <c:v>349.23506143398839</c:v>
                </c:pt>
                <c:pt idx="100">
                  <c:v>349.23506143398839</c:v>
                </c:pt>
                <c:pt idx="101">
                  <c:v>370.00197512709912</c:v>
                </c:pt>
                <c:pt idx="102">
                  <c:v>370.00197512709912</c:v>
                </c:pt>
                <c:pt idx="103">
                  <c:v>523.26449507501752</c:v>
                </c:pt>
                <c:pt idx="104">
                  <c:v>440.01010976071973</c:v>
                </c:pt>
                <c:pt idx="105">
                  <c:v>293.66975814369101</c:v>
                </c:pt>
                <c:pt idx="106">
                  <c:v>329.63372180082422</c:v>
                </c:pt>
                <c:pt idx="107">
                  <c:v>293.66975814369101</c:v>
                </c:pt>
                <c:pt idx="108">
                  <c:v>293.66975814369101</c:v>
                </c:pt>
                <c:pt idx="109">
                  <c:v>261.62956379894968</c:v>
                </c:pt>
                <c:pt idx="110">
                  <c:v>233.08504452861115</c:v>
                </c:pt>
                <c:pt idx="111">
                  <c:v>207.65481237683719</c:v>
                </c:pt>
                <c:pt idx="112">
                  <c:v>184.99908988354849</c:v>
                </c:pt>
                <c:pt idx="113">
                  <c:v>164.8151702626221</c:v>
                </c:pt>
                <c:pt idx="114">
                  <c:v>146.83337288738056</c:v>
                </c:pt>
                <c:pt idx="115">
                  <c:v>146.83337288738056</c:v>
                </c:pt>
                <c:pt idx="116">
                  <c:v>138.5921304427338</c:v>
                </c:pt>
                <c:pt idx="117">
                  <c:v>130.81344004395982</c:v>
                </c:pt>
                <c:pt idx="118">
                  <c:v>123.4713402663609</c:v>
                </c:pt>
                <c:pt idx="119">
                  <c:v>110.00027071140791</c:v>
                </c:pt>
                <c:pt idx="120">
                  <c:v>97.998932630681253</c:v>
                </c:pt>
                <c:pt idx="121">
                  <c:v>87.306974197808145</c:v>
                </c:pt>
                <c:pt idx="122">
                  <c:v>82.406739821087044</c:v>
                </c:pt>
                <c:pt idx="123">
                  <c:v>73.415933359182759</c:v>
                </c:pt>
                <c:pt idx="124">
                  <c:v>87.306974197808145</c:v>
                </c:pt>
                <c:pt idx="125">
                  <c:v>97.998932630681253</c:v>
                </c:pt>
                <c:pt idx="126">
                  <c:v>130.81344004395982</c:v>
                </c:pt>
                <c:pt idx="127">
                  <c:v>220.00279814001337</c:v>
                </c:pt>
                <c:pt idx="128">
                  <c:v>440.01010976071973</c:v>
                </c:pt>
                <c:pt idx="129">
                  <c:v>587.34554108704231</c:v>
                </c:pt>
                <c:pt idx="130">
                  <c:v>523.26449507501752</c:v>
                </c:pt>
              </c:numCache>
            </c:numRef>
          </c:yVal>
          <c:smooth val="0"/>
        </c:ser>
        <c:ser>
          <c:idx val="3"/>
          <c:order val="3"/>
          <c:tx>
            <c:v>Left Hand Harmony</c:v>
          </c:tx>
          <c:spPr>
            <a:ln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Sheet2!$AB$307:$AB$437</c:f>
              <c:numCache>
                <c:formatCode>General</c:formatCode>
                <c:ptCount val="13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24.75</c:v>
                </c:pt>
                <c:pt idx="22">
                  <c:v>26.25</c:v>
                </c:pt>
                <c:pt idx="23">
                  <c:v>28</c:v>
                </c:pt>
                <c:pt idx="24">
                  <c:v>28.75</c:v>
                </c:pt>
                <c:pt idx="25">
                  <c:v>30</c:v>
                </c:pt>
                <c:pt idx="26">
                  <c:v>33.5</c:v>
                </c:pt>
                <c:pt idx="27">
                  <c:v>41.5</c:v>
                </c:pt>
                <c:pt idx="28">
                  <c:v>43.5</c:v>
                </c:pt>
                <c:pt idx="29">
                  <c:v>45.5</c:v>
                </c:pt>
                <c:pt idx="30">
                  <c:v>47</c:v>
                </c:pt>
                <c:pt idx="31">
                  <c:v>48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58</c:v>
                </c:pt>
                <c:pt idx="38">
                  <c:v>61.5</c:v>
                </c:pt>
                <c:pt idx="39">
                  <c:v>63</c:v>
                </c:pt>
                <c:pt idx="40">
                  <c:v>64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78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  <c:pt idx="73">
                  <c:v>100</c:v>
                </c:pt>
                <c:pt idx="74">
                  <c:v>100.75</c:v>
                </c:pt>
                <c:pt idx="75">
                  <c:v>102.25</c:v>
                </c:pt>
                <c:pt idx="76">
                  <c:v>104</c:v>
                </c:pt>
                <c:pt idx="77">
                  <c:v>104.75</c:v>
                </c:pt>
                <c:pt idx="78">
                  <c:v>106</c:v>
                </c:pt>
                <c:pt idx="79">
                  <c:v>108</c:v>
                </c:pt>
                <c:pt idx="80">
                  <c:v>110</c:v>
                </c:pt>
                <c:pt idx="81">
                  <c:v>112</c:v>
                </c:pt>
                <c:pt idx="82">
                  <c:v>113.5</c:v>
                </c:pt>
                <c:pt idx="83">
                  <c:v>115.5</c:v>
                </c:pt>
                <c:pt idx="84">
                  <c:v>116.5</c:v>
                </c:pt>
                <c:pt idx="85">
                  <c:v>117.5</c:v>
                </c:pt>
                <c:pt idx="86">
                  <c:v>118.5</c:v>
                </c:pt>
                <c:pt idx="87">
                  <c:v>119.5</c:v>
                </c:pt>
                <c:pt idx="88">
                  <c:v>123.5</c:v>
                </c:pt>
                <c:pt idx="89">
                  <c:v>125.5</c:v>
                </c:pt>
                <c:pt idx="90">
                  <c:v>127.5</c:v>
                </c:pt>
                <c:pt idx="91">
                  <c:v>129</c:v>
                </c:pt>
                <c:pt idx="92">
                  <c:v>130</c:v>
                </c:pt>
                <c:pt idx="93">
                  <c:v>132</c:v>
                </c:pt>
                <c:pt idx="94">
                  <c:v>133</c:v>
                </c:pt>
                <c:pt idx="95">
                  <c:v>134</c:v>
                </c:pt>
                <c:pt idx="96">
                  <c:v>135</c:v>
                </c:pt>
                <c:pt idx="97">
                  <c:v>136</c:v>
                </c:pt>
                <c:pt idx="98">
                  <c:v>137</c:v>
                </c:pt>
                <c:pt idx="99">
                  <c:v>138</c:v>
                </c:pt>
                <c:pt idx="100">
                  <c:v>139</c:v>
                </c:pt>
                <c:pt idx="101">
                  <c:v>140</c:v>
                </c:pt>
                <c:pt idx="102">
                  <c:v>141</c:v>
                </c:pt>
                <c:pt idx="103">
                  <c:v>142</c:v>
                </c:pt>
                <c:pt idx="104">
                  <c:v>144</c:v>
                </c:pt>
                <c:pt idx="105">
                  <c:v>146</c:v>
                </c:pt>
                <c:pt idx="106">
                  <c:v>147</c:v>
                </c:pt>
                <c:pt idx="107">
                  <c:v>148</c:v>
                </c:pt>
                <c:pt idx="108">
                  <c:v>149</c:v>
                </c:pt>
                <c:pt idx="109">
                  <c:v>150</c:v>
                </c:pt>
                <c:pt idx="110">
                  <c:v>151</c:v>
                </c:pt>
                <c:pt idx="111">
                  <c:v>152</c:v>
                </c:pt>
                <c:pt idx="112">
                  <c:v>153</c:v>
                </c:pt>
                <c:pt idx="113">
                  <c:v>154</c:v>
                </c:pt>
                <c:pt idx="114">
                  <c:v>155</c:v>
                </c:pt>
                <c:pt idx="115">
                  <c:v>156</c:v>
                </c:pt>
                <c:pt idx="116">
                  <c:v>157</c:v>
                </c:pt>
                <c:pt idx="117">
                  <c:v>158</c:v>
                </c:pt>
                <c:pt idx="118">
                  <c:v>159</c:v>
                </c:pt>
                <c:pt idx="119">
                  <c:v>160</c:v>
                </c:pt>
                <c:pt idx="120">
                  <c:v>161</c:v>
                </c:pt>
                <c:pt idx="121">
                  <c:v>162</c:v>
                </c:pt>
                <c:pt idx="122">
                  <c:v>163</c:v>
                </c:pt>
                <c:pt idx="123">
                  <c:v>164</c:v>
                </c:pt>
                <c:pt idx="124">
                  <c:v>165</c:v>
                </c:pt>
                <c:pt idx="125">
                  <c:v>166</c:v>
                </c:pt>
                <c:pt idx="126">
                  <c:v>166.75</c:v>
                </c:pt>
                <c:pt idx="127">
                  <c:v>168.25</c:v>
                </c:pt>
                <c:pt idx="128">
                  <c:v>170</c:v>
                </c:pt>
                <c:pt idx="129">
                  <c:v>170.75</c:v>
                </c:pt>
                <c:pt idx="130">
                  <c:v>172</c:v>
                </c:pt>
              </c:numCache>
            </c:numRef>
          </c:xVal>
          <c:yVal>
            <c:numRef>
              <c:f>Sheet2!$AK$307:$AK$437</c:f>
              <c:numCache>
                <c:formatCode>General</c:formatCode>
                <c:ptCount val="131"/>
                <c:pt idx="0">
                  <c:v>349.23506143398839</c:v>
                </c:pt>
                <c:pt idx="1">
                  <c:v>392.00377257605692</c:v>
                </c:pt>
                <c:pt idx="2">
                  <c:v>349.23506143398839</c:v>
                </c:pt>
                <c:pt idx="3">
                  <c:v>349.23506143398839</c:v>
                </c:pt>
                <c:pt idx="4">
                  <c:v>311.13253664194741</c:v>
                </c:pt>
                <c:pt idx="5">
                  <c:v>277.18710418069043</c:v>
                </c:pt>
                <c:pt idx="6">
                  <c:v>246.94521361646048</c:v>
                </c:pt>
                <c:pt idx="7">
                  <c:v>220.00279814001337</c:v>
                </c:pt>
                <c:pt idx="8">
                  <c:v>195.99987576438383</c:v>
                </c:pt>
                <c:pt idx="9">
                  <c:v>174.61573954711864</c:v>
                </c:pt>
                <c:pt idx="10">
                  <c:v>174.61573954711864</c:v>
                </c:pt>
                <c:pt idx="11">
                  <c:v>174.61573954711864</c:v>
                </c:pt>
                <c:pt idx="25">
                  <c:v>659.27420622217721</c:v>
                </c:pt>
                <c:pt idx="53">
                  <c:v>349.23506143398839</c:v>
                </c:pt>
                <c:pt idx="54">
                  <c:v>392.00377257605692</c:v>
                </c:pt>
                <c:pt idx="55">
                  <c:v>349.23506143398839</c:v>
                </c:pt>
                <c:pt idx="56">
                  <c:v>349.23506143398839</c:v>
                </c:pt>
                <c:pt idx="57">
                  <c:v>311.13253664194741</c:v>
                </c:pt>
                <c:pt idx="58">
                  <c:v>277.18710418069043</c:v>
                </c:pt>
                <c:pt idx="59">
                  <c:v>246.94521361646048</c:v>
                </c:pt>
                <c:pt idx="60">
                  <c:v>220.00279814001337</c:v>
                </c:pt>
                <c:pt idx="61">
                  <c:v>195.99987576438383</c:v>
                </c:pt>
                <c:pt idx="62">
                  <c:v>174.61573954711864</c:v>
                </c:pt>
                <c:pt idx="63">
                  <c:v>174.61573954711864</c:v>
                </c:pt>
                <c:pt idx="64">
                  <c:v>174.61573954711864</c:v>
                </c:pt>
                <c:pt idx="105">
                  <c:v>349.23506143398839</c:v>
                </c:pt>
                <c:pt idx="106">
                  <c:v>392.00377257605692</c:v>
                </c:pt>
                <c:pt idx="107">
                  <c:v>349.23506143398839</c:v>
                </c:pt>
                <c:pt idx="108">
                  <c:v>349.23506143398839</c:v>
                </c:pt>
                <c:pt idx="109">
                  <c:v>311.13253664194741</c:v>
                </c:pt>
                <c:pt idx="110">
                  <c:v>277.18710418069043</c:v>
                </c:pt>
                <c:pt idx="111">
                  <c:v>246.94521361646048</c:v>
                </c:pt>
                <c:pt idx="112">
                  <c:v>220.00279814001337</c:v>
                </c:pt>
                <c:pt idx="113">
                  <c:v>195.99987576438383</c:v>
                </c:pt>
                <c:pt idx="114">
                  <c:v>174.61573954711864</c:v>
                </c:pt>
                <c:pt idx="115">
                  <c:v>174.61573954711864</c:v>
                </c:pt>
                <c:pt idx="116">
                  <c:v>174.61573954711864</c:v>
                </c:pt>
                <c:pt idx="130">
                  <c:v>659.27420622217721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88928"/>
        <c:axId val="112389504"/>
      </c:scatterChart>
      <c:valAx>
        <c:axId val="11238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89504"/>
        <c:crosses val="autoZero"/>
        <c:crossBetween val="midCat"/>
      </c:valAx>
      <c:valAx>
        <c:axId val="112389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88928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 Written Notes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Sheet2!$R$4:$R$303</c:f>
              <c:numCache>
                <c:formatCode>General</c:formatCode>
                <c:ptCount val="300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2.25</c:v>
                </c:pt>
                <c:pt idx="7">
                  <c:v>2.75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4.25</c:v>
                </c:pt>
                <c:pt idx="12">
                  <c:v>4.75</c:v>
                </c:pt>
                <c:pt idx="13">
                  <c:v>5</c:v>
                </c:pt>
                <c:pt idx="14">
                  <c:v>5.5</c:v>
                </c:pt>
                <c:pt idx="15">
                  <c:v>5.75</c:v>
                </c:pt>
                <c:pt idx="16">
                  <c:v>6</c:v>
                </c:pt>
                <c:pt idx="17">
                  <c:v>8</c:v>
                </c:pt>
                <c:pt idx="18">
                  <c:v>8.25</c:v>
                </c:pt>
                <c:pt idx="19">
                  <c:v>8.75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10.25</c:v>
                </c:pt>
                <c:pt idx="24">
                  <c:v>10.75</c:v>
                </c:pt>
                <c:pt idx="25">
                  <c:v>11</c:v>
                </c:pt>
                <c:pt idx="26">
                  <c:v>12</c:v>
                </c:pt>
                <c:pt idx="27">
                  <c:v>12.25</c:v>
                </c:pt>
                <c:pt idx="28">
                  <c:v>12.75</c:v>
                </c:pt>
                <c:pt idx="29">
                  <c:v>13</c:v>
                </c:pt>
                <c:pt idx="30">
                  <c:v>13.5</c:v>
                </c:pt>
                <c:pt idx="31">
                  <c:v>13.75</c:v>
                </c:pt>
                <c:pt idx="32">
                  <c:v>14</c:v>
                </c:pt>
                <c:pt idx="33">
                  <c:v>16</c:v>
                </c:pt>
                <c:pt idx="34">
                  <c:v>16.25</c:v>
                </c:pt>
                <c:pt idx="35">
                  <c:v>16.75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18.25</c:v>
                </c:pt>
                <c:pt idx="40">
                  <c:v>18.75</c:v>
                </c:pt>
                <c:pt idx="41">
                  <c:v>19</c:v>
                </c:pt>
                <c:pt idx="42">
                  <c:v>19.5</c:v>
                </c:pt>
                <c:pt idx="43">
                  <c:v>20</c:v>
                </c:pt>
                <c:pt idx="44">
                  <c:v>20.25</c:v>
                </c:pt>
                <c:pt idx="45">
                  <c:v>20.75</c:v>
                </c:pt>
                <c:pt idx="46">
                  <c:v>21</c:v>
                </c:pt>
                <c:pt idx="47">
                  <c:v>21.5</c:v>
                </c:pt>
                <c:pt idx="48">
                  <c:v>21.75</c:v>
                </c:pt>
                <c:pt idx="49">
                  <c:v>22</c:v>
                </c:pt>
                <c:pt idx="50">
                  <c:v>25</c:v>
                </c:pt>
                <c:pt idx="51">
                  <c:v>25.5</c:v>
                </c:pt>
                <c:pt idx="52">
                  <c:v>27</c:v>
                </c:pt>
                <c:pt idx="53">
                  <c:v>27.5</c:v>
                </c:pt>
                <c:pt idx="54">
                  <c:v>27.75</c:v>
                </c:pt>
                <c:pt idx="55">
                  <c:v>29</c:v>
                </c:pt>
                <c:pt idx="56">
                  <c:v>29.5</c:v>
                </c:pt>
                <c:pt idx="57">
                  <c:v>29.75</c:v>
                </c:pt>
                <c:pt idx="58">
                  <c:v>30</c:v>
                </c:pt>
                <c:pt idx="59">
                  <c:v>32</c:v>
                </c:pt>
                <c:pt idx="60">
                  <c:v>34</c:v>
                </c:pt>
                <c:pt idx="61">
                  <c:v>36</c:v>
                </c:pt>
                <c:pt idx="62">
                  <c:v>37.5</c:v>
                </c:pt>
                <c:pt idx="63">
                  <c:v>38</c:v>
                </c:pt>
                <c:pt idx="64">
                  <c:v>41.5</c:v>
                </c:pt>
                <c:pt idx="65">
                  <c:v>42</c:v>
                </c:pt>
                <c:pt idx="66">
                  <c:v>42.5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45.5</c:v>
                </c:pt>
                <c:pt idx="71">
                  <c:v>46</c:v>
                </c:pt>
                <c:pt idx="72">
                  <c:v>46.5</c:v>
                </c:pt>
                <c:pt idx="73">
                  <c:v>47</c:v>
                </c:pt>
                <c:pt idx="74">
                  <c:v>47.5</c:v>
                </c:pt>
                <c:pt idx="75">
                  <c:v>48</c:v>
                </c:pt>
                <c:pt idx="76">
                  <c:v>48.5</c:v>
                </c:pt>
                <c:pt idx="77">
                  <c:v>49.5</c:v>
                </c:pt>
                <c:pt idx="78">
                  <c:v>50</c:v>
                </c:pt>
                <c:pt idx="79">
                  <c:v>50.5</c:v>
                </c:pt>
                <c:pt idx="80">
                  <c:v>51</c:v>
                </c:pt>
                <c:pt idx="81">
                  <c:v>51.5</c:v>
                </c:pt>
                <c:pt idx="82">
                  <c:v>52</c:v>
                </c:pt>
                <c:pt idx="83">
                  <c:v>52.5</c:v>
                </c:pt>
                <c:pt idx="84">
                  <c:v>53</c:v>
                </c:pt>
                <c:pt idx="85">
                  <c:v>53.5</c:v>
                </c:pt>
                <c:pt idx="86">
                  <c:v>54</c:v>
                </c:pt>
                <c:pt idx="87">
                  <c:v>54.5</c:v>
                </c:pt>
                <c:pt idx="88">
                  <c:v>55.5</c:v>
                </c:pt>
                <c:pt idx="89">
                  <c:v>56.5</c:v>
                </c:pt>
                <c:pt idx="90">
                  <c:v>57.5</c:v>
                </c:pt>
                <c:pt idx="91">
                  <c:v>58</c:v>
                </c:pt>
                <c:pt idx="92">
                  <c:v>58.5</c:v>
                </c:pt>
                <c:pt idx="93">
                  <c:v>59.5</c:v>
                </c:pt>
                <c:pt idx="94">
                  <c:v>60</c:v>
                </c:pt>
                <c:pt idx="95">
                  <c:v>60.5</c:v>
                </c:pt>
                <c:pt idx="96">
                  <c:v>61.5</c:v>
                </c:pt>
                <c:pt idx="97">
                  <c:v>62</c:v>
                </c:pt>
                <c:pt idx="98">
                  <c:v>62.5</c:v>
                </c:pt>
                <c:pt idx="99">
                  <c:v>63</c:v>
                </c:pt>
                <c:pt idx="100">
                  <c:v>63.5</c:v>
                </c:pt>
                <c:pt idx="101">
                  <c:v>64</c:v>
                </c:pt>
                <c:pt idx="102">
                  <c:v>64.5</c:v>
                </c:pt>
                <c:pt idx="103">
                  <c:v>65.5</c:v>
                </c:pt>
                <c:pt idx="104">
                  <c:v>66</c:v>
                </c:pt>
                <c:pt idx="105">
                  <c:v>66.5</c:v>
                </c:pt>
                <c:pt idx="106">
                  <c:v>67</c:v>
                </c:pt>
                <c:pt idx="107">
                  <c:v>67.5</c:v>
                </c:pt>
                <c:pt idx="108">
                  <c:v>68</c:v>
                </c:pt>
                <c:pt idx="109">
                  <c:v>68.5</c:v>
                </c:pt>
                <c:pt idx="110">
                  <c:v>69</c:v>
                </c:pt>
                <c:pt idx="111">
                  <c:v>69.5</c:v>
                </c:pt>
                <c:pt idx="112">
                  <c:v>70</c:v>
                </c:pt>
                <c:pt idx="113">
                  <c:v>70.5</c:v>
                </c:pt>
                <c:pt idx="114">
                  <c:v>71</c:v>
                </c:pt>
                <c:pt idx="115">
                  <c:v>71.5</c:v>
                </c:pt>
                <c:pt idx="116">
                  <c:v>72</c:v>
                </c:pt>
                <c:pt idx="117">
                  <c:v>72.5</c:v>
                </c:pt>
                <c:pt idx="118">
                  <c:v>73</c:v>
                </c:pt>
                <c:pt idx="119">
                  <c:v>73.5</c:v>
                </c:pt>
                <c:pt idx="120">
                  <c:v>74</c:v>
                </c:pt>
                <c:pt idx="121">
                  <c:v>74.5</c:v>
                </c:pt>
                <c:pt idx="122">
                  <c:v>75</c:v>
                </c:pt>
                <c:pt idx="123">
                  <c:v>76</c:v>
                </c:pt>
                <c:pt idx="124">
                  <c:v>76.25</c:v>
                </c:pt>
                <c:pt idx="125">
                  <c:v>76.75</c:v>
                </c:pt>
                <c:pt idx="126">
                  <c:v>77</c:v>
                </c:pt>
                <c:pt idx="127">
                  <c:v>77.5</c:v>
                </c:pt>
                <c:pt idx="128">
                  <c:v>78</c:v>
                </c:pt>
                <c:pt idx="129">
                  <c:v>78.25</c:v>
                </c:pt>
                <c:pt idx="130">
                  <c:v>78.75</c:v>
                </c:pt>
                <c:pt idx="131">
                  <c:v>79</c:v>
                </c:pt>
                <c:pt idx="132">
                  <c:v>79.5</c:v>
                </c:pt>
                <c:pt idx="133">
                  <c:v>80</c:v>
                </c:pt>
                <c:pt idx="134">
                  <c:v>80.25</c:v>
                </c:pt>
                <c:pt idx="135">
                  <c:v>80.75</c:v>
                </c:pt>
                <c:pt idx="136">
                  <c:v>81</c:v>
                </c:pt>
                <c:pt idx="137">
                  <c:v>81.5</c:v>
                </c:pt>
                <c:pt idx="138">
                  <c:v>81.75</c:v>
                </c:pt>
                <c:pt idx="139">
                  <c:v>82</c:v>
                </c:pt>
                <c:pt idx="140">
                  <c:v>84</c:v>
                </c:pt>
                <c:pt idx="141">
                  <c:v>84.25</c:v>
                </c:pt>
                <c:pt idx="142">
                  <c:v>84.75</c:v>
                </c:pt>
                <c:pt idx="143">
                  <c:v>85</c:v>
                </c:pt>
                <c:pt idx="144">
                  <c:v>85.5</c:v>
                </c:pt>
                <c:pt idx="145">
                  <c:v>86</c:v>
                </c:pt>
                <c:pt idx="146">
                  <c:v>86.25</c:v>
                </c:pt>
                <c:pt idx="147">
                  <c:v>86.75</c:v>
                </c:pt>
                <c:pt idx="148">
                  <c:v>87</c:v>
                </c:pt>
                <c:pt idx="149">
                  <c:v>88</c:v>
                </c:pt>
                <c:pt idx="150">
                  <c:v>88.25</c:v>
                </c:pt>
                <c:pt idx="151">
                  <c:v>88.75</c:v>
                </c:pt>
                <c:pt idx="152">
                  <c:v>89</c:v>
                </c:pt>
                <c:pt idx="153">
                  <c:v>89.5</c:v>
                </c:pt>
                <c:pt idx="154">
                  <c:v>89.75</c:v>
                </c:pt>
                <c:pt idx="155">
                  <c:v>90</c:v>
                </c:pt>
                <c:pt idx="156">
                  <c:v>92</c:v>
                </c:pt>
                <c:pt idx="157">
                  <c:v>92.25</c:v>
                </c:pt>
                <c:pt idx="158">
                  <c:v>92.75</c:v>
                </c:pt>
                <c:pt idx="159">
                  <c:v>93</c:v>
                </c:pt>
                <c:pt idx="160">
                  <c:v>93.5</c:v>
                </c:pt>
                <c:pt idx="161">
                  <c:v>94</c:v>
                </c:pt>
                <c:pt idx="162">
                  <c:v>94.25</c:v>
                </c:pt>
                <c:pt idx="163">
                  <c:v>94.75</c:v>
                </c:pt>
                <c:pt idx="164">
                  <c:v>95</c:v>
                </c:pt>
                <c:pt idx="165">
                  <c:v>95.5</c:v>
                </c:pt>
                <c:pt idx="166">
                  <c:v>96</c:v>
                </c:pt>
                <c:pt idx="167">
                  <c:v>96.25</c:v>
                </c:pt>
                <c:pt idx="168">
                  <c:v>96.75</c:v>
                </c:pt>
                <c:pt idx="169">
                  <c:v>97</c:v>
                </c:pt>
                <c:pt idx="170">
                  <c:v>97.5</c:v>
                </c:pt>
                <c:pt idx="171">
                  <c:v>97.75</c:v>
                </c:pt>
                <c:pt idx="172">
                  <c:v>98</c:v>
                </c:pt>
                <c:pt idx="173">
                  <c:v>101</c:v>
                </c:pt>
                <c:pt idx="174">
                  <c:v>101.5</c:v>
                </c:pt>
                <c:pt idx="175">
                  <c:v>103</c:v>
                </c:pt>
                <c:pt idx="176">
                  <c:v>103.5</c:v>
                </c:pt>
                <c:pt idx="177">
                  <c:v>103.75</c:v>
                </c:pt>
                <c:pt idx="178">
                  <c:v>105</c:v>
                </c:pt>
                <c:pt idx="179">
                  <c:v>105.5</c:v>
                </c:pt>
                <c:pt idx="180">
                  <c:v>105.75</c:v>
                </c:pt>
                <c:pt idx="181">
                  <c:v>106</c:v>
                </c:pt>
                <c:pt idx="182">
                  <c:v>107.5</c:v>
                </c:pt>
                <c:pt idx="183">
                  <c:v>108</c:v>
                </c:pt>
                <c:pt idx="184">
                  <c:v>108.5</c:v>
                </c:pt>
                <c:pt idx="185">
                  <c:v>109.5</c:v>
                </c:pt>
                <c:pt idx="186">
                  <c:v>110</c:v>
                </c:pt>
                <c:pt idx="187">
                  <c:v>110.5</c:v>
                </c:pt>
                <c:pt idx="188">
                  <c:v>111.5</c:v>
                </c:pt>
                <c:pt idx="189">
                  <c:v>112</c:v>
                </c:pt>
                <c:pt idx="190">
                  <c:v>112.5</c:v>
                </c:pt>
                <c:pt idx="191">
                  <c:v>113</c:v>
                </c:pt>
                <c:pt idx="192">
                  <c:v>113.5</c:v>
                </c:pt>
                <c:pt idx="193">
                  <c:v>114</c:v>
                </c:pt>
                <c:pt idx="194">
                  <c:v>114.5</c:v>
                </c:pt>
                <c:pt idx="195">
                  <c:v>115.5</c:v>
                </c:pt>
                <c:pt idx="196">
                  <c:v>116</c:v>
                </c:pt>
                <c:pt idx="197">
                  <c:v>116.5</c:v>
                </c:pt>
                <c:pt idx="198">
                  <c:v>117</c:v>
                </c:pt>
                <c:pt idx="199">
                  <c:v>117.5</c:v>
                </c:pt>
                <c:pt idx="200">
                  <c:v>118</c:v>
                </c:pt>
                <c:pt idx="201">
                  <c:v>118.5</c:v>
                </c:pt>
                <c:pt idx="202">
                  <c:v>119</c:v>
                </c:pt>
                <c:pt idx="203">
                  <c:v>119.5</c:v>
                </c:pt>
                <c:pt idx="204">
                  <c:v>120</c:v>
                </c:pt>
                <c:pt idx="205">
                  <c:v>120.5</c:v>
                </c:pt>
                <c:pt idx="206">
                  <c:v>121.5</c:v>
                </c:pt>
                <c:pt idx="207">
                  <c:v>122.5</c:v>
                </c:pt>
                <c:pt idx="208">
                  <c:v>123.5</c:v>
                </c:pt>
                <c:pt idx="209">
                  <c:v>124</c:v>
                </c:pt>
                <c:pt idx="210">
                  <c:v>124.5</c:v>
                </c:pt>
                <c:pt idx="211">
                  <c:v>125.5</c:v>
                </c:pt>
                <c:pt idx="212">
                  <c:v>126</c:v>
                </c:pt>
                <c:pt idx="213">
                  <c:v>126.5</c:v>
                </c:pt>
                <c:pt idx="214">
                  <c:v>127.5</c:v>
                </c:pt>
                <c:pt idx="215">
                  <c:v>128</c:v>
                </c:pt>
                <c:pt idx="216">
                  <c:v>128.5</c:v>
                </c:pt>
                <c:pt idx="217">
                  <c:v>129</c:v>
                </c:pt>
                <c:pt idx="218">
                  <c:v>129.5</c:v>
                </c:pt>
                <c:pt idx="219">
                  <c:v>130</c:v>
                </c:pt>
                <c:pt idx="220">
                  <c:v>130.5</c:v>
                </c:pt>
                <c:pt idx="221">
                  <c:v>131.5</c:v>
                </c:pt>
                <c:pt idx="222">
                  <c:v>132</c:v>
                </c:pt>
                <c:pt idx="223">
                  <c:v>132.5</c:v>
                </c:pt>
                <c:pt idx="224">
                  <c:v>133</c:v>
                </c:pt>
                <c:pt idx="225">
                  <c:v>133.5</c:v>
                </c:pt>
                <c:pt idx="226">
                  <c:v>134</c:v>
                </c:pt>
                <c:pt idx="227">
                  <c:v>134.5</c:v>
                </c:pt>
                <c:pt idx="228">
                  <c:v>135</c:v>
                </c:pt>
                <c:pt idx="229">
                  <c:v>135.5</c:v>
                </c:pt>
                <c:pt idx="230">
                  <c:v>136</c:v>
                </c:pt>
                <c:pt idx="231">
                  <c:v>136.5</c:v>
                </c:pt>
                <c:pt idx="232">
                  <c:v>137</c:v>
                </c:pt>
                <c:pt idx="233">
                  <c:v>137.5</c:v>
                </c:pt>
                <c:pt idx="234">
                  <c:v>138</c:v>
                </c:pt>
                <c:pt idx="235">
                  <c:v>138.5</c:v>
                </c:pt>
                <c:pt idx="236">
                  <c:v>139</c:v>
                </c:pt>
                <c:pt idx="237">
                  <c:v>139.5</c:v>
                </c:pt>
                <c:pt idx="238">
                  <c:v>140</c:v>
                </c:pt>
                <c:pt idx="239">
                  <c:v>140.5</c:v>
                </c:pt>
                <c:pt idx="240">
                  <c:v>141</c:v>
                </c:pt>
                <c:pt idx="241">
                  <c:v>142</c:v>
                </c:pt>
                <c:pt idx="242">
                  <c:v>142.25</c:v>
                </c:pt>
                <c:pt idx="243">
                  <c:v>142.75</c:v>
                </c:pt>
                <c:pt idx="244">
                  <c:v>143</c:v>
                </c:pt>
                <c:pt idx="245">
                  <c:v>143.5</c:v>
                </c:pt>
                <c:pt idx="246">
                  <c:v>144</c:v>
                </c:pt>
                <c:pt idx="247">
                  <c:v>144.25</c:v>
                </c:pt>
                <c:pt idx="248">
                  <c:v>144.75</c:v>
                </c:pt>
                <c:pt idx="249">
                  <c:v>145</c:v>
                </c:pt>
                <c:pt idx="250">
                  <c:v>145.5</c:v>
                </c:pt>
                <c:pt idx="251">
                  <c:v>146</c:v>
                </c:pt>
                <c:pt idx="252">
                  <c:v>146.25</c:v>
                </c:pt>
                <c:pt idx="253">
                  <c:v>146.75</c:v>
                </c:pt>
                <c:pt idx="254">
                  <c:v>147</c:v>
                </c:pt>
                <c:pt idx="255">
                  <c:v>147.5</c:v>
                </c:pt>
                <c:pt idx="256">
                  <c:v>147.75</c:v>
                </c:pt>
                <c:pt idx="257">
                  <c:v>148</c:v>
                </c:pt>
                <c:pt idx="258">
                  <c:v>150</c:v>
                </c:pt>
                <c:pt idx="259">
                  <c:v>150.25</c:v>
                </c:pt>
                <c:pt idx="260">
                  <c:v>150.75</c:v>
                </c:pt>
                <c:pt idx="261">
                  <c:v>151</c:v>
                </c:pt>
                <c:pt idx="262">
                  <c:v>151.5</c:v>
                </c:pt>
                <c:pt idx="263">
                  <c:v>152</c:v>
                </c:pt>
                <c:pt idx="264">
                  <c:v>152.25</c:v>
                </c:pt>
                <c:pt idx="265">
                  <c:v>152.75</c:v>
                </c:pt>
                <c:pt idx="266">
                  <c:v>153</c:v>
                </c:pt>
                <c:pt idx="267">
                  <c:v>154</c:v>
                </c:pt>
                <c:pt idx="268">
                  <c:v>154.25</c:v>
                </c:pt>
                <c:pt idx="269">
                  <c:v>154.75</c:v>
                </c:pt>
                <c:pt idx="270">
                  <c:v>155</c:v>
                </c:pt>
                <c:pt idx="271">
                  <c:v>155.5</c:v>
                </c:pt>
                <c:pt idx="272">
                  <c:v>155.75</c:v>
                </c:pt>
                <c:pt idx="273">
                  <c:v>156</c:v>
                </c:pt>
                <c:pt idx="274">
                  <c:v>158</c:v>
                </c:pt>
                <c:pt idx="275">
                  <c:v>158.25</c:v>
                </c:pt>
                <c:pt idx="276">
                  <c:v>158.75</c:v>
                </c:pt>
                <c:pt idx="277">
                  <c:v>159</c:v>
                </c:pt>
                <c:pt idx="278">
                  <c:v>159.5</c:v>
                </c:pt>
                <c:pt idx="279">
                  <c:v>160</c:v>
                </c:pt>
                <c:pt idx="280">
                  <c:v>160.25</c:v>
                </c:pt>
                <c:pt idx="281">
                  <c:v>160.75</c:v>
                </c:pt>
                <c:pt idx="282">
                  <c:v>161.5</c:v>
                </c:pt>
                <c:pt idx="283">
                  <c:v>162</c:v>
                </c:pt>
                <c:pt idx="284">
                  <c:v>162.25</c:v>
                </c:pt>
                <c:pt idx="285">
                  <c:v>162.75</c:v>
                </c:pt>
                <c:pt idx="286">
                  <c:v>163</c:v>
                </c:pt>
                <c:pt idx="287">
                  <c:v>163.5</c:v>
                </c:pt>
                <c:pt idx="288">
                  <c:v>163.75</c:v>
                </c:pt>
                <c:pt idx="289">
                  <c:v>164</c:v>
                </c:pt>
                <c:pt idx="290">
                  <c:v>167</c:v>
                </c:pt>
                <c:pt idx="291">
                  <c:v>167.5</c:v>
                </c:pt>
                <c:pt idx="292">
                  <c:v>169</c:v>
                </c:pt>
                <c:pt idx="293">
                  <c:v>169.5</c:v>
                </c:pt>
                <c:pt idx="294">
                  <c:v>169.75</c:v>
                </c:pt>
                <c:pt idx="295">
                  <c:v>171</c:v>
                </c:pt>
                <c:pt idx="296">
                  <c:v>171.5</c:v>
                </c:pt>
                <c:pt idx="297">
                  <c:v>171.75</c:v>
                </c:pt>
                <c:pt idx="298">
                  <c:v>172</c:v>
                </c:pt>
                <c:pt idx="299">
                  <c:v>173</c:v>
                </c:pt>
              </c:numCache>
            </c:numRef>
          </c:xVal>
          <c:yVal>
            <c:numRef>
              <c:f>Sheet2!$U$4:$U$303</c:f>
              <c:numCache>
                <c:formatCode>General</c:formatCode>
                <c:ptCount val="300"/>
                <c:pt idx="0">
                  <c:v>659.27420622217721</c:v>
                </c:pt>
                <c:pt idx="1">
                  <c:v>784.01558732918636</c:v>
                </c:pt>
                <c:pt idx="2">
                  <c:v>659.27420622217721</c:v>
                </c:pt>
                <c:pt idx="3">
                  <c:v>784.01558732918636</c:v>
                </c:pt>
                <c:pt idx="4">
                  <c:v>659.27420622217721</c:v>
                </c:pt>
                <c:pt idx="5">
                  <c:v>523.26449507501752</c:v>
                </c:pt>
                <c:pt idx="6">
                  <c:v>659.27420622217721</c:v>
                </c:pt>
                <c:pt idx="7">
                  <c:v>523.26449507501752</c:v>
                </c:pt>
                <c:pt idx="8">
                  <c:v>659.27420622217721</c:v>
                </c:pt>
                <c:pt idx="9">
                  <c:v>523.26449507501752</c:v>
                </c:pt>
                <c:pt idx="10">
                  <c:v>440.01010976071973</c:v>
                </c:pt>
                <c:pt idx="11">
                  <c:v>523.26449507501752</c:v>
                </c:pt>
                <c:pt idx="12">
                  <c:v>440.01010976071973</c:v>
                </c:pt>
                <c:pt idx="13">
                  <c:v>523.26449507501752</c:v>
                </c:pt>
                <c:pt idx="14">
                  <c:v>440.01010976071973</c:v>
                </c:pt>
                <c:pt idx="15">
                  <c:v>523.26449507501752</c:v>
                </c:pt>
                <c:pt idx="16">
                  <c:v>440.01010976071973</c:v>
                </c:pt>
                <c:pt idx="17">
                  <c:v>392.00377257605692</c:v>
                </c:pt>
                <c:pt idx="18">
                  <c:v>440.01010976071973</c:v>
                </c:pt>
                <c:pt idx="19">
                  <c:v>392.00377257605692</c:v>
                </c:pt>
                <c:pt idx="20">
                  <c:v>329.63372180082422</c:v>
                </c:pt>
                <c:pt idx="21">
                  <c:v>392.00377257605692</c:v>
                </c:pt>
                <c:pt idx="22">
                  <c:v>329.63372180082422</c:v>
                </c:pt>
                <c:pt idx="23">
                  <c:v>349.23506143398839</c:v>
                </c:pt>
                <c:pt idx="24">
                  <c:v>329.63372180082422</c:v>
                </c:pt>
                <c:pt idx="25">
                  <c:v>261.62956379894968</c:v>
                </c:pt>
                <c:pt idx="26">
                  <c:v>261.62956379894968</c:v>
                </c:pt>
                <c:pt idx="27">
                  <c:v>293.66975814369101</c:v>
                </c:pt>
                <c:pt idx="28">
                  <c:v>261.62956379894968</c:v>
                </c:pt>
                <c:pt idx="29">
                  <c:v>195.99987576438383</c:v>
                </c:pt>
                <c:pt idx="30">
                  <c:v>195.99987576438383</c:v>
                </c:pt>
                <c:pt idx="31">
                  <c:v>246.94521361646048</c:v>
                </c:pt>
                <c:pt idx="32">
                  <c:v>195.99987576438383</c:v>
                </c:pt>
                <c:pt idx="33">
                  <c:v>164.8151702626221</c:v>
                </c:pt>
                <c:pt idx="34">
                  <c:v>195.99987576438383</c:v>
                </c:pt>
                <c:pt idx="35">
                  <c:v>164.8151702626221</c:v>
                </c:pt>
                <c:pt idx="36">
                  <c:v>195.99987576438383</c:v>
                </c:pt>
                <c:pt idx="37">
                  <c:v>164.8151702626221</c:v>
                </c:pt>
                <c:pt idx="38">
                  <c:v>130.81344004395982</c:v>
                </c:pt>
                <c:pt idx="39">
                  <c:v>164.8151702626221</c:v>
                </c:pt>
                <c:pt idx="40">
                  <c:v>130.81344004395982</c:v>
                </c:pt>
                <c:pt idx="41">
                  <c:v>164.8151702626221</c:v>
                </c:pt>
                <c:pt idx="42">
                  <c:v>130.81344004395982</c:v>
                </c:pt>
                <c:pt idx="43">
                  <c:v>110.00027071140791</c:v>
                </c:pt>
                <c:pt idx="44">
                  <c:v>130.81344004395982</c:v>
                </c:pt>
                <c:pt idx="45">
                  <c:v>110.00027071140791</c:v>
                </c:pt>
                <c:pt idx="46">
                  <c:v>130.81344004395982</c:v>
                </c:pt>
                <c:pt idx="47">
                  <c:v>110.00027071140791</c:v>
                </c:pt>
                <c:pt idx="48">
                  <c:v>130.81344004395982</c:v>
                </c:pt>
                <c:pt idx="49">
                  <c:v>110.00027071140791</c:v>
                </c:pt>
                <c:pt idx="50">
                  <c:v>146.83337288738056</c:v>
                </c:pt>
                <c:pt idx="51">
                  <c:v>164.8151702626221</c:v>
                </c:pt>
                <c:pt idx="52">
                  <c:v>293.66975814369101</c:v>
                </c:pt>
                <c:pt idx="53">
                  <c:v>329.63372180082422</c:v>
                </c:pt>
                <c:pt idx="54">
                  <c:v>392.00377257605692</c:v>
                </c:pt>
                <c:pt idx="55">
                  <c:v>659.27420622217721</c:v>
                </c:pt>
                <c:pt idx="56">
                  <c:v>784.01558732918636</c:v>
                </c:pt>
                <c:pt idx="57">
                  <c:v>880.02924657542201</c:v>
                </c:pt>
                <c:pt idx="58">
                  <c:v>1046.5397252143878</c:v>
                </c:pt>
                <c:pt idx="59">
                  <c:v>466.17487092753117</c:v>
                </c:pt>
                <c:pt idx="60">
                  <c:v>466.17487092753117</c:v>
                </c:pt>
                <c:pt idx="61">
                  <c:v>466.17487092753117</c:v>
                </c:pt>
                <c:pt idx="62">
                  <c:v>392.00377257605692</c:v>
                </c:pt>
                <c:pt idx="63">
                  <c:v>466.17487092753117</c:v>
                </c:pt>
                <c:pt idx="64">
                  <c:v>493.89549345236594</c:v>
                </c:pt>
                <c:pt idx="65">
                  <c:v>523.26449507501752</c:v>
                </c:pt>
                <c:pt idx="66">
                  <c:v>466.17487092753117</c:v>
                </c:pt>
                <c:pt idx="67">
                  <c:v>440.01010976071973</c:v>
                </c:pt>
                <c:pt idx="68">
                  <c:v>349.23506143398839</c:v>
                </c:pt>
                <c:pt idx="69">
                  <c:v>440.01010976071973</c:v>
                </c:pt>
                <c:pt idx="70">
                  <c:v>293.66975814369101</c:v>
                </c:pt>
                <c:pt idx="71">
                  <c:v>329.63372180082422</c:v>
                </c:pt>
                <c:pt idx="72">
                  <c:v>392.00377257605692</c:v>
                </c:pt>
                <c:pt idx="73">
                  <c:v>293.66975814369101</c:v>
                </c:pt>
                <c:pt idx="74">
                  <c:v>392.00377257605692</c:v>
                </c:pt>
                <c:pt idx="75">
                  <c:v>261.62956379894968</c:v>
                </c:pt>
                <c:pt idx="76">
                  <c:v>329.63372180082422</c:v>
                </c:pt>
                <c:pt idx="77">
                  <c:v>220.00279814001337</c:v>
                </c:pt>
                <c:pt idx="78">
                  <c:v>233.08504452861115</c:v>
                </c:pt>
                <c:pt idx="79">
                  <c:v>293.66975814369101</c:v>
                </c:pt>
                <c:pt idx="80">
                  <c:v>349.23506143398839</c:v>
                </c:pt>
                <c:pt idx="81">
                  <c:v>392.00377257605692</c:v>
                </c:pt>
                <c:pt idx="82">
                  <c:v>466.17487092753117</c:v>
                </c:pt>
                <c:pt idx="83">
                  <c:v>587.34554108704231</c:v>
                </c:pt>
                <c:pt idx="84">
                  <c:v>698.47728762097279</c:v>
                </c:pt>
                <c:pt idx="85">
                  <c:v>587.34554108704231</c:v>
                </c:pt>
                <c:pt idx="86">
                  <c:v>466.17487092753117</c:v>
                </c:pt>
                <c:pt idx="87">
                  <c:v>370.00197512709912</c:v>
                </c:pt>
                <c:pt idx="88">
                  <c:v>370.00197512709912</c:v>
                </c:pt>
                <c:pt idx="89">
                  <c:v>370.00197512709912</c:v>
                </c:pt>
                <c:pt idx="90">
                  <c:v>493.89549345236594</c:v>
                </c:pt>
                <c:pt idx="91">
                  <c:v>523.26449507501752</c:v>
                </c:pt>
                <c:pt idx="92">
                  <c:v>466.17487092753117</c:v>
                </c:pt>
                <c:pt idx="93">
                  <c:v>440.01010976071973</c:v>
                </c:pt>
                <c:pt idx="94">
                  <c:v>349.23506143398839</c:v>
                </c:pt>
                <c:pt idx="95">
                  <c:v>440.01010976071973</c:v>
                </c:pt>
                <c:pt idx="96">
                  <c:v>293.66975814369101</c:v>
                </c:pt>
                <c:pt idx="97">
                  <c:v>329.63372180082422</c:v>
                </c:pt>
                <c:pt idx="98">
                  <c:v>370.00197512709912</c:v>
                </c:pt>
                <c:pt idx="99">
                  <c:v>293.66975814369101</c:v>
                </c:pt>
                <c:pt idx="100">
                  <c:v>370.00197512709912</c:v>
                </c:pt>
                <c:pt idx="101">
                  <c:v>261.62956379894968</c:v>
                </c:pt>
                <c:pt idx="102">
                  <c:v>329.63372180082422</c:v>
                </c:pt>
                <c:pt idx="103">
                  <c:v>220.00279814001337</c:v>
                </c:pt>
                <c:pt idx="104">
                  <c:v>233.08504452861115</c:v>
                </c:pt>
                <c:pt idx="105">
                  <c:v>293.66975814369101</c:v>
                </c:pt>
                <c:pt idx="106">
                  <c:v>349.23506143398839</c:v>
                </c:pt>
                <c:pt idx="107">
                  <c:v>392.00377257605692</c:v>
                </c:pt>
                <c:pt idx="108">
                  <c:v>466.17487092753117</c:v>
                </c:pt>
                <c:pt idx="109">
                  <c:v>587.34554108704231</c:v>
                </c:pt>
                <c:pt idx="110">
                  <c:v>698.47728762097279</c:v>
                </c:pt>
                <c:pt idx="111">
                  <c:v>587.34554108704231</c:v>
                </c:pt>
                <c:pt idx="112">
                  <c:v>698.47728762097279</c:v>
                </c:pt>
                <c:pt idx="113">
                  <c:v>587.34554108704231</c:v>
                </c:pt>
                <c:pt idx="114">
                  <c:v>698.47728762097279</c:v>
                </c:pt>
                <c:pt idx="115">
                  <c:v>622.27145634224212</c:v>
                </c:pt>
                <c:pt idx="116">
                  <c:v>698.47728762097279</c:v>
                </c:pt>
                <c:pt idx="117">
                  <c:v>622.27145634224212</c:v>
                </c:pt>
                <c:pt idx="118">
                  <c:v>698.47728762097279</c:v>
                </c:pt>
                <c:pt idx="119">
                  <c:v>622.27145634224212</c:v>
                </c:pt>
                <c:pt idx="120">
                  <c:v>740.01154105206626</c:v>
                </c:pt>
                <c:pt idx="121">
                  <c:v>622.27145634224212</c:v>
                </c:pt>
                <c:pt idx="122">
                  <c:v>740.01154105206626</c:v>
                </c:pt>
                <c:pt idx="123">
                  <c:v>659.27420622217721</c:v>
                </c:pt>
                <c:pt idx="124">
                  <c:v>784.01558732918636</c:v>
                </c:pt>
                <c:pt idx="125">
                  <c:v>659.27420622217721</c:v>
                </c:pt>
                <c:pt idx="126">
                  <c:v>784.01558732918636</c:v>
                </c:pt>
                <c:pt idx="127">
                  <c:v>659.27420622217721</c:v>
                </c:pt>
                <c:pt idx="128">
                  <c:v>523.26449507501752</c:v>
                </c:pt>
                <c:pt idx="129">
                  <c:v>659.27420622217721</c:v>
                </c:pt>
                <c:pt idx="130">
                  <c:v>523.26449507501752</c:v>
                </c:pt>
                <c:pt idx="131">
                  <c:v>659.27420622217721</c:v>
                </c:pt>
                <c:pt idx="132">
                  <c:v>523.26449507501752</c:v>
                </c:pt>
                <c:pt idx="133">
                  <c:v>440.01010976071973</c:v>
                </c:pt>
                <c:pt idx="134">
                  <c:v>523.26449507501752</c:v>
                </c:pt>
                <c:pt idx="135">
                  <c:v>440.01010976071973</c:v>
                </c:pt>
                <c:pt idx="136">
                  <c:v>523.26449507501752</c:v>
                </c:pt>
                <c:pt idx="137">
                  <c:v>440.01010976071973</c:v>
                </c:pt>
                <c:pt idx="138">
                  <c:v>523.26449507501752</c:v>
                </c:pt>
                <c:pt idx="139">
                  <c:v>440.01010976071973</c:v>
                </c:pt>
                <c:pt idx="140">
                  <c:v>392.00377257605692</c:v>
                </c:pt>
                <c:pt idx="141">
                  <c:v>440.01010976071973</c:v>
                </c:pt>
                <c:pt idx="142">
                  <c:v>392.00377257605692</c:v>
                </c:pt>
                <c:pt idx="143">
                  <c:v>329.63372180082422</c:v>
                </c:pt>
                <c:pt idx="144">
                  <c:v>392.00377257605692</c:v>
                </c:pt>
                <c:pt idx="145">
                  <c:v>329.63372180082422</c:v>
                </c:pt>
                <c:pt idx="146">
                  <c:v>349.23506143398839</c:v>
                </c:pt>
                <c:pt idx="147">
                  <c:v>329.63372180082422</c:v>
                </c:pt>
                <c:pt idx="148">
                  <c:v>261.62956379894968</c:v>
                </c:pt>
                <c:pt idx="149">
                  <c:v>261.62956379894968</c:v>
                </c:pt>
                <c:pt idx="150">
                  <c:v>293.66975814369101</c:v>
                </c:pt>
                <c:pt idx="151">
                  <c:v>261.62956379894968</c:v>
                </c:pt>
                <c:pt idx="152">
                  <c:v>195.99987576438383</c:v>
                </c:pt>
                <c:pt idx="153">
                  <c:v>195.99987576438383</c:v>
                </c:pt>
                <c:pt idx="154">
                  <c:v>246.94521361646048</c:v>
                </c:pt>
                <c:pt idx="155">
                  <c:v>195.99987576438383</c:v>
                </c:pt>
                <c:pt idx="156">
                  <c:v>164.8151702626221</c:v>
                </c:pt>
                <c:pt idx="157">
                  <c:v>195.99987576438383</c:v>
                </c:pt>
                <c:pt idx="158">
                  <c:v>164.8151702626221</c:v>
                </c:pt>
                <c:pt idx="159">
                  <c:v>195.99987576438383</c:v>
                </c:pt>
                <c:pt idx="160">
                  <c:v>164.8151702626221</c:v>
                </c:pt>
                <c:pt idx="161">
                  <c:v>130.81344004395982</c:v>
                </c:pt>
                <c:pt idx="162">
                  <c:v>164.8151702626221</c:v>
                </c:pt>
                <c:pt idx="163">
                  <c:v>130.81344004395982</c:v>
                </c:pt>
                <c:pt idx="164">
                  <c:v>164.8151702626221</c:v>
                </c:pt>
                <c:pt idx="165">
                  <c:v>130.81344004395982</c:v>
                </c:pt>
                <c:pt idx="166">
                  <c:v>110.00027071140791</c:v>
                </c:pt>
                <c:pt idx="167">
                  <c:v>130.81344004395982</c:v>
                </c:pt>
                <c:pt idx="168">
                  <c:v>110.00027071140791</c:v>
                </c:pt>
                <c:pt idx="169">
                  <c:v>130.81344004395982</c:v>
                </c:pt>
                <c:pt idx="170">
                  <c:v>110.00027071140791</c:v>
                </c:pt>
                <c:pt idx="171">
                  <c:v>130.81344004395982</c:v>
                </c:pt>
                <c:pt idx="172">
                  <c:v>110.00027071140791</c:v>
                </c:pt>
                <c:pt idx="173">
                  <c:v>146.83337288738056</c:v>
                </c:pt>
                <c:pt idx="174">
                  <c:v>164.8151702626221</c:v>
                </c:pt>
                <c:pt idx="175">
                  <c:v>293.66975814369101</c:v>
                </c:pt>
                <c:pt idx="176">
                  <c:v>329.63372180082422</c:v>
                </c:pt>
                <c:pt idx="177">
                  <c:v>392.00377257605692</c:v>
                </c:pt>
                <c:pt idx="178">
                  <c:v>659.27420622217721</c:v>
                </c:pt>
                <c:pt idx="179">
                  <c:v>784.01558732918636</c:v>
                </c:pt>
                <c:pt idx="180">
                  <c:v>880.02924657542201</c:v>
                </c:pt>
                <c:pt idx="181">
                  <c:v>1046.5397252143878</c:v>
                </c:pt>
                <c:pt idx="182">
                  <c:v>493.89549345236594</c:v>
                </c:pt>
                <c:pt idx="183">
                  <c:v>523.26449507501752</c:v>
                </c:pt>
                <c:pt idx="184">
                  <c:v>466.17487092753117</c:v>
                </c:pt>
                <c:pt idx="185">
                  <c:v>440.01010976071973</c:v>
                </c:pt>
                <c:pt idx="186">
                  <c:v>349.23506143398839</c:v>
                </c:pt>
                <c:pt idx="187">
                  <c:v>440.01010976071973</c:v>
                </c:pt>
                <c:pt idx="188">
                  <c:v>293.66975814369101</c:v>
                </c:pt>
                <c:pt idx="189">
                  <c:v>329.63372180082422</c:v>
                </c:pt>
                <c:pt idx="190">
                  <c:v>392.00377257605692</c:v>
                </c:pt>
                <c:pt idx="191">
                  <c:v>293.66975814369101</c:v>
                </c:pt>
                <c:pt idx="192">
                  <c:v>392.00377257605692</c:v>
                </c:pt>
                <c:pt idx="193">
                  <c:v>261.62956379894968</c:v>
                </c:pt>
                <c:pt idx="194">
                  <c:v>329.63372180082422</c:v>
                </c:pt>
                <c:pt idx="195">
                  <c:v>220.00279814001337</c:v>
                </c:pt>
                <c:pt idx="196">
                  <c:v>233.08504452861115</c:v>
                </c:pt>
                <c:pt idx="197">
                  <c:v>293.66975814369101</c:v>
                </c:pt>
                <c:pt idx="198">
                  <c:v>349.23506143398839</c:v>
                </c:pt>
                <c:pt idx="199">
                  <c:v>392.00377257605692</c:v>
                </c:pt>
                <c:pt idx="200">
                  <c:v>466.17487092753117</c:v>
                </c:pt>
                <c:pt idx="201">
                  <c:v>587.34554108704231</c:v>
                </c:pt>
                <c:pt idx="202">
                  <c:v>698.47728762097279</c:v>
                </c:pt>
                <c:pt idx="203">
                  <c:v>587.34554108704231</c:v>
                </c:pt>
                <c:pt idx="204">
                  <c:v>466.17487092753117</c:v>
                </c:pt>
                <c:pt idx="205">
                  <c:v>370.00197512709912</c:v>
                </c:pt>
                <c:pt idx="206">
                  <c:v>370.00197512709912</c:v>
                </c:pt>
                <c:pt idx="207">
                  <c:v>370.00197512709912</c:v>
                </c:pt>
                <c:pt idx="208">
                  <c:v>493.89549345236594</c:v>
                </c:pt>
                <c:pt idx="209">
                  <c:v>523.26449507501752</c:v>
                </c:pt>
                <c:pt idx="210">
                  <c:v>466.17487092753117</c:v>
                </c:pt>
                <c:pt idx="211">
                  <c:v>440.01010976071973</c:v>
                </c:pt>
                <c:pt idx="212">
                  <c:v>349.23506143398839</c:v>
                </c:pt>
                <c:pt idx="213">
                  <c:v>440.01010976071973</c:v>
                </c:pt>
                <c:pt idx="214">
                  <c:v>293.66975814369101</c:v>
                </c:pt>
                <c:pt idx="215">
                  <c:v>329.63372180082422</c:v>
                </c:pt>
                <c:pt idx="216">
                  <c:v>370.00197512709912</c:v>
                </c:pt>
                <c:pt idx="217">
                  <c:v>293.66975814369101</c:v>
                </c:pt>
                <c:pt idx="218">
                  <c:v>370.00197512709912</c:v>
                </c:pt>
                <c:pt idx="219">
                  <c:v>261.62956379894968</c:v>
                </c:pt>
                <c:pt idx="220">
                  <c:v>329.63372180082422</c:v>
                </c:pt>
                <c:pt idx="221">
                  <c:v>220.00279814001337</c:v>
                </c:pt>
                <c:pt idx="222">
                  <c:v>233.08504452861115</c:v>
                </c:pt>
                <c:pt idx="223">
                  <c:v>293.66975814369101</c:v>
                </c:pt>
                <c:pt idx="224">
                  <c:v>349.23506143398839</c:v>
                </c:pt>
                <c:pt idx="225">
                  <c:v>392.00377257605692</c:v>
                </c:pt>
                <c:pt idx="226">
                  <c:v>466.17487092753117</c:v>
                </c:pt>
                <c:pt idx="227">
                  <c:v>587.34554108704231</c:v>
                </c:pt>
                <c:pt idx="228">
                  <c:v>698.47728762097279</c:v>
                </c:pt>
                <c:pt idx="229">
                  <c:v>587.34554108704231</c:v>
                </c:pt>
                <c:pt idx="230">
                  <c:v>698.47728762097279</c:v>
                </c:pt>
                <c:pt idx="231">
                  <c:v>587.34554108704231</c:v>
                </c:pt>
                <c:pt idx="232">
                  <c:v>698.47728762097279</c:v>
                </c:pt>
                <c:pt idx="233">
                  <c:v>622.27145634224212</c:v>
                </c:pt>
                <c:pt idx="234">
                  <c:v>698.47728762097279</c:v>
                </c:pt>
                <c:pt idx="235">
                  <c:v>622.27145634224212</c:v>
                </c:pt>
                <c:pt idx="236">
                  <c:v>698.47728762097279</c:v>
                </c:pt>
                <c:pt idx="237">
                  <c:v>622.27145634224212</c:v>
                </c:pt>
                <c:pt idx="238">
                  <c:v>740.01154105206626</c:v>
                </c:pt>
                <c:pt idx="239">
                  <c:v>622.27145634224212</c:v>
                </c:pt>
                <c:pt idx="240">
                  <c:v>740.01154105206626</c:v>
                </c:pt>
                <c:pt idx="241">
                  <c:v>659.27420622217721</c:v>
                </c:pt>
                <c:pt idx="242">
                  <c:v>784.01558732918636</c:v>
                </c:pt>
                <c:pt idx="243">
                  <c:v>659.27420622217721</c:v>
                </c:pt>
                <c:pt idx="244">
                  <c:v>784.01558732918636</c:v>
                </c:pt>
                <c:pt idx="245">
                  <c:v>659.27420622217721</c:v>
                </c:pt>
                <c:pt idx="246">
                  <c:v>523.26449507501752</c:v>
                </c:pt>
                <c:pt idx="247">
                  <c:v>659.27420622217721</c:v>
                </c:pt>
                <c:pt idx="248">
                  <c:v>523.26449507501752</c:v>
                </c:pt>
                <c:pt idx="249">
                  <c:v>659.27420622217721</c:v>
                </c:pt>
                <c:pt idx="250">
                  <c:v>523.26449507501752</c:v>
                </c:pt>
                <c:pt idx="251">
                  <c:v>440.01010976071973</c:v>
                </c:pt>
                <c:pt idx="252">
                  <c:v>523.26449507501752</c:v>
                </c:pt>
                <c:pt idx="253">
                  <c:v>440.01010976071973</c:v>
                </c:pt>
                <c:pt idx="254">
                  <c:v>523.26449507501752</c:v>
                </c:pt>
                <c:pt idx="255">
                  <c:v>440.01010976071973</c:v>
                </c:pt>
                <c:pt idx="256">
                  <c:v>523.26449507501752</c:v>
                </c:pt>
                <c:pt idx="257">
                  <c:v>440.01010976071973</c:v>
                </c:pt>
                <c:pt idx="258">
                  <c:v>392.00377257605692</c:v>
                </c:pt>
                <c:pt idx="259">
                  <c:v>440.01010976071973</c:v>
                </c:pt>
                <c:pt idx="260">
                  <c:v>392.00377257605692</c:v>
                </c:pt>
                <c:pt idx="261">
                  <c:v>329.63372180082422</c:v>
                </c:pt>
                <c:pt idx="262">
                  <c:v>392.00377257605692</c:v>
                </c:pt>
                <c:pt idx="263">
                  <c:v>329.63372180082422</c:v>
                </c:pt>
                <c:pt idx="264">
                  <c:v>349.23506143398839</c:v>
                </c:pt>
                <c:pt idx="265">
                  <c:v>329.63372180082422</c:v>
                </c:pt>
                <c:pt idx="266">
                  <c:v>261.62956379894968</c:v>
                </c:pt>
                <c:pt idx="267">
                  <c:v>261.62956379894968</c:v>
                </c:pt>
                <c:pt idx="268">
                  <c:v>293.66975814369101</c:v>
                </c:pt>
                <c:pt idx="269">
                  <c:v>261.62956379894968</c:v>
                </c:pt>
                <c:pt idx="270">
                  <c:v>195.99987576438383</c:v>
                </c:pt>
                <c:pt idx="271">
                  <c:v>195.99987576438383</c:v>
                </c:pt>
                <c:pt idx="272">
                  <c:v>246.94521361646048</c:v>
                </c:pt>
                <c:pt idx="273">
                  <c:v>195.99987576438383</c:v>
                </c:pt>
                <c:pt idx="274">
                  <c:v>164.8151702626221</c:v>
                </c:pt>
                <c:pt idx="275">
                  <c:v>195.99987576438383</c:v>
                </c:pt>
                <c:pt idx="276">
                  <c:v>164.8151702626221</c:v>
                </c:pt>
                <c:pt idx="277">
                  <c:v>195.99987576438383</c:v>
                </c:pt>
                <c:pt idx="278">
                  <c:v>164.8151702626221</c:v>
                </c:pt>
                <c:pt idx="279">
                  <c:v>130.81344004395982</c:v>
                </c:pt>
                <c:pt idx="280">
                  <c:v>164.8151702626221</c:v>
                </c:pt>
                <c:pt idx="281">
                  <c:v>130.81344004395982</c:v>
                </c:pt>
                <c:pt idx="282">
                  <c:v>130.81344004395982</c:v>
                </c:pt>
                <c:pt idx="283">
                  <c:v>110.00027071140791</c:v>
                </c:pt>
                <c:pt idx="284">
                  <c:v>130.81344004395982</c:v>
                </c:pt>
                <c:pt idx="285">
                  <c:v>110.00027071140791</c:v>
                </c:pt>
                <c:pt idx="286">
                  <c:v>130.81344004395982</c:v>
                </c:pt>
                <c:pt idx="287">
                  <c:v>110.00027071140791</c:v>
                </c:pt>
                <c:pt idx="288">
                  <c:v>130.81344004395982</c:v>
                </c:pt>
                <c:pt idx="289">
                  <c:v>110.00027071140791</c:v>
                </c:pt>
                <c:pt idx="290">
                  <c:v>146.83337288738056</c:v>
                </c:pt>
                <c:pt idx="291">
                  <c:v>164.8151702626221</c:v>
                </c:pt>
                <c:pt idx="292">
                  <c:v>293.66975814369101</c:v>
                </c:pt>
                <c:pt idx="293">
                  <c:v>329.63372180082422</c:v>
                </c:pt>
                <c:pt idx="294">
                  <c:v>370.00197512709912</c:v>
                </c:pt>
                <c:pt idx="295">
                  <c:v>659.27420622217721</c:v>
                </c:pt>
                <c:pt idx="296">
                  <c:v>784.01558732918636</c:v>
                </c:pt>
                <c:pt idx="297">
                  <c:v>880.02924657542201</c:v>
                </c:pt>
                <c:pt idx="298">
                  <c:v>1046.5397252143878</c:v>
                </c:pt>
                <c:pt idx="299">
                  <c:v>523.26449507501752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Sheet2!$R$4:$R$303</c:f>
              <c:numCache>
                <c:formatCode>General</c:formatCode>
                <c:ptCount val="300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2.25</c:v>
                </c:pt>
                <c:pt idx="7">
                  <c:v>2.75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4.25</c:v>
                </c:pt>
                <c:pt idx="12">
                  <c:v>4.75</c:v>
                </c:pt>
                <c:pt idx="13">
                  <c:v>5</c:v>
                </c:pt>
                <c:pt idx="14">
                  <c:v>5.5</c:v>
                </c:pt>
                <c:pt idx="15">
                  <c:v>5.75</c:v>
                </c:pt>
                <c:pt idx="16">
                  <c:v>6</c:v>
                </c:pt>
                <c:pt idx="17">
                  <c:v>8</c:v>
                </c:pt>
                <c:pt idx="18">
                  <c:v>8.25</c:v>
                </c:pt>
                <c:pt idx="19">
                  <c:v>8.75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10.25</c:v>
                </c:pt>
                <c:pt idx="24">
                  <c:v>10.75</c:v>
                </c:pt>
                <c:pt idx="25">
                  <c:v>11</c:v>
                </c:pt>
                <c:pt idx="26">
                  <c:v>12</c:v>
                </c:pt>
                <c:pt idx="27">
                  <c:v>12.25</c:v>
                </c:pt>
                <c:pt idx="28">
                  <c:v>12.75</c:v>
                </c:pt>
                <c:pt idx="29">
                  <c:v>13</c:v>
                </c:pt>
                <c:pt idx="30">
                  <c:v>13.5</c:v>
                </c:pt>
                <c:pt idx="31">
                  <c:v>13.75</c:v>
                </c:pt>
                <c:pt idx="32">
                  <c:v>14</c:v>
                </c:pt>
                <c:pt idx="33">
                  <c:v>16</c:v>
                </c:pt>
                <c:pt idx="34">
                  <c:v>16.25</c:v>
                </c:pt>
                <c:pt idx="35">
                  <c:v>16.75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18.25</c:v>
                </c:pt>
                <c:pt idx="40">
                  <c:v>18.75</c:v>
                </c:pt>
                <c:pt idx="41">
                  <c:v>19</c:v>
                </c:pt>
                <c:pt idx="42">
                  <c:v>19.5</c:v>
                </c:pt>
                <c:pt idx="43">
                  <c:v>20</c:v>
                </c:pt>
                <c:pt idx="44">
                  <c:v>20.25</c:v>
                </c:pt>
                <c:pt idx="45">
                  <c:v>20.75</c:v>
                </c:pt>
                <c:pt idx="46">
                  <c:v>21</c:v>
                </c:pt>
                <c:pt idx="47">
                  <c:v>21.5</c:v>
                </c:pt>
                <c:pt idx="48">
                  <c:v>21.75</c:v>
                </c:pt>
                <c:pt idx="49">
                  <c:v>22</c:v>
                </c:pt>
                <c:pt idx="50">
                  <c:v>25</c:v>
                </c:pt>
                <c:pt idx="51">
                  <c:v>25.5</c:v>
                </c:pt>
                <c:pt idx="52">
                  <c:v>27</c:v>
                </c:pt>
                <c:pt idx="53">
                  <c:v>27.5</c:v>
                </c:pt>
                <c:pt idx="54">
                  <c:v>27.75</c:v>
                </c:pt>
                <c:pt idx="55">
                  <c:v>29</c:v>
                </c:pt>
                <c:pt idx="56">
                  <c:v>29.5</c:v>
                </c:pt>
                <c:pt idx="57">
                  <c:v>29.75</c:v>
                </c:pt>
                <c:pt idx="58">
                  <c:v>30</c:v>
                </c:pt>
                <c:pt idx="59">
                  <c:v>32</c:v>
                </c:pt>
                <c:pt idx="60">
                  <c:v>34</c:v>
                </c:pt>
                <c:pt idx="61">
                  <c:v>36</c:v>
                </c:pt>
                <c:pt idx="62">
                  <c:v>37.5</c:v>
                </c:pt>
                <c:pt idx="63">
                  <c:v>38</c:v>
                </c:pt>
                <c:pt idx="64">
                  <c:v>41.5</c:v>
                </c:pt>
                <c:pt idx="65">
                  <c:v>42</c:v>
                </c:pt>
                <c:pt idx="66">
                  <c:v>42.5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45.5</c:v>
                </c:pt>
                <c:pt idx="71">
                  <c:v>46</c:v>
                </c:pt>
                <c:pt idx="72">
                  <c:v>46.5</c:v>
                </c:pt>
                <c:pt idx="73">
                  <c:v>47</c:v>
                </c:pt>
                <c:pt idx="74">
                  <c:v>47.5</c:v>
                </c:pt>
                <c:pt idx="75">
                  <c:v>48</c:v>
                </c:pt>
                <c:pt idx="76">
                  <c:v>48.5</c:v>
                </c:pt>
                <c:pt idx="77">
                  <c:v>49.5</c:v>
                </c:pt>
                <c:pt idx="78">
                  <c:v>50</c:v>
                </c:pt>
                <c:pt idx="79">
                  <c:v>50.5</c:v>
                </c:pt>
                <c:pt idx="80">
                  <c:v>51</c:v>
                </c:pt>
                <c:pt idx="81">
                  <c:v>51.5</c:v>
                </c:pt>
                <c:pt idx="82">
                  <c:v>52</c:v>
                </c:pt>
                <c:pt idx="83">
                  <c:v>52.5</c:v>
                </c:pt>
                <c:pt idx="84">
                  <c:v>53</c:v>
                </c:pt>
                <c:pt idx="85">
                  <c:v>53.5</c:v>
                </c:pt>
                <c:pt idx="86">
                  <c:v>54</c:v>
                </c:pt>
                <c:pt idx="87">
                  <c:v>54.5</c:v>
                </c:pt>
                <c:pt idx="88">
                  <c:v>55.5</c:v>
                </c:pt>
                <c:pt idx="89">
                  <c:v>56.5</c:v>
                </c:pt>
                <c:pt idx="90">
                  <c:v>57.5</c:v>
                </c:pt>
                <c:pt idx="91">
                  <c:v>58</c:v>
                </c:pt>
                <c:pt idx="92">
                  <c:v>58.5</c:v>
                </c:pt>
                <c:pt idx="93">
                  <c:v>59.5</c:v>
                </c:pt>
                <c:pt idx="94">
                  <c:v>60</c:v>
                </c:pt>
                <c:pt idx="95">
                  <c:v>60.5</c:v>
                </c:pt>
                <c:pt idx="96">
                  <c:v>61.5</c:v>
                </c:pt>
                <c:pt idx="97">
                  <c:v>62</c:v>
                </c:pt>
                <c:pt idx="98">
                  <c:v>62.5</c:v>
                </c:pt>
                <c:pt idx="99">
                  <c:v>63</c:v>
                </c:pt>
                <c:pt idx="100">
                  <c:v>63.5</c:v>
                </c:pt>
                <c:pt idx="101">
                  <c:v>64</c:v>
                </c:pt>
                <c:pt idx="102">
                  <c:v>64.5</c:v>
                </c:pt>
                <c:pt idx="103">
                  <c:v>65.5</c:v>
                </c:pt>
                <c:pt idx="104">
                  <c:v>66</c:v>
                </c:pt>
                <c:pt idx="105">
                  <c:v>66.5</c:v>
                </c:pt>
                <c:pt idx="106">
                  <c:v>67</c:v>
                </c:pt>
                <c:pt idx="107">
                  <c:v>67.5</c:v>
                </c:pt>
                <c:pt idx="108">
                  <c:v>68</c:v>
                </c:pt>
                <c:pt idx="109">
                  <c:v>68.5</c:v>
                </c:pt>
                <c:pt idx="110">
                  <c:v>69</c:v>
                </c:pt>
                <c:pt idx="111">
                  <c:v>69.5</c:v>
                </c:pt>
                <c:pt idx="112">
                  <c:v>70</c:v>
                </c:pt>
                <c:pt idx="113">
                  <c:v>70.5</c:v>
                </c:pt>
                <c:pt idx="114">
                  <c:v>71</c:v>
                </c:pt>
                <c:pt idx="115">
                  <c:v>71.5</c:v>
                </c:pt>
                <c:pt idx="116">
                  <c:v>72</c:v>
                </c:pt>
                <c:pt idx="117">
                  <c:v>72.5</c:v>
                </c:pt>
                <c:pt idx="118">
                  <c:v>73</c:v>
                </c:pt>
                <c:pt idx="119">
                  <c:v>73.5</c:v>
                </c:pt>
                <c:pt idx="120">
                  <c:v>74</c:v>
                </c:pt>
                <c:pt idx="121">
                  <c:v>74.5</c:v>
                </c:pt>
                <c:pt idx="122">
                  <c:v>75</c:v>
                </c:pt>
                <c:pt idx="123">
                  <c:v>76</c:v>
                </c:pt>
                <c:pt idx="124">
                  <c:v>76.25</c:v>
                </c:pt>
                <c:pt idx="125">
                  <c:v>76.75</c:v>
                </c:pt>
                <c:pt idx="126">
                  <c:v>77</c:v>
                </c:pt>
                <c:pt idx="127">
                  <c:v>77.5</c:v>
                </c:pt>
                <c:pt idx="128">
                  <c:v>78</c:v>
                </c:pt>
                <c:pt idx="129">
                  <c:v>78.25</c:v>
                </c:pt>
                <c:pt idx="130">
                  <c:v>78.75</c:v>
                </c:pt>
                <c:pt idx="131">
                  <c:v>79</c:v>
                </c:pt>
                <c:pt idx="132">
                  <c:v>79.5</c:v>
                </c:pt>
                <c:pt idx="133">
                  <c:v>80</c:v>
                </c:pt>
                <c:pt idx="134">
                  <c:v>80.25</c:v>
                </c:pt>
                <c:pt idx="135">
                  <c:v>80.75</c:v>
                </c:pt>
                <c:pt idx="136">
                  <c:v>81</c:v>
                </c:pt>
                <c:pt idx="137">
                  <c:v>81.5</c:v>
                </c:pt>
                <c:pt idx="138">
                  <c:v>81.75</c:v>
                </c:pt>
                <c:pt idx="139">
                  <c:v>82</c:v>
                </c:pt>
                <c:pt idx="140">
                  <c:v>84</c:v>
                </c:pt>
                <c:pt idx="141">
                  <c:v>84.25</c:v>
                </c:pt>
                <c:pt idx="142">
                  <c:v>84.75</c:v>
                </c:pt>
                <c:pt idx="143">
                  <c:v>85</c:v>
                </c:pt>
                <c:pt idx="144">
                  <c:v>85.5</c:v>
                </c:pt>
                <c:pt idx="145">
                  <c:v>86</c:v>
                </c:pt>
                <c:pt idx="146">
                  <c:v>86.25</c:v>
                </c:pt>
                <c:pt idx="147">
                  <c:v>86.75</c:v>
                </c:pt>
                <c:pt idx="148">
                  <c:v>87</c:v>
                </c:pt>
                <c:pt idx="149">
                  <c:v>88</c:v>
                </c:pt>
                <c:pt idx="150">
                  <c:v>88.25</c:v>
                </c:pt>
                <c:pt idx="151">
                  <c:v>88.75</c:v>
                </c:pt>
                <c:pt idx="152">
                  <c:v>89</c:v>
                </c:pt>
                <c:pt idx="153">
                  <c:v>89.5</c:v>
                </c:pt>
                <c:pt idx="154">
                  <c:v>89.75</c:v>
                </c:pt>
                <c:pt idx="155">
                  <c:v>90</c:v>
                </c:pt>
                <c:pt idx="156">
                  <c:v>92</c:v>
                </c:pt>
                <c:pt idx="157">
                  <c:v>92.25</c:v>
                </c:pt>
                <c:pt idx="158">
                  <c:v>92.75</c:v>
                </c:pt>
                <c:pt idx="159">
                  <c:v>93</c:v>
                </c:pt>
                <c:pt idx="160">
                  <c:v>93.5</c:v>
                </c:pt>
                <c:pt idx="161">
                  <c:v>94</c:v>
                </c:pt>
                <c:pt idx="162">
                  <c:v>94.25</c:v>
                </c:pt>
                <c:pt idx="163">
                  <c:v>94.75</c:v>
                </c:pt>
                <c:pt idx="164">
                  <c:v>95</c:v>
                </c:pt>
                <c:pt idx="165">
                  <c:v>95.5</c:v>
                </c:pt>
                <c:pt idx="166">
                  <c:v>96</c:v>
                </c:pt>
                <c:pt idx="167">
                  <c:v>96.25</c:v>
                </c:pt>
                <c:pt idx="168">
                  <c:v>96.75</c:v>
                </c:pt>
                <c:pt idx="169">
                  <c:v>97</c:v>
                </c:pt>
                <c:pt idx="170">
                  <c:v>97.5</c:v>
                </c:pt>
                <c:pt idx="171">
                  <c:v>97.75</c:v>
                </c:pt>
                <c:pt idx="172">
                  <c:v>98</c:v>
                </c:pt>
                <c:pt idx="173">
                  <c:v>101</c:v>
                </c:pt>
                <c:pt idx="174">
                  <c:v>101.5</c:v>
                </c:pt>
                <c:pt idx="175">
                  <c:v>103</c:v>
                </c:pt>
                <c:pt idx="176">
                  <c:v>103.5</c:v>
                </c:pt>
                <c:pt idx="177">
                  <c:v>103.75</c:v>
                </c:pt>
                <c:pt idx="178">
                  <c:v>105</c:v>
                </c:pt>
                <c:pt idx="179">
                  <c:v>105.5</c:v>
                </c:pt>
                <c:pt idx="180">
                  <c:v>105.75</c:v>
                </c:pt>
                <c:pt idx="181">
                  <c:v>106</c:v>
                </c:pt>
                <c:pt idx="182">
                  <c:v>107.5</c:v>
                </c:pt>
                <c:pt idx="183">
                  <c:v>108</c:v>
                </c:pt>
                <c:pt idx="184">
                  <c:v>108.5</c:v>
                </c:pt>
                <c:pt idx="185">
                  <c:v>109.5</c:v>
                </c:pt>
                <c:pt idx="186">
                  <c:v>110</c:v>
                </c:pt>
                <c:pt idx="187">
                  <c:v>110.5</c:v>
                </c:pt>
                <c:pt idx="188">
                  <c:v>111.5</c:v>
                </c:pt>
                <c:pt idx="189">
                  <c:v>112</c:v>
                </c:pt>
                <c:pt idx="190">
                  <c:v>112.5</c:v>
                </c:pt>
                <c:pt idx="191">
                  <c:v>113</c:v>
                </c:pt>
                <c:pt idx="192">
                  <c:v>113.5</c:v>
                </c:pt>
                <c:pt idx="193">
                  <c:v>114</c:v>
                </c:pt>
                <c:pt idx="194">
                  <c:v>114.5</c:v>
                </c:pt>
                <c:pt idx="195">
                  <c:v>115.5</c:v>
                </c:pt>
                <c:pt idx="196">
                  <c:v>116</c:v>
                </c:pt>
                <c:pt idx="197">
                  <c:v>116.5</c:v>
                </c:pt>
                <c:pt idx="198">
                  <c:v>117</c:v>
                </c:pt>
                <c:pt idx="199">
                  <c:v>117.5</c:v>
                </c:pt>
                <c:pt idx="200">
                  <c:v>118</c:v>
                </c:pt>
                <c:pt idx="201">
                  <c:v>118.5</c:v>
                </c:pt>
                <c:pt idx="202">
                  <c:v>119</c:v>
                </c:pt>
                <c:pt idx="203">
                  <c:v>119.5</c:v>
                </c:pt>
                <c:pt idx="204">
                  <c:v>120</c:v>
                </c:pt>
                <c:pt idx="205">
                  <c:v>120.5</c:v>
                </c:pt>
                <c:pt idx="206">
                  <c:v>121.5</c:v>
                </c:pt>
                <c:pt idx="207">
                  <c:v>122.5</c:v>
                </c:pt>
                <c:pt idx="208">
                  <c:v>123.5</c:v>
                </c:pt>
                <c:pt idx="209">
                  <c:v>124</c:v>
                </c:pt>
                <c:pt idx="210">
                  <c:v>124.5</c:v>
                </c:pt>
                <c:pt idx="211">
                  <c:v>125.5</c:v>
                </c:pt>
                <c:pt idx="212">
                  <c:v>126</c:v>
                </c:pt>
                <c:pt idx="213">
                  <c:v>126.5</c:v>
                </c:pt>
                <c:pt idx="214">
                  <c:v>127.5</c:v>
                </c:pt>
                <c:pt idx="215">
                  <c:v>128</c:v>
                </c:pt>
                <c:pt idx="216">
                  <c:v>128.5</c:v>
                </c:pt>
                <c:pt idx="217">
                  <c:v>129</c:v>
                </c:pt>
                <c:pt idx="218">
                  <c:v>129.5</c:v>
                </c:pt>
                <c:pt idx="219">
                  <c:v>130</c:v>
                </c:pt>
                <c:pt idx="220">
                  <c:v>130.5</c:v>
                </c:pt>
                <c:pt idx="221">
                  <c:v>131.5</c:v>
                </c:pt>
                <c:pt idx="222">
                  <c:v>132</c:v>
                </c:pt>
                <c:pt idx="223">
                  <c:v>132.5</c:v>
                </c:pt>
                <c:pt idx="224">
                  <c:v>133</c:v>
                </c:pt>
                <c:pt idx="225">
                  <c:v>133.5</c:v>
                </c:pt>
                <c:pt idx="226">
                  <c:v>134</c:v>
                </c:pt>
                <c:pt idx="227">
                  <c:v>134.5</c:v>
                </c:pt>
                <c:pt idx="228">
                  <c:v>135</c:v>
                </c:pt>
                <c:pt idx="229">
                  <c:v>135.5</c:v>
                </c:pt>
                <c:pt idx="230">
                  <c:v>136</c:v>
                </c:pt>
                <c:pt idx="231">
                  <c:v>136.5</c:v>
                </c:pt>
                <c:pt idx="232">
                  <c:v>137</c:v>
                </c:pt>
                <c:pt idx="233">
                  <c:v>137.5</c:v>
                </c:pt>
                <c:pt idx="234">
                  <c:v>138</c:v>
                </c:pt>
                <c:pt idx="235">
                  <c:v>138.5</c:v>
                </c:pt>
                <c:pt idx="236">
                  <c:v>139</c:v>
                </c:pt>
                <c:pt idx="237">
                  <c:v>139.5</c:v>
                </c:pt>
                <c:pt idx="238">
                  <c:v>140</c:v>
                </c:pt>
                <c:pt idx="239">
                  <c:v>140.5</c:v>
                </c:pt>
                <c:pt idx="240">
                  <c:v>141</c:v>
                </c:pt>
                <c:pt idx="241">
                  <c:v>142</c:v>
                </c:pt>
                <c:pt idx="242">
                  <c:v>142.25</c:v>
                </c:pt>
                <c:pt idx="243">
                  <c:v>142.75</c:v>
                </c:pt>
                <c:pt idx="244">
                  <c:v>143</c:v>
                </c:pt>
                <c:pt idx="245">
                  <c:v>143.5</c:v>
                </c:pt>
                <c:pt idx="246">
                  <c:v>144</c:v>
                </c:pt>
                <c:pt idx="247">
                  <c:v>144.25</c:v>
                </c:pt>
                <c:pt idx="248">
                  <c:v>144.75</c:v>
                </c:pt>
                <c:pt idx="249">
                  <c:v>145</c:v>
                </c:pt>
                <c:pt idx="250">
                  <c:v>145.5</c:v>
                </c:pt>
                <c:pt idx="251">
                  <c:v>146</c:v>
                </c:pt>
                <c:pt idx="252">
                  <c:v>146.25</c:v>
                </c:pt>
                <c:pt idx="253">
                  <c:v>146.75</c:v>
                </c:pt>
                <c:pt idx="254">
                  <c:v>147</c:v>
                </c:pt>
                <c:pt idx="255">
                  <c:v>147.5</c:v>
                </c:pt>
                <c:pt idx="256">
                  <c:v>147.75</c:v>
                </c:pt>
                <c:pt idx="257">
                  <c:v>148</c:v>
                </c:pt>
                <c:pt idx="258">
                  <c:v>150</c:v>
                </c:pt>
                <c:pt idx="259">
                  <c:v>150.25</c:v>
                </c:pt>
                <c:pt idx="260">
                  <c:v>150.75</c:v>
                </c:pt>
                <c:pt idx="261">
                  <c:v>151</c:v>
                </c:pt>
                <c:pt idx="262">
                  <c:v>151.5</c:v>
                </c:pt>
                <c:pt idx="263">
                  <c:v>152</c:v>
                </c:pt>
                <c:pt idx="264">
                  <c:v>152.25</c:v>
                </c:pt>
                <c:pt idx="265">
                  <c:v>152.75</c:v>
                </c:pt>
                <c:pt idx="266">
                  <c:v>153</c:v>
                </c:pt>
                <c:pt idx="267">
                  <c:v>154</c:v>
                </c:pt>
                <c:pt idx="268">
                  <c:v>154.25</c:v>
                </c:pt>
                <c:pt idx="269">
                  <c:v>154.75</c:v>
                </c:pt>
                <c:pt idx="270">
                  <c:v>155</c:v>
                </c:pt>
                <c:pt idx="271">
                  <c:v>155.5</c:v>
                </c:pt>
                <c:pt idx="272">
                  <c:v>155.75</c:v>
                </c:pt>
                <c:pt idx="273">
                  <c:v>156</c:v>
                </c:pt>
                <c:pt idx="274">
                  <c:v>158</c:v>
                </c:pt>
                <c:pt idx="275">
                  <c:v>158.25</c:v>
                </c:pt>
                <c:pt idx="276">
                  <c:v>158.75</c:v>
                </c:pt>
                <c:pt idx="277">
                  <c:v>159</c:v>
                </c:pt>
                <c:pt idx="278">
                  <c:v>159.5</c:v>
                </c:pt>
                <c:pt idx="279">
                  <c:v>160</c:v>
                </c:pt>
                <c:pt idx="280">
                  <c:v>160.25</c:v>
                </c:pt>
                <c:pt idx="281">
                  <c:v>160.75</c:v>
                </c:pt>
                <c:pt idx="282">
                  <c:v>161.5</c:v>
                </c:pt>
                <c:pt idx="283">
                  <c:v>162</c:v>
                </c:pt>
                <c:pt idx="284">
                  <c:v>162.25</c:v>
                </c:pt>
                <c:pt idx="285">
                  <c:v>162.75</c:v>
                </c:pt>
                <c:pt idx="286">
                  <c:v>163</c:v>
                </c:pt>
                <c:pt idx="287">
                  <c:v>163.5</c:v>
                </c:pt>
                <c:pt idx="288">
                  <c:v>163.75</c:v>
                </c:pt>
                <c:pt idx="289">
                  <c:v>164</c:v>
                </c:pt>
                <c:pt idx="290">
                  <c:v>167</c:v>
                </c:pt>
                <c:pt idx="291">
                  <c:v>167.5</c:v>
                </c:pt>
                <c:pt idx="292">
                  <c:v>169</c:v>
                </c:pt>
                <c:pt idx="293">
                  <c:v>169.5</c:v>
                </c:pt>
                <c:pt idx="294">
                  <c:v>169.75</c:v>
                </c:pt>
                <c:pt idx="295">
                  <c:v>171</c:v>
                </c:pt>
                <c:pt idx="296">
                  <c:v>171.5</c:v>
                </c:pt>
                <c:pt idx="297">
                  <c:v>171.75</c:v>
                </c:pt>
                <c:pt idx="298">
                  <c:v>172</c:v>
                </c:pt>
                <c:pt idx="299">
                  <c:v>173</c:v>
                </c:pt>
              </c:numCache>
            </c:numRef>
          </c:xVal>
          <c:yVal>
            <c:numRef>
              <c:f>Sheet2!$Z$4:$Z$303</c:f>
              <c:numCache>
                <c:formatCode>General</c:formatCode>
                <c:ptCount val="300"/>
                <c:pt idx="58">
                  <c:v>784.01558732918636</c:v>
                </c:pt>
                <c:pt idx="63">
                  <c:v>392.00377257605692</c:v>
                </c:pt>
                <c:pt idx="66">
                  <c:v>329.63372180082422</c:v>
                </c:pt>
                <c:pt idx="69">
                  <c:v>261.62956379894968</c:v>
                </c:pt>
                <c:pt idx="72">
                  <c:v>246.94521361646048</c:v>
                </c:pt>
                <c:pt idx="74">
                  <c:v>349.23506143398839</c:v>
                </c:pt>
                <c:pt idx="76">
                  <c:v>392.00377257605692</c:v>
                </c:pt>
                <c:pt idx="87">
                  <c:v>277.18710418069043</c:v>
                </c:pt>
                <c:pt idx="88">
                  <c:v>277.18710418069043</c:v>
                </c:pt>
                <c:pt idx="89">
                  <c:v>277.18710418069043</c:v>
                </c:pt>
                <c:pt idx="91">
                  <c:v>587.34554108704231</c:v>
                </c:pt>
                <c:pt idx="92">
                  <c:v>329.63372180082422</c:v>
                </c:pt>
                <c:pt idx="95">
                  <c:v>261.62956379894968</c:v>
                </c:pt>
                <c:pt idx="97">
                  <c:v>349.23506143398839</c:v>
                </c:pt>
                <c:pt idx="98">
                  <c:v>246.94521361646048</c:v>
                </c:pt>
                <c:pt idx="100">
                  <c:v>349.23506143398839</c:v>
                </c:pt>
                <c:pt idx="102">
                  <c:v>392.00377257605692</c:v>
                </c:pt>
                <c:pt idx="181">
                  <c:v>784.01558732918636</c:v>
                </c:pt>
                <c:pt idx="184">
                  <c:v>329.63372180082422</c:v>
                </c:pt>
                <c:pt idx="187">
                  <c:v>261.62956379894968</c:v>
                </c:pt>
                <c:pt idx="190">
                  <c:v>246.94521361646048</c:v>
                </c:pt>
                <c:pt idx="192">
                  <c:v>349.23506143398839</c:v>
                </c:pt>
                <c:pt idx="194">
                  <c:v>392.00377257605692</c:v>
                </c:pt>
                <c:pt idx="205">
                  <c:v>277.18710418069043</c:v>
                </c:pt>
                <c:pt idx="206">
                  <c:v>277.18710418069043</c:v>
                </c:pt>
                <c:pt idx="207">
                  <c:v>277.18710418069043</c:v>
                </c:pt>
                <c:pt idx="209">
                  <c:v>293.66975814369101</c:v>
                </c:pt>
                <c:pt idx="210">
                  <c:v>329.63372180082422</c:v>
                </c:pt>
                <c:pt idx="213">
                  <c:v>261.62956379894968</c:v>
                </c:pt>
                <c:pt idx="215">
                  <c:v>349.23506143398839</c:v>
                </c:pt>
                <c:pt idx="216">
                  <c:v>246.94521361646048</c:v>
                </c:pt>
                <c:pt idx="218">
                  <c:v>349.23506143398839</c:v>
                </c:pt>
                <c:pt idx="220">
                  <c:v>392.00377257605692</c:v>
                </c:pt>
                <c:pt idx="298">
                  <c:v>784.01558732918636</c:v>
                </c:pt>
                <c:pt idx="299">
                  <c:v>392.00377257605692</c:v>
                </c:pt>
              </c:numCache>
            </c:numRef>
          </c:yVal>
          <c:smooth val="0"/>
        </c:ser>
        <c:ser>
          <c:idx val="2"/>
          <c:order val="2"/>
          <c:tx>
            <c:v>Left Hand</c:v>
          </c:tx>
          <c:xVal>
            <c:numRef>
              <c:f>Sheet2!$AB$4:$AB$265</c:f>
              <c:numCache>
                <c:formatCode>General</c:formatCode>
                <c:ptCount val="262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  <c:pt idx="41">
                  <c:v>24.25</c:v>
                </c:pt>
                <c:pt idx="42">
                  <c:v>24.75</c:v>
                </c:pt>
                <c:pt idx="43">
                  <c:v>26</c:v>
                </c:pt>
                <c:pt idx="44">
                  <c:v>26.25</c:v>
                </c:pt>
                <c:pt idx="45">
                  <c:v>26.75</c:v>
                </c:pt>
                <c:pt idx="46">
                  <c:v>28</c:v>
                </c:pt>
                <c:pt idx="47">
                  <c:v>28.25</c:v>
                </c:pt>
                <c:pt idx="48">
                  <c:v>28.75</c:v>
                </c:pt>
                <c:pt idx="49">
                  <c:v>29.5</c:v>
                </c:pt>
                <c:pt idx="50">
                  <c:v>30</c:v>
                </c:pt>
                <c:pt idx="51">
                  <c:v>31.5</c:v>
                </c:pt>
                <c:pt idx="52">
                  <c:v>33.5</c:v>
                </c:pt>
                <c:pt idx="53">
                  <c:v>35.5</c:v>
                </c:pt>
                <c:pt idx="54">
                  <c:v>41.5</c:v>
                </c:pt>
                <c:pt idx="55">
                  <c:v>42</c:v>
                </c:pt>
                <c:pt idx="56">
                  <c:v>43.5</c:v>
                </c:pt>
                <c:pt idx="57">
                  <c:v>44</c:v>
                </c:pt>
                <c:pt idx="58">
                  <c:v>45.5</c:v>
                </c:pt>
                <c:pt idx="59">
                  <c:v>46</c:v>
                </c:pt>
                <c:pt idx="60">
                  <c:v>47</c:v>
                </c:pt>
                <c:pt idx="61">
                  <c:v>47.5</c:v>
                </c:pt>
                <c:pt idx="62">
                  <c:v>48</c:v>
                </c:pt>
                <c:pt idx="63">
                  <c:v>49.5</c:v>
                </c:pt>
                <c:pt idx="64">
                  <c:v>50</c:v>
                </c:pt>
                <c:pt idx="65">
                  <c:v>50.5</c:v>
                </c:pt>
                <c:pt idx="66">
                  <c:v>51</c:v>
                </c:pt>
                <c:pt idx="67">
                  <c:v>51.5</c:v>
                </c:pt>
                <c:pt idx="68">
                  <c:v>52</c:v>
                </c:pt>
                <c:pt idx="69">
                  <c:v>52.5</c:v>
                </c:pt>
                <c:pt idx="70">
                  <c:v>53</c:v>
                </c:pt>
                <c:pt idx="71">
                  <c:v>53.5</c:v>
                </c:pt>
                <c:pt idx="72">
                  <c:v>54</c:v>
                </c:pt>
                <c:pt idx="73">
                  <c:v>57.5</c:v>
                </c:pt>
                <c:pt idx="74">
                  <c:v>58</c:v>
                </c:pt>
                <c:pt idx="75">
                  <c:v>60</c:v>
                </c:pt>
                <c:pt idx="76">
                  <c:v>61.5</c:v>
                </c:pt>
                <c:pt idx="77">
                  <c:v>62</c:v>
                </c:pt>
                <c:pt idx="78">
                  <c:v>63</c:v>
                </c:pt>
                <c:pt idx="79">
                  <c:v>63.5</c:v>
                </c:pt>
                <c:pt idx="80">
                  <c:v>64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  <c:pt idx="91">
                  <c:v>70.5</c:v>
                </c:pt>
                <c:pt idx="92">
                  <c:v>71</c:v>
                </c:pt>
                <c:pt idx="93">
                  <c:v>71.5</c:v>
                </c:pt>
                <c:pt idx="94">
                  <c:v>72</c:v>
                </c:pt>
                <c:pt idx="95">
                  <c:v>72.5</c:v>
                </c:pt>
                <c:pt idx="96">
                  <c:v>73</c:v>
                </c:pt>
                <c:pt idx="97">
                  <c:v>73.5</c:v>
                </c:pt>
                <c:pt idx="98">
                  <c:v>74</c:v>
                </c:pt>
                <c:pt idx="99">
                  <c:v>74.5</c:v>
                </c:pt>
                <c:pt idx="100">
                  <c:v>75</c:v>
                </c:pt>
                <c:pt idx="101">
                  <c:v>75.5</c:v>
                </c:pt>
                <c:pt idx="102">
                  <c:v>76</c:v>
                </c:pt>
                <c:pt idx="103">
                  <c:v>77</c:v>
                </c:pt>
                <c:pt idx="104">
                  <c:v>78</c:v>
                </c:pt>
                <c:pt idx="105">
                  <c:v>79</c:v>
                </c:pt>
                <c:pt idx="106">
                  <c:v>80</c:v>
                </c:pt>
                <c:pt idx="107">
                  <c:v>80.5</c:v>
                </c:pt>
                <c:pt idx="108">
                  <c:v>81</c:v>
                </c:pt>
                <c:pt idx="109">
                  <c:v>81.5</c:v>
                </c:pt>
                <c:pt idx="110">
                  <c:v>82</c:v>
                </c:pt>
                <c:pt idx="111">
                  <c:v>82.5</c:v>
                </c:pt>
                <c:pt idx="112">
                  <c:v>83</c:v>
                </c:pt>
                <c:pt idx="113">
                  <c:v>83.5</c:v>
                </c:pt>
                <c:pt idx="114">
                  <c:v>84</c:v>
                </c:pt>
                <c:pt idx="115">
                  <c:v>84.5</c:v>
                </c:pt>
                <c:pt idx="116">
                  <c:v>85</c:v>
                </c:pt>
                <c:pt idx="117">
                  <c:v>85.5</c:v>
                </c:pt>
                <c:pt idx="118">
                  <c:v>86</c:v>
                </c:pt>
                <c:pt idx="119">
                  <c:v>86.5</c:v>
                </c:pt>
                <c:pt idx="120">
                  <c:v>87</c:v>
                </c:pt>
                <c:pt idx="121">
                  <c:v>87.5</c:v>
                </c:pt>
                <c:pt idx="122">
                  <c:v>88</c:v>
                </c:pt>
                <c:pt idx="123">
                  <c:v>88.5</c:v>
                </c:pt>
                <c:pt idx="124">
                  <c:v>89</c:v>
                </c:pt>
                <c:pt idx="125">
                  <c:v>89.5</c:v>
                </c:pt>
                <c:pt idx="126">
                  <c:v>90</c:v>
                </c:pt>
                <c:pt idx="127">
                  <c:v>90.5</c:v>
                </c:pt>
                <c:pt idx="128">
                  <c:v>91</c:v>
                </c:pt>
                <c:pt idx="129">
                  <c:v>91.5</c:v>
                </c:pt>
                <c:pt idx="130">
                  <c:v>92</c:v>
                </c:pt>
                <c:pt idx="131">
                  <c:v>92.5</c:v>
                </c:pt>
                <c:pt idx="132">
                  <c:v>93</c:v>
                </c:pt>
                <c:pt idx="133">
                  <c:v>93.5</c:v>
                </c:pt>
                <c:pt idx="134">
                  <c:v>94</c:v>
                </c:pt>
                <c:pt idx="135">
                  <c:v>94.5</c:v>
                </c:pt>
                <c:pt idx="136">
                  <c:v>95</c:v>
                </c:pt>
                <c:pt idx="137">
                  <c:v>95.5</c:v>
                </c:pt>
                <c:pt idx="138">
                  <c:v>96</c:v>
                </c:pt>
                <c:pt idx="139">
                  <c:v>96.5</c:v>
                </c:pt>
                <c:pt idx="140">
                  <c:v>97</c:v>
                </c:pt>
                <c:pt idx="141">
                  <c:v>97.5</c:v>
                </c:pt>
                <c:pt idx="142">
                  <c:v>98</c:v>
                </c:pt>
                <c:pt idx="143">
                  <c:v>98.5</c:v>
                </c:pt>
                <c:pt idx="144">
                  <c:v>99</c:v>
                </c:pt>
                <c:pt idx="145">
                  <c:v>99.5</c:v>
                </c:pt>
                <c:pt idx="146">
                  <c:v>100</c:v>
                </c:pt>
                <c:pt idx="147">
                  <c:v>100.25</c:v>
                </c:pt>
                <c:pt idx="148">
                  <c:v>100.75</c:v>
                </c:pt>
                <c:pt idx="149">
                  <c:v>102</c:v>
                </c:pt>
                <c:pt idx="150">
                  <c:v>102.25</c:v>
                </c:pt>
                <c:pt idx="151">
                  <c:v>102.75</c:v>
                </c:pt>
                <c:pt idx="152">
                  <c:v>104</c:v>
                </c:pt>
                <c:pt idx="153">
                  <c:v>104.25</c:v>
                </c:pt>
                <c:pt idx="154">
                  <c:v>104.75</c:v>
                </c:pt>
                <c:pt idx="155">
                  <c:v>105.5</c:v>
                </c:pt>
                <c:pt idx="156">
                  <c:v>106</c:v>
                </c:pt>
                <c:pt idx="157">
                  <c:v>107.5</c:v>
                </c:pt>
                <c:pt idx="158">
                  <c:v>108</c:v>
                </c:pt>
                <c:pt idx="159">
                  <c:v>109.5</c:v>
                </c:pt>
                <c:pt idx="160">
                  <c:v>110</c:v>
                </c:pt>
                <c:pt idx="161">
                  <c:v>111.5</c:v>
                </c:pt>
                <c:pt idx="162">
                  <c:v>112</c:v>
                </c:pt>
                <c:pt idx="163">
                  <c:v>113</c:v>
                </c:pt>
                <c:pt idx="164">
                  <c:v>113.5</c:v>
                </c:pt>
                <c:pt idx="165">
                  <c:v>114</c:v>
                </c:pt>
                <c:pt idx="166">
                  <c:v>115.5</c:v>
                </c:pt>
                <c:pt idx="167">
                  <c:v>116</c:v>
                </c:pt>
                <c:pt idx="168">
                  <c:v>116.5</c:v>
                </c:pt>
                <c:pt idx="169">
                  <c:v>117</c:v>
                </c:pt>
                <c:pt idx="170">
                  <c:v>117.5</c:v>
                </c:pt>
                <c:pt idx="171">
                  <c:v>118</c:v>
                </c:pt>
                <c:pt idx="172">
                  <c:v>118.5</c:v>
                </c:pt>
                <c:pt idx="173">
                  <c:v>119</c:v>
                </c:pt>
                <c:pt idx="174">
                  <c:v>119.5</c:v>
                </c:pt>
                <c:pt idx="175">
                  <c:v>120</c:v>
                </c:pt>
                <c:pt idx="176">
                  <c:v>123.5</c:v>
                </c:pt>
                <c:pt idx="177">
                  <c:v>124</c:v>
                </c:pt>
                <c:pt idx="178">
                  <c:v>125.5</c:v>
                </c:pt>
                <c:pt idx="179">
                  <c:v>126</c:v>
                </c:pt>
                <c:pt idx="180">
                  <c:v>127.5</c:v>
                </c:pt>
                <c:pt idx="181">
                  <c:v>128</c:v>
                </c:pt>
                <c:pt idx="182">
                  <c:v>129</c:v>
                </c:pt>
                <c:pt idx="183">
                  <c:v>129.5</c:v>
                </c:pt>
                <c:pt idx="184">
                  <c:v>130</c:v>
                </c:pt>
                <c:pt idx="185">
                  <c:v>131.5</c:v>
                </c:pt>
                <c:pt idx="186">
                  <c:v>132</c:v>
                </c:pt>
                <c:pt idx="187">
                  <c:v>132.5</c:v>
                </c:pt>
                <c:pt idx="188">
                  <c:v>133</c:v>
                </c:pt>
                <c:pt idx="189">
                  <c:v>133.5</c:v>
                </c:pt>
                <c:pt idx="190">
                  <c:v>134</c:v>
                </c:pt>
                <c:pt idx="191">
                  <c:v>134.5</c:v>
                </c:pt>
                <c:pt idx="192">
                  <c:v>135</c:v>
                </c:pt>
                <c:pt idx="193">
                  <c:v>135.5</c:v>
                </c:pt>
                <c:pt idx="194">
                  <c:v>136</c:v>
                </c:pt>
                <c:pt idx="195">
                  <c:v>136.5</c:v>
                </c:pt>
                <c:pt idx="196">
                  <c:v>137</c:v>
                </c:pt>
                <c:pt idx="197">
                  <c:v>137.5</c:v>
                </c:pt>
                <c:pt idx="198">
                  <c:v>138</c:v>
                </c:pt>
                <c:pt idx="199">
                  <c:v>138.5</c:v>
                </c:pt>
                <c:pt idx="200">
                  <c:v>139</c:v>
                </c:pt>
                <c:pt idx="201">
                  <c:v>139.5</c:v>
                </c:pt>
                <c:pt idx="202">
                  <c:v>140</c:v>
                </c:pt>
                <c:pt idx="203">
                  <c:v>140.5</c:v>
                </c:pt>
                <c:pt idx="204">
                  <c:v>141</c:v>
                </c:pt>
                <c:pt idx="205">
                  <c:v>141.5</c:v>
                </c:pt>
                <c:pt idx="206">
                  <c:v>142</c:v>
                </c:pt>
                <c:pt idx="207">
                  <c:v>143</c:v>
                </c:pt>
                <c:pt idx="208">
                  <c:v>144</c:v>
                </c:pt>
                <c:pt idx="209">
                  <c:v>145</c:v>
                </c:pt>
                <c:pt idx="210">
                  <c:v>146</c:v>
                </c:pt>
                <c:pt idx="211">
                  <c:v>146.5</c:v>
                </c:pt>
                <c:pt idx="212">
                  <c:v>147</c:v>
                </c:pt>
                <c:pt idx="213">
                  <c:v>147.5</c:v>
                </c:pt>
                <c:pt idx="214">
                  <c:v>148</c:v>
                </c:pt>
                <c:pt idx="215">
                  <c:v>148.5</c:v>
                </c:pt>
                <c:pt idx="216">
                  <c:v>149</c:v>
                </c:pt>
                <c:pt idx="217">
                  <c:v>149.5</c:v>
                </c:pt>
                <c:pt idx="218">
                  <c:v>150</c:v>
                </c:pt>
                <c:pt idx="219">
                  <c:v>150.5</c:v>
                </c:pt>
                <c:pt idx="220">
                  <c:v>151</c:v>
                </c:pt>
                <c:pt idx="221">
                  <c:v>151.5</c:v>
                </c:pt>
                <c:pt idx="222">
                  <c:v>152</c:v>
                </c:pt>
                <c:pt idx="223">
                  <c:v>152.5</c:v>
                </c:pt>
                <c:pt idx="224">
                  <c:v>153</c:v>
                </c:pt>
                <c:pt idx="225">
                  <c:v>153.5</c:v>
                </c:pt>
                <c:pt idx="226">
                  <c:v>154</c:v>
                </c:pt>
                <c:pt idx="227">
                  <c:v>154.5</c:v>
                </c:pt>
                <c:pt idx="228">
                  <c:v>155</c:v>
                </c:pt>
                <c:pt idx="229">
                  <c:v>155.5</c:v>
                </c:pt>
                <c:pt idx="230">
                  <c:v>156</c:v>
                </c:pt>
                <c:pt idx="231">
                  <c:v>156.5</c:v>
                </c:pt>
                <c:pt idx="232">
                  <c:v>157</c:v>
                </c:pt>
                <c:pt idx="233">
                  <c:v>157.5</c:v>
                </c:pt>
                <c:pt idx="234">
                  <c:v>158</c:v>
                </c:pt>
                <c:pt idx="235">
                  <c:v>158.5</c:v>
                </c:pt>
                <c:pt idx="236">
                  <c:v>159</c:v>
                </c:pt>
                <c:pt idx="237">
                  <c:v>159.5</c:v>
                </c:pt>
                <c:pt idx="238">
                  <c:v>160</c:v>
                </c:pt>
                <c:pt idx="239">
                  <c:v>160.5</c:v>
                </c:pt>
                <c:pt idx="240">
                  <c:v>161</c:v>
                </c:pt>
                <c:pt idx="241">
                  <c:v>161.5</c:v>
                </c:pt>
                <c:pt idx="242">
                  <c:v>162</c:v>
                </c:pt>
                <c:pt idx="243">
                  <c:v>162.5</c:v>
                </c:pt>
                <c:pt idx="244">
                  <c:v>163</c:v>
                </c:pt>
                <c:pt idx="245">
                  <c:v>163.5</c:v>
                </c:pt>
                <c:pt idx="246">
                  <c:v>164</c:v>
                </c:pt>
                <c:pt idx="247">
                  <c:v>164.5</c:v>
                </c:pt>
                <c:pt idx="248">
                  <c:v>165</c:v>
                </c:pt>
                <c:pt idx="249">
                  <c:v>165.5</c:v>
                </c:pt>
                <c:pt idx="250">
                  <c:v>166</c:v>
                </c:pt>
                <c:pt idx="251">
                  <c:v>166.25</c:v>
                </c:pt>
                <c:pt idx="252">
                  <c:v>166.75</c:v>
                </c:pt>
                <c:pt idx="253">
                  <c:v>168</c:v>
                </c:pt>
                <c:pt idx="254">
                  <c:v>168.25</c:v>
                </c:pt>
                <c:pt idx="255">
                  <c:v>168.75</c:v>
                </c:pt>
                <c:pt idx="256">
                  <c:v>170</c:v>
                </c:pt>
                <c:pt idx="257">
                  <c:v>170.25</c:v>
                </c:pt>
                <c:pt idx="258">
                  <c:v>170.75</c:v>
                </c:pt>
                <c:pt idx="259">
                  <c:v>171.5</c:v>
                </c:pt>
                <c:pt idx="260">
                  <c:v>172</c:v>
                </c:pt>
                <c:pt idx="261">
                  <c:v>173</c:v>
                </c:pt>
              </c:numCache>
            </c:numRef>
          </c:xVal>
          <c:yVal>
            <c:numRef>
              <c:f>Sheet2!$AE$4:$AE$265</c:f>
              <c:numCache>
                <c:formatCode>General</c:formatCode>
                <c:ptCount val="262"/>
                <c:pt idx="0">
                  <c:v>293.66975814369101</c:v>
                </c:pt>
                <c:pt idx="1">
                  <c:v>311.13253664194741</c:v>
                </c:pt>
                <c:pt idx="2">
                  <c:v>329.63372180082422</c:v>
                </c:pt>
                <c:pt idx="3">
                  <c:v>311.13253664194741</c:v>
                </c:pt>
                <c:pt idx="4">
                  <c:v>293.66975814369101</c:v>
                </c:pt>
                <c:pt idx="5">
                  <c:v>311.13253664194741</c:v>
                </c:pt>
                <c:pt idx="6">
                  <c:v>293.66975814369101</c:v>
                </c:pt>
                <c:pt idx="7">
                  <c:v>277.18710418069043</c:v>
                </c:pt>
                <c:pt idx="8">
                  <c:v>261.62956379894968</c:v>
                </c:pt>
                <c:pt idx="9">
                  <c:v>246.94521361646048</c:v>
                </c:pt>
                <c:pt idx="10">
                  <c:v>233.08504452861115</c:v>
                </c:pt>
                <c:pt idx="11">
                  <c:v>220.00279814001337</c:v>
                </c:pt>
                <c:pt idx="12">
                  <c:v>207.65481237683719</c:v>
                </c:pt>
                <c:pt idx="13">
                  <c:v>195.99987576438383</c:v>
                </c:pt>
                <c:pt idx="14">
                  <c:v>184.99908988354849</c:v>
                </c:pt>
                <c:pt idx="15">
                  <c:v>174.61573954711864</c:v>
                </c:pt>
                <c:pt idx="16">
                  <c:v>164.8151702626221</c:v>
                </c:pt>
                <c:pt idx="17">
                  <c:v>155.56467257275574</c:v>
                </c:pt>
                <c:pt idx="18">
                  <c:v>146.83337288738056</c:v>
                </c:pt>
                <c:pt idx="19">
                  <c:v>138.5921304427338</c:v>
                </c:pt>
                <c:pt idx="20">
                  <c:v>146.83337288738056</c:v>
                </c:pt>
                <c:pt idx="21">
                  <c:v>97.998932630681253</c:v>
                </c:pt>
                <c:pt idx="22">
                  <c:v>138.5921304427338</c:v>
                </c:pt>
                <c:pt idx="23">
                  <c:v>97.998932630681253</c:v>
                </c:pt>
                <c:pt idx="24">
                  <c:v>130.81344004395982</c:v>
                </c:pt>
                <c:pt idx="25">
                  <c:v>261.62956379894968</c:v>
                </c:pt>
                <c:pt idx="26">
                  <c:v>123.4713402663609</c:v>
                </c:pt>
                <c:pt idx="27">
                  <c:v>246.94521361646048</c:v>
                </c:pt>
                <c:pt idx="28">
                  <c:v>110.00027071140791</c:v>
                </c:pt>
                <c:pt idx="29">
                  <c:v>220.00279814001337</c:v>
                </c:pt>
                <c:pt idx="30">
                  <c:v>97.998932630681253</c:v>
                </c:pt>
                <c:pt idx="31">
                  <c:v>195.99987576438383</c:v>
                </c:pt>
                <c:pt idx="32">
                  <c:v>87.306974197808145</c:v>
                </c:pt>
                <c:pt idx="33">
                  <c:v>174.61573954711864</c:v>
                </c:pt>
                <c:pt idx="34">
                  <c:v>82.406739821087044</c:v>
                </c:pt>
                <c:pt idx="35">
                  <c:v>164.8151702626221</c:v>
                </c:pt>
                <c:pt idx="36">
                  <c:v>73.415933359182759</c:v>
                </c:pt>
                <c:pt idx="37">
                  <c:v>146.83337288738056</c:v>
                </c:pt>
                <c:pt idx="38">
                  <c:v>87.306974197808145</c:v>
                </c:pt>
                <c:pt idx="39">
                  <c:v>174.61573954711864</c:v>
                </c:pt>
                <c:pt idx="40">
                  <c:v>97.998932630681253</c:v>
                </c:pt>
                <c:pt idx="41">
                  <c:v>110.00027071140791</c:v>
                </c:pt>
                <c:pt idx="42">
                  <c:v>130.81344004395982</c:v>
                </c:pt>
                <c:pt idx="43">
                  <c:v>195.99987576438383</c:v>
                </c:pt>
                <c:pt idx="44">
                  <c:v>220.00279814001337</c:v>
                </c:pt>
                <c:pt idx="45">
                  <c:v>261.62956379894968</c:v>
                </c:pt>
                <c:pt idx="46">
                  <c:v>440.01010976071973</c:v>
                </c:pt>
                <c:pt idx="47">
                  <c:v>523.26449507501752</c:v>
                </c:pt>
                <c:pt idx="48">
                  <c:v>587.34554108704231</c:v>
                </c:pt>
                <c:pt idx="49">
                  <c:v>587.34554108704231</c:v>
                </c:pt>
                <c:pt idx="50">
                  <c:v>523.26449507501752</c:v>
                </c:pt>
                <c:pt idx="51">
                  <c:v>261.62956379894968</c:v>
                </c:pt>
                <c:pt idx="52">
                  <c:v>293.66975814369101</c:v>
                </c:pt>
                <c:pt idx="53">
                  <c:v>293.66975814369101</c:v>
                </c:pt>
                <c:pt idx="54">
                  <c:v>246.94521361646048</c:v>
                </c:pt>
                <c:pt idx="55">
                  <c:v>261.62956379894968</c:v>
                </c:pt>
                <c:pt idx="56">
                  <c:v>220.00279814001337</c:v>
                </c:pt>
                <c:pt idx="57">
                  <c:v>174.61573954711864</c:v>
                </c:pt>
                <c:pt idx="58">
                  <c:v>146.83337288738056</c:v>
                </c:pt>
                <c:pt idx="59">
                  <c:v>164.8151702626221</c:v>
                </c:pt>
                <c:pt idx="60">
                  <c:v>146.83337288738056</c:v>
                </c:pt>
                <c:pt idx="61">
                  <c:v>246.94521361646048</c:v>
                </c:pt>
                <c:pt idx="62">
                  <c:v>130.81344004395982</c:v>
                </c:pt>
                <c:pt idx="63">
                  <c:v>110.00027071140791</c:v>
                </c:pt>
                <c:pt idx="64">
                  <c:v>116.54132680899107</c:v>
                </c:pt>
                <c:pt idx="65">
                  <c:v>146.83337288738056</c:v>
                </c:pt>
                <c:pt idx="66">
                  <c:v>174.61573954711864</c:v>
                </c:pt>
                <c:pt idx="67">
                  <c:v>195.99987576438383</c:v>
                </c:pt>
                <c:pt idx="68">
                  <c:v>233.08504452861115</c:v>
                </c:pt>
                <c:pt idx="69">
                  <c:v>293.66975814369101</c:v>
                </c:pt>
                <c:pt idx="70">
                  <c:v>349.23506143398839</c:v>
                </c:pt>
                <c:pt idx="71">
                  <c:v>293.66975814369101</c:v>
                </c:pt>
                <c:pt idx="72">
                  <c:v>233.08504452861115</c:v>
                </c:pt>
                <c:pt idx="73">
                  <c:v>246.94521361646048</c:v>
                </c:pt>
                <c:pt idx="74">
                  <c:v>261.62956379894968</c:v>
                </c:pt>
                <c:pt idx="75">
                  <c:v>174.61573954711864</c:v>
                </c:pt>
                <c:pt idx="76">
                  <c:v>146.83337288738056</c:v>
                </c:pt>
                <c:pt idx="77">
                  <c:v>164.8151702626221</c:v>
                </c:pt>
                <c:pt idx="78">
                  <c:v>146.83337288738056</c:v>
                </c:pt>
                <c:pt idx="79">
                  <c:v>246.94521361646048</c:v>
                </c:pt>
                <c:pt idx="80">
                  <c:v>130.81344004395982</c:v>
                </c:pt>
                <c:pt idx="81">
                  <c:v>110.00027071140791</c:v>
                </c:pt>
                <c:pt idx="82">
                  <c:v>116.54132680899107</c:v>
                </c:pt>
                <c:pt idx="83">
                  <c:v>146.83337288738056</c:v>
                </c:pt>
                <c:pt idx="84">
                  <c:v>174.61573954711864</c:v>
                </c:pt>
                <c:pt idx="85">
                  <c:v>195.99987576438383</c:v>
                </c:pt>
                <c:pt idx="86">
                  <c:v>233.08504452861115</c:v>
                </c:pt>
                <c:pt idx="87">
                  <c:v>293.66975814369101</c:v>
                </c:pt>
                <c:pt idx="88">
                  <c:v>349.23506143398839</c:v>
                </c:pt>
                <c:pt idx="89">
                  <c:v>293.66975814369101</c:v>
                </c:pt>
                <c:pt idx="90">
                  <c:v>349.23506143398839</c:v>
                </c:pt>
                <c:pt idx="91">
                  <c:v>293.66975814369101</c:v>
                </c:pt>
                <c:pt idx="92">
                  <c:v>349.23506143398839</c:v>
                </c:pt>
                <c:pt idx="93">
                  <c:v>311.13253664194741</c:v>
                </c:pt>
                <c:pt idx="94">
                  <c:v>349.23506143398839</c:v>
                </c:pt>
                <c:pt idx="95">
                  <c:v>311.13253664194741</c:v>
                </c:pt>
                <c:pt idx="96">
                  <c:v>349.23506143398839</c:v>
                </c:pt>
                <c:pt idx="97">
                  <c:v>311.13253664194741</c:v>
                </c:pt>
                <c:pt idx="98">
                  <c:v>370.00197512709912</c:v>
                </c:pt>
                <c:pt idx="99">
                  <c:v>311.13253664194741</c:v>
                </c:pt>
                <c:pt idx="100">
                  <c:v>370.00197512709912</c:v>
                </c:pt>
                <c:pt idx="101">
                  <c:v>493.89549345236594</c:v>
                </c:pt>
                <c:pt idx="102">
                  <c:v>523.26449507501752</c:v>
                </c:pt>
                <c:pt idx="103">
                  <c:v>493.89549345236594</c:v>
                </c:pt>
                <c:pt idx="104">
                  <c:v>440.01010976071973</c:v>
                </c:pt>
                <c:pt idx="105">
                  <c:v>392.00377257605692</c:v>
                </c:pt>
                <c:pt idx="106">
                  <c:v>293.66975814369101</c:v>
                </c:pt>
                <c:pt idx="107">
                  <c:v>311.13253664194741</c:v>
                </c:pt>
                <c:pt idx="108">
                  <c:v>329.63372180082422</c:v>
                </c:pt>
                <c:pt idx="109">
                  <c:v>311.13253664194741</c:v>
                </c:pt>
                <c:pt idx="110">
                  <c:v>293.66975814369101</c:v>
                </c:pt>
                <c:pt idx="111">
                  <c:v>311.13253664194741</c:v>
                </c:pt>
                <c:pt idx="112">
                  <c:v>293.66975814369101</c:v>
                </c:pt>
                <c:pt idx="113">
                  <c:v>277.18710418069043</c:v>
                </c:pt>
                <c:pt idx="114">
                  <c:v>261.62956379894968</c:v>
                </c:pt>
                <c:pt idx="115">
                  <c:v>246.94521361646048</c:v>
                </c:pt>
                <c:pt idx="116">
                  <c:v>233.08504452861115</c:v>
                </c:pt>
                <c:pt idx="117">
                  <c:v>220.00279814001337</c:v>
                </c:pt>
                <c:pt idx="118">
                  <c:v>207.65481237683719</c:v>
                </c:pt>
                <c:pt idx="119">
                  <c:v>195.99987576438383</c:v>
                </c:pt>
                <c:pt idx="120">
                  <c:v>184.99908988354849</c:v>
                </c:pt>
                <c:pt idx="121">
                  <c:v>174.61573954711864</c:v>
                </c:pt>
                <c:pt idx="122">
                  <c:v>164.8151702626221</c:v>
                </c:pt>
                <c:pt idx="123">
                  <c:v>155.56467257275574</c:v>
                </c:pt>
                <c:pt idx="124">
                  <c:v>146.83337288738056</c:v>
                </c:pt>
                <c:pt idx="125">
                  <c:v>138.5921304427338</c:v>
                </c:pt>
                <c:pt idx="126">
                  <c:v>146.83337288738056</c:v>
                </c:pt>
                <c:pt idx="127">
                  <c:v>97.998932630681253</c:v>
                </c:pt>
                <c:pt idx="128">
                  <c:v>138.5921304427338</c:v>
                </c:pt>
                <c:pt idx="129">
                  <c:v>97.998932630681253</c:v>
                </c:pt>
                <c:pt idx="130">
                  <c:v>130.81344004395982</c:v>
                </c:pt>
                <c:pt idx="131">
                  <c:v>261.62956379894968</c:v>
                </c:pt>
                <c:pt idx="132">
                  <c:v>123.4713402663609</c:v>
                </c:pt>
                <c:pt idx="133">
                  <c:v>246.94521361646048</c:v>
                </c:pt>
                <c:pt idx="134">
                  <c:v>110.00027071140791</c:v>
                </c:pt>
                <c:pt idx="135">
                  <c:v>220.00279814001337</c:v>
                </c:pt>
                <c:pt idx="136">
                  <c:v>97.998932630681253</c:v>
                </c:pt>
                <c:pt idx="137">
                  <c:v>195.99987576438383</c:v>
                </c:pt>
                <c:pt idx="138">
                  <c:v>87.306974197808145</c:v>
                </c:pt>
                <c:pt idx="139">
                  <c:v>174.61573954711864</c:v>
                </c:pt>
                <c:pt idx="140">
                  <c:v>82.406739821087044</c:v>
                </c:pt>
                <c:pt idx="141">
                  <c:v>164.8151702626221</c:v>
                </c:pt>
                <c:pt idx="142">
                  <c:v>73.415933359182759</c:v>
                </c:pt>
                <c:pt idx="143">
                  <c:v>146.83337288738056</c:v>
                </c:pt>
                <c:pt idx="144">
                  <c:v>87.306974197808145</c:v>
                </c:pt>
                <c:pt idx="145">
                  <c:v>174.61573954711864</c:v>
                </c:pt>
                <c:pt idx="146">
                  <c:v>97.998932630681253</c:v>
                </c:pt>
                <c:pt idx="147">
                  <c:v>110.00027071140791</c:v>
                </c:pt>
                <c:pt idx="148">
                  <c:v>130.81344004395982</c:v>
                </c:pt>
                <c:pt idx="149">
                  <c:v>195.99987576438383</c:v>
                </c:pt>
                <c:pt idx="150">
                  <c:v>220.00279814001337</c:v>
                </c:pt>
                <c:pt idx="151">
                  <c:v>261.62956379894968</c:v>
                </c:pt>
                <c:pt idx="152">
                  <c:v>440.01010976071973</c:v>
                </c:pt>
                <c:pt idx="153">
                  <c:v>523.26449507501752</c:v>
                </c:pt>
                <c:pt idx="154">
                  <c:v>587.34554108704231</c:v>
                </c:pt>
                <c:pt idx="155">
                  <c:v>587.34554108704231</c:v>
                </c:pt>
                <c:pt idx="156">
                  <c:v>523.26449507501752</c:v>
                </c:pt>
                <c:pt idx="157">
                  <c:v>246.94521361646048</c:v>
                </c:pt>
                <c:pt idx="158">
                  <c:v>261.62956379894968</c:v>
                </c:pt>
                <c:pt idx="159">
                  <c:v>220.00279814001337</c:v>
                </c:pt>
                <c:pt idx="160">
                  <c:v>174.61573954711864</c:v>
                </c:pt>
                <c:pt idx="161">
                  <c:v>146.83337288738056</c:v>
                </c:pt>
                <c:pt idx="162">
                  <c:v>164.8151702626221</c:v>
                </c:pt>
                <c:pt idx="163">
                  <c:v>146.83337288738056</c:v>
                </c:pt>
                <c:pt idx="164">
                  <c:v>246.94521361646048</c:v>
                </c:pt>
                <c:pt idx="165">
                  <c:v>130.81344004395982</c:v>
                </c:pt>
                <c:pt idx="166">
                  <c:v>110.00027071140791</c:v>
                </c:pt>
                <c:pt idx="167">
                  <c:v>116.54132680899107</c:v>
                </c:pt>
                <c:pt idx="168">
                  <c:v>146.83337288738056</c:v>
                </c:pt>
                <c:pt idx="169">
                  <c:v>174.61573954711864</c:v>
                </c:pt>
                <c:pt idx="170">
                  <c:v>195.99987576438383</c:v>
                </c:pt>
                <c:pt idx="171">
                  <c:v>233.08504452861115</c:v>
                </c:pt>
                <c:pt idx="172">
                  <c:v>293.66975814369101</c:v>
                </c:pt>
                <c:pt idx="173">
                  <c:v>349.23506143398839</c:v>
                </c:pt>
                <c:pt idx="174">
                  <c:v>293.66975814369101</c:v>
                </c:pt>
                <c:pt idx="175">
                  <c:v>233.08504452861115</c:v>
                </c:pt>
                <c:pt idx="176">
                  <c:v>246.94521361646048</c:v>
                </c:pt>
                <c:pt idx="177">
                  <c:v>261.62956379894968</c:v>
                </c:pt>
                <c:pt idx="178">
                  <c:v>220.00279814001337</c:v>
                </c:pt>
                <c:pt idx="179">
                  <c:v>174.61573954711864</c:v>
                </c:pt>
                <c:pt idx="180">
                  <c:v>146.83337288738056</c:v>
                </c:pt>
                <c:pt idx="181">
                  <c:v>164.8151702626221</c:v>
                </c:pt>
                <c:pt idx="182">
                  <c:v>146.83337288738056</c:v>
                </c:pt>
                <c:pt idx="183">
                  <c:v>246.94521361646048</c:v>
                </c:pt>
                <c:pt idx="184">
                  <c:v>130.81344004395982</c:v>
                </c:pt>
                <c:pt idx="185">
                  <c:v>110.00027071140791</c:v>
                </c:pt>
                <c:pt idx="186">
                  <c:v>116.54132680899107</c:v>
                </c:pt>
                <c:pt idx="187">
                  <c:v>146.83337288738056</c:v>
                </c:pt>
                <c:pt idx="188">
                  <c:v>174.61573954711864</c:v>
                </c:pt>
                <c:pt idx="189">
                  <c:v>195.99987576438383</c:v>
                </c:pt>
                <c:pt idx="190">
                  <c:v>233.08504452861115</c:v>
                </c:pt>
                <c:pt idx="191">
                  <c:v>293.66975814369101</c:v>
                </c:pt>
                <c:pt idx="192">
                  <c:v>349.23506143398839</c:v>
                </c:pt>
                <c:pt idx="193">
                  <c:v>293.66975814369101</c:v>
                </c:pt>
                <c:pt idx="194">
                  <c:v>349.23506143398839</c:v>
                </c:pt>
                <c:pt idx="195">
                  <c:v>293.66975814369101</c:v>
                </c:pt>
                <c:pt idx="196">
                  <c:v>349.23506143398839</c:v>
                </c:pt>
                <c:pt idx="197">
                  <c:v>311.13253664194741</c:v>
                </c:pt>
                <c:pt idx="198">
                  <c:v>349.23506143398839</c:v>
                </c:pt>
                <c:pt idx="199">
                  <c:v>311.13253664194741</c:v>
                </c:pt>
                <c:pt idx="200">
                  <c:v>349.23506143398839</c:v>
                </c:pt>
                <c:pt idx="201">
                  <c:v>311.13253664194741</c:v>
                </c:pt>
                <c:pt idx="202">
                  <c:v>370.00197512709912</c:v>
                </c:pt>
                <c:pt idx="203">
                  <c:v>311.13253664194741</c:v>
                </c:pt>
                <c:pt idx="204">
                  <c:v>370.00197512709912</c:v>
                </c:pt>
                <c:pt idx="205">
                  <c:v>493.89549345236594</c:v>
                </c:pt>
                <c:pt idx="206">
                  <c:v>523.26449507501752</c:v>
                </c:pt>
                <c:pt idx="207">
                  <c:v>493.89549345236594</c:v>
                </c:pt>
                <c:pt idx="208">
                  <c:v>440.01010976071973</c:v>
                </c:pt>
                <c:pt idx="209">
                  <c:v>392.00377257605692</c:v>
                </c:pt>
                <c:pt idx="210">
                  <c:v>293.66975814369101</c:v>
                </c:pt>
                <c:pt idx="211">
                  <c:v>311.13253664194741</c:v>
                </c:pt>
                <c:pt idx="212">
                  <c:v>329.63372180082422</c:v>
                </c:pt>
                <c:pt idx="213">
                  <c:v>311.13253664194741</c:v>
                </c:pt>
                <c:pt idx="214">
                  <c:v>293.66975814369101</c:v>
                </c:pt>
                <c:pt idx="215">
                  <c:v>311.13253664194741</c:v>
                </c:pt>
                <c:pt idx="216">
                  <c:v>293.66975814369101</c:v>
                </c:pt>
                <c:pt idx="217">
                  <c:v>277.18710418069043</c:v>
                </c:pt>
                <c:pt idx="218">
                  <c:v>261.62956379894968</c:v>
                </c:pt>
                <c:pt idx="219">
                  <c:v>246.94521361646048</c:v>
                </c:pt>
                <c:pt idx="220">
                  <c:v>233.08504452861115</c:v>
                </c:pt>
                <c:pt idx="221">
                  <c:v>220.00279814001337</c:v>
                </c:pt>
                <c:pt idx="222">
                  <c:v>207.65481237683719</c:v>
                </c:pt>
                <c:pt idx="223">
                  <c:v>195.99987576438383</c:v>
                </c:pt>
                <c:pt idx="224">
                  <c:v>184.99908988354849</c:v>
                </c:pt>
                <c:pt idx="225">
                  <c:v>174.61573954711864</c:v>
                </c:pt>
                <c:pt idx="226">
                  <c:v>164.8151702626221</c:v>
                </c:pt>
                <c:pt idx="227">
                  <c:v>155.56467257275574</c:v>
                </c:pt>
                <c:pt idx="228">
                  <c:v>146.83337288738056</c:v>
                </c:pt>
                <c:pt idx="229">
                  <c:v>138.5921304427338</c:v>
                </c:pt>
                <c:pt idx="230">
                  <c:v>146.83337288738056</c:v>
                </c:pt>
                <c:pt idx="231">
                  <c:v>97.998932630681253</c:v>
                </c:pt>
                <c:pt idx="232">
                  <c:v>138.5921304427338</c:v>
                </c:pt>
                <c:pt idx="233">
                  <c:v>97.998932630681253</c:v>
                </c:pt>
                <c:pt idx="234">
                  <c:v>130.81344004395982</c:v>
                </c:pt>
                <c:pt idx="235">
                  <c:v>261.62956379894968</c:v>
                </c:pt>
                <c:pt idx="236">
                  <c:v>123.4713402663609</c:v>
                </c:pt>
                <c:pt idx="237">
                  <c:v>246.94521361646048</c:v>
                </c:pt>
                <c:pt idx="238">
                  <c:v>110.00027071140791</c:v>
                </c:pt>
                <c:pt idx="239">
                  <c:v>220.00279814001337</c:v>
                </c:pt>
                <c:pt idx="240">
                  <c:v>97.998932630681253</c:v>
                </c:pt>
                <c:pt idx="241">
                  <c:v>195.99987576438383</c:v>
                </c:pt>
                <c:pt idx="242">
                  <c:v>87.306974197808145</c:v>
                </c:pt>
                <c:pt idx="243">
                  <c:v>174.61573954711864</c:v>
                </c:pt>
                <c:pt idx="244">
                  <c:v>82.406739821087044</c:v>
                </c:pt>
                <c:pt idx="245">
                  <c:v>164.8151702626221</c:v>
                </c:pt>
                <c:pt idx="246">
                  <c:v>73.415933359182759</c:v>
                </c:pt>
                <c:pt idx="247">
                  <c:v>146.83337288738056</c:v>
                </c:pt>
                <c:pt idx="248">
                  <c:v>87.306974197808145</c:v>
                </c:pt>
                <c:pt idx="249">
                  <c:v>174.61573954711864</c:v>
                </c:pt>
                <c:pt idx="250">
                  <c:v>97.998932630681253</c:v>
                </c:pt>
                <c:pt idx="251">
                  <c:v>110.00027071140791</c:v>
                </c:pt>
                <c:pt idx="252">
                  <c:v>130.81344004395982</c:v>
                </c:pt>
                <c:pt idx="253">
                  <c:v>195.99987576438383</c:v>
                </c:pt>
                <c:pt idx="254">
                  <c:v>220.00279814001337</c:v>
                </c:pt>
                <c:pt idx="255">
                  <c:v>261.62956379894968</c:v>
                </c:pt>
                <c:pt idx="256">
                  <c:v>440.01010976071973</c:v>
                </c:pt>
                <c:pt idx="257">
                  <c:v>523.26449507501752</c:v>
                </c:pt>
                <c:pt idx="258">
                  <c:v>587.34554108704231</c:v>
                </c:pt>
                <c:pt idx="259">
                  <c:v>587.34554108704231</c:v>
                </c:pt>
                <c:pt idx="260">
                  <c:v>523.26449507501752</c:v>
                </c:pt>
                <c:pt idx="261">
                  <c:v>261.62956379894968</c:v>
                </c:pt>
              </c:numCache>
            </c:numRef>
          </c:yVal>
          <c:smooth val="0"/>
        </c:ser>
        <c:ser>
          <c:idx val="3"/>
          <c:order val="3"/>
          <c:tx>
            <c:v>Left Hand Harmony</c:v>
          </c:tx>
          <c:spPr>
            <a:ln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Sheet2!$AB$4:$AB$265</c:f>
              <c:numCache>
                <c:formatCode>General</c:formatCode>
                <c:ptCount val="262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  <c:pt idx="41">
                  <c:v>24.25</c:v>
                </c:pt>
                <c:pt idx="42">
                  <c:v>24.75</c:v>
                </c:pt>
                <c:pt idx="43">
                  <c:v>26</c:v>
                </c:pt>
                <c:pt idx="44">
                  <c:v>26.25</c:v>
                </c:pt>
                <c:pt idx="45">
                  <c:v>26.75</c:v>
                </c:pt>
                <c:pt idx="46">
                  <c:v>28</c:v>
                </c:pt>
                <c:pt idx="47">
                  <c:v>28.25</c:v>
                </c:pt>
                <c:pt idx="48">
                  <c:v>28.75</c:v>
                </c:pt>
                <c:pt idx="49">
                  <c:v>29.5</c:v>
                </c:pt>
                <c:pt idx="50">
                  <c:v>30</c:v>
                </c:pt>
                <c:pt idx="51">
                  <c:v>31.5</c:v>
                </c:pt>
                <c:pt idx="52">
                  <c:v>33.5</c:v>
                </c:pt>
                <c:pt idx="53">
                  <c:v>35.5</c:v>
                </c:pt>
                <c:pt idx="54">
                  <c:v>41.5</c:v>
                </c:pt>
                <c:pt idx="55">
                  <c:v>42</c:v>
                </c:pt>
                <c:pt idx="56">
                  <c:v>43.5</c:v>
                </c:pt>
                <c:pt idx="57">
                  <c:v>44</c:v>
                </c:pt>
                <c:pt idx="58">
                  <c:v>45.5</c:v>
                </c:pt>
                <c:pt idx="59">
                  <c:v>46</c:v>
                </c:pt>
                <c:pt idx="60">
                  <c:v>47</c:v>
                </c:pt>
                <c:pt idx="61">
                  <c:v>47.5</c:v>
                </c:pt>
                <c:pt idx="62">
                  <c:v>48</c:v>
                </c:pt>
                <c:pt idx="63">
                  <c:v>49.5</c:v>
                </c:pt>
                <c:pt idx="64">
                  <c:v>50</c:v>
                </c:pt>
                <c:pt idx="65">
                  <c:v>50.5</c:v>
                </c:pt>
                <c:pt idx="66">
                  <c:v>51</c:v>
                </c:pt>
                <c:pt idx="67">
                  <c:v>51.5</c:v>
                </c:pt>
                <c:pt idx="68">
                  <c:v>52</c:v>
                </c:pt>
                <c:pt idx="69">
                  <c:v>52.5</c:v>
                </c:pt>
                <c:pt idx="70">
                  <c:v>53</c:v>
                </c:pt>
                <c:pt idx="71">
                  <c:v>53.5</c:v>
                </c:pt>
                <c:pt idx="72">
                  <c:v>54</c:v>
                </c:pt>
                <c:pt idx="73">
                  <c:v>57.5</c:v>
                </c:pt>
                <c:pt idx="74">
                  <c:v>58</c:v>
                </c:pt>
                <c:pt idx="75">
                  <c:v>60</c:v>
                </c:pt>
                <c:pt idx="76">
                  <c:v>61.5</c:v>
                </c:pt>
                <c:pt idx="77">
                  <c:v>62</c:v>
                </c:pt>
                <c:pt idx="78">
                  <c:v>63</c:v>
                </c:pt>
                <c:pt idx="79">
                  <c:v>63.5</c:v>
                </c:pt>
                <c:pt idx="80">
                  <c:v>64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  <c:pt idx="91">
                  <c:v>70.5</c:v>
                </c:pt>
                <c:pt idx="92">
                  <c:v>71</c:v>
                </c:pt>
                <c:pt idx="93">
                  <c:v>71.5</c:v>
                </c:pt>
                <c:pt idx="94">
                  <c:v>72</c:v>
                </c:pt>
                <c:pt idx="95">
                  <c:v>72.5</c:v>
                </c:pt>
                <c:pt idx="96">
                  <c:v>73</c:v>
                </c:pt>
                <c:pt idx="97">
                  <c:v>73.5</c:v>
                </c:pt>
                <c:pt idx="98">
                  <c:v>74</c:v>
                </c:pt>
                <c:pt idx="99">
                  <c:v>74.5</c:v>
                </c:pt>
                <c:pt idx="100">
                  <c:v>75</c:v>
                </c:pt>
                <c:pt idx="101">
                  <c:v>75.5</c:v>
                </c:pt>
                <c:pt idx="102">
                  <c:v>76</c:v>
                </c:pt>
                <c:pt idx="103">
                  <c:v>77</c:v>
                </c:pt>
                <c:pt idx="104">
                  <c:v>78</c:v>
                </c:pt>
                <c:pt idx="105">
                  <c:v>79</c:v>
                </c:pt>
                <c:pt idx="106">
                  <c:v>80</c:v>
                </c:pt>
                <c:pt idx="107">
                  <c:v>80.5</c:v>
                </c:pt>
                <c:pt idx="108">
                  <c:v>81</c:v>
                </c:pt>
                <c:pt idx="109">
                  <c:v>81.5</c:v>
                </c:pt>
                <c:pt idx="110">
                  <c:v>82</c:v>
                </c:pt>
                <c:pt idx="111">
                  <c:v>82.5</c:v>
                </c:pt>
                <c:pt idx="112">
                  <c:v>83</c:v>
                </c:pt>
                <c:pt idx="113">
                  <c:v>83.5</c:v>
                </c:pt>
                <c:pt idx="114">
                  <c:v>84</c:v>
                </c:pt>
                <c:pt idx="115">
                  <c:v>84.5</c:v>
                </c:pt>
                <c:pt idx="116">
                  <c:v>85</c:v>
                </c:pt>
                <c:pt idx="117">
                  <c:v>85.5</c:v>
                </c:pt>
                <c:pt idx="118">
                  <c:v>86</c:v>
                </c:pt>
                <c:pt idx="119">
                  <c:v>86.5</c:v>
                </c:pt>
                <c:pt idx="120">
                  <c:v>87</c:v>
                </c:pt>
                <c:pt idx="121">
                  <c:v>87.5</c:v>
                </c:pt>
                <c:pt idx="122">
                  <c:v>88</c:v>
                </c:pt>
                <c:pt idx="123">
                  <c:v>88.5</c:v>
                </c:pt>
                <c:pt idx="124">
                  <c:v>89</c:v>
                </c:pt>
                <c:pt idx="125">
                  <c:v>89.5</c:v>
                </c:pt>
                <c:pt idx="126">
                  <c:v>90</c:v>
                </c:pt>
                <c:pt idx="127">
                  <c:v>90.5</c:v>
                </c:pt>
                <c:pt idx="128">
                  <c:v>91</c:v>
                </c:pt>
                <c:pt idx="129">
                  <c:v>91.5</c:v>
                </c:pt>
                <c:pt idx="130">
                  <c:v>92</c:v>
                </c:pt>
                <c:pt idx="131">
                  <c:v>92.5</c:v>
                </c:pt>
                <c:pt idx="132">
                  <c:v>93</c:v>
                </c:pt>
                <c:pt idx="133">
                  <c:v>93.5</c:v>
                </c:pt>
                <c:pt idx="134">
                  <c:v>94</c:v>
                </c:pt>
                <c:pt idx="135">
                  <c:v>94.5</c:v>
                </c:pt>
                <c:pt idx="136">
                  <c:v>95</c:v>
                </c:pt>
                <c:pt idx="137">
                  <c:v>95.5</c:v>
                </c:pt>
                <c:pt idx="138">
                  <c:v>96</c:v>
                </c:pt>
                <c:pt idx="139">
                  <c:v>96.5</c:v>
                </c:pt>
                <c:pt idx="140">
                  <c:v>97</c:v>
                </c:pt>
                <c:pt idx="141">
                  <c:v>97.5</c:v>
                </c:pt>
                <c:pt idx="142">
                  <c:v>98</c:v>
                </c:pt>
                <c:pt idx="143">
                  <c:v>98.5</c:v>
                </c:pt>
                <c:pt idx="144">
                  <c:v>99</c:v>
                </c:pt>
                <c:pt idx="145">
                  <c:v>99.5</c:v>
                </c:pt>
                <c:pt idx="146">
                  <c:v>100</c:v>
                </c:pt>
                <c:pt idx="147">
                  <c:v>100.25</c:v>
                </c:pt>
                <c:pt idx="148">
                  <c:v>100.75</c:v>
                </c:pt>
                <c:pt idx="149">
                  <c:v>102</c:v>
                </c:pt>
                <c:pt idx="150">
                  <c:v>102.25</c:v>
                </c:pt>
                <c:pt idx="151">
                  <c:v>102.75</c:v>
                </c:pt>
                <c:pt idx="152">
                  <c:v>104</c:v>
                </c:pt>
                <c:pt idx="153">
                  <c:v>104.25</c:v>
                </c:pt>
                <c:pt idx="154">
                  <c:v>104.75</c:v>
                </c:pt>
                <c:pt idx="155">
                  <c:v>105.5</c:v>
                </c:pt>
                <c:pt idx="156">
                  <c:v>106</c:v>
                </c:pt>
                <c:pt idx="157">
                  <c:v>107.5</c:v>
                </c:pt>
                <c:pt idx="158">
                  <c:v>108</c:v>
                </c:pt>
                <c:pt idx="159">
                  <c:v>109.5</c:v>
                </c:pt>
                <c:pt idx="160">
                  <c:v>110</c:v>
                </c:pt>
                <c:pt idx="161">
                  <c:v>111.5</c:v>
                </c:pt>
                <c:pt idx="162">
                  <c:v>112</c:v>
                </c:pt>
                <c:pt idx="163">
                  <c:v>113</c:v>
                </c:pt>
                <c:pt idx="164">
                  <c:v>113.5</c:v>
                </c:pt>
                <c:pt idx="165">
                  <c:v>114</c:v>
                </c:pt>
                <c:pt idx="166">
                  <c:v>115.5</c:v>
                </c:pt>
                <c:pt idx="167">
                  <c:v>116</c:v>
                </c:pt>
                <c:pt idx="168">
                  <c:v>116.5</c:v>
                </c:pt>
                <c:pt idx="169">
                  <c:v>117</c:v>
                </c:pt>
                <c:pt idx="170">
                  <c:v>117.5</c:v>
                </c:pt>
                <c:pt idx="171">
                  <c:v>118</c:v>
                </c:pt>
                <c:pt idx="172">
                  <c:v>118.5</c:v>
                </c:pt>
                <c:pt idx="173">
                  <c:v>119</c:v>
                </c:pt>
                <c:pt idx="174">
                  <c:v>119.5</c:v>
                </c:pt>
                <c:pt idx="175">
                  <c:v>120</c:v>
                </c:pt>
                <c:pt idx="176">
                  <c:v>123.5</c:v>
                </c:pt>
                <c:pt idx="177">
                  <c:v>124</c:v>
                </c:pt>
                <c:pt idx="178">
                  <c:v>125.5</c:v>
                </c:pt>
                <c:pt idx="179">
                  <c:v>126</c:v>
                </c:pt>
                <c:pt idx="180">
                  <c:v>127.5</c:v>
                </c:pt>
                <c:pt idx="181">
                  <c:v>128</c:v>
                </c:pt>
                <c:pt idx="182">
                  <c:v>129</c:v>
                </c:pt>
                <c:pt idx="183">
                  <c:v>129.5</c:v>
                </c:pt>
                <c:pt idx="184">
                  <c:v>130</c:v>
                </c:pt>
                <c:pt idx="185">
                  <c:v>131.5</c:v>
                </c:pt>
                <c:pt idx="186">
                  <c:v>132</c:v>
                </c:pt>
                <c:pt idx="187">
                  <c:v>132.5</c:v>
                </c:pt>
                <c:pt idx="188">
                  <c:v>133</c:v>
                </c:pt>
                <c:pt idx="189">
                  <c:v>133.5</c:v>
                </c:pt>
                <c:pt idx="190">
                  <c:v>134</c:v>
                </c:pt>
                <c:pt idx="191">
                  <c:v>134.5</c:v>
                </c:pt>
                <c:pt idx="192">
                  <c:v>135</c:v>
                </c:pt>
                <c:pt idx="193">
                  <c:v>135.5</c:v>
                </c:pt>
                <c:pt idx="194">
                  <c:v>136</c:v>
                </c:pt>
                <c:pt idx="195">
                  <c:v>136.5</c:v>
                </c:pt>
                <c:pt idx="196">
                  <c:v>137</c:v>
                </c:pt>
                <c:pt idx="197">
                  <c:v>137.5</c:v>
                </c:pt>
                <c:pt idx="198">
                  <c:v>138</c:v>
                </c:pt>
                <c:pt idx="199">
                  <c:v>138.5</c:v>
                </c:pt>
                <c:pt idx="200">
                  <c:v>139</c:v>
                </c:pt>
                <c:pt idx="201">
                  <c:v>139.5</c:v>
                </c:pt>
                <c:pt idx="202">
                  <c:v>140</c:v>
                </c:pt>
                <c:pt idx="203">
                  <c:v>140.5</c:v>
                </c:pt>
                <c:pt idx="204">
                  <c:v>141</c:v>
                </c:pt>
                <c:pt idx="205">
                  <c:v>141.5</c:v>
                </c:pt>
                <c:pt idx="206">
                  <c:v>142</c:v>
                </c:pt>
                <c:pt idx="207">
                  <c:v>143</c:v>
                </c:pt>
                <c:pt idx="208">
                  <c:v>144</c:v>
                </c:pt>
                <c:pt idx="209">
                  <c:v>145</c:v>
                </c:pt>
                <c:pt idx="210">
                  <c:v>146</c:v>
                </c:pt>
                <c:pt idx="211">
                  <c:v>146.5</c:v>
                </c:pt>
                <c:pt idx="212">
                  <c:v>147</c:v>
                </c:pt>
                <c:pt idx="213">
                  <c:v>147.5</c:v>
                </c:pt>
                <c:pt idx="214">
                  <c:v>148</c:v>
                </c:pt>
                <c:pt idx="215">
                  <c:v>148.5</c:v>
                </c:pt>
                <c:pt idx="216">
                  <c:v>149</c:v>
                </c:pt>
                <c:pt idx="217">
                  <c:v>149.5</c:v>
                </c:pt>
                <c:pt idx="218">
                  <c:v>150</c:v>
                </c:pt>
                <c:pt idx="219">
                  <c:v>150.5</c:v>
                </c:pt>
                <c:pt idx="220">
                  <c:v>151</c:v>
                </c:pt>
                <c:pt idx="221">
                  <c:v>151.5</c:v>
                </c:pt>
                <c:pt idx="222">
                  <c:v>152</c:v>
                </c:pt>
                <c:pt idx="223">
                  <c:v>152.5</c:v>
                </c:pt>
                <c:pt idx="224">
                  <c:v>153</c:v>
                </c:pt>
                <c:pt idx="225">
                  <c:v>153.5</c:v>
                </c:pt>
                <c:pt idx="226">
                  <c:v>154</c:v>
                </c:pt>
                <c:pt idx="227">
                  <c:v>154.5</c:v>
                </c:pt>
                <c:pt idx="228">
                  <c:v>155</c:v>
                </c:pt>
                <c:pt idx="229">
                  <c:v>155.5</c:v>
                </c:pt>
                <c:pt idx="230">
                  <c:v>156</c:v>
                </c:pt>
                <c:pt idx="231">
                  <c:v>156.5</c:v>
                </c:pt>
                <c:pt idx="232">
                  <c:v>157</c:v>
                </c:pt>
                <c:pt idx="233">
                  <c:v>157.5</c:v>
                </c:pt>
                <c:pt idx="234">
                  <c:v>158</c:v>
                </c:pt>
                <c:pt idx="235">
                  <c:v>158.5</c:v>
                </c:pt>
                <c:pt idx="236">
                  <c:v>159</c:v>
                </c:pt>
                <c:pt idx="237">
                  <c:v>159.5</c:v>
                </c:pt>
                <c:pt idx="238">
                  <c:v>160</c:v>
                </c:pt>
                <c:pt idx="239">
                  <c:v>160.5</c:v>
                </c:pt>
                <c:pt idx="240">
                  <c:v>161</c:v>
                </c:pt>
                <c:pt idx="241">
                  <c:v>161.5</c:v>
                </c:pt>
                <c:pt idx="242">
                  <c:v>162</c:v>
                </c:pt>
                <c:pt idx="243">
                  <c:v>162.5</c:v>
                </c:pt>
                <c:pt idx="244">
                  <c:v>163</c:v>
                </c:pt>
                <c:pt idx="245">
                  <c:v>163.5</c:v>
                </c:pt>
                <c:pt idx="246">
                  <c:v>164</c:v>
                </c:pt>
                <c:pt idx="247">
                  <c:v>164.5</c:v>
                </c:pt>
                <c:pt idx="248">
                  <c:v>165</c:v>
                </c:pt>
                <c:pt idx="249">
                  <c:v>165.5</c:v>
                </c:pt>
                <c:pt idx="250">
                  <c:v>166</c:v>
                </c:pt>
                <c:pt idx="251">
                  <c:v>166.25</c:v>
                </c:pt>
                <c:pt idx="252">
                  <c:v>166.75</c:v>
                </c:pt>
                <c:pt idx="253">
                  <c:v>168</c:v>
                </c:pt>
                <c:pt idx="254">
                  <c:v>168.25</c:v>
                </c:pt>
                <c:pt idx="255">
                  <c:v>168.75</c:v>
                </c:pt>
                <c:pt idx="256">
                  <c:v>170</c:v>
                </c:pt>
                <c:pt idx="257">
                  <c:v>170.25</c:v>
                </c:pt>
                <c:pt idx="258">
                  <c:v>170.75</c:v>
                </c:pt>
                <c:pt idx="259">
                  <c:v>171.5</c:v>
                </c:pt>
                <c:pt idx="260">
                  <c:v>172</c:v>
                </c:pt>
                <c:pt idx="261">
                  <c:v>173</c:v>
                </c:pt>
              </c:numCache>
            </c:numRef>
          </c:xVal>
          <c:yVal>
            <c:numRef>
              <c:f>Sheet2!$AK$4:$AK$265</c:f>
              <c:numCache>
                <c:formatCode>General</c:formatCode>
                <c:ptCount val="262"/>
                <c:pt idx="0">
                  <c:v>349.23506143398839</c:v>
                </c:pt>
                <c:pt idx="1">
                  <c:v>370.00197512709912</c:v>
                </c:pt>
                <c:pt idx="2">
                  <c:v>392.00377257605692</c:v>
                </c:pt>
                <c:pt idx="3">
                  <c:v>370.00197512709912</c:v>
                </c:pt>
                <c:pt idx="4">
                  <c:v>349.23506143398839</c:v>
                </c:pt>
                <c:pt idx="5">
                  <c:v>370.00197512709912</c:v>
                </c:pt>
                <c:pt idx="6">
                  <c:v>349.23506143398839</c:v>
                </c:pt>
                <c:pt idx="7">
                  <c:v>329.63372180082422</c:v>
                </c:pt>
                <c:pt idx="8">
                  <c:v>311.13253664194741</c:v>
                </c:pt>
                <c:pt idx="9">
                  <c:v>293.66975814369101</c:v>
                </c:pt>
                <c:pt idx="10">
                  <c:v>277.18710418069043</c:v>
                </c:pt>
                <c:pt idx="11">
                  <c:v>261.62956379894968</c:v>
                </c:pt>
                <c:pt idx="12">
                  <c:v>246.94521361646048</c:v>
                </c:pt>
                <c:pt idx="13">
                  <c:v>233.08504452861115</c:v>
                </c:pt>
                <c:pt idx="14">
                  <c:v>220.00279814001337</c:v>
                </c:pt>
                <c:pt idx="15">
                  <c:v>207.65481237683719</c:v>
                </c:pt>
                <c:pt idx="16">
                  <c:v>195.99987576438383</c:v>
                </c:pt>
                <c:pt idx="17">
                  <c:v>184.99908988354849</c:v>
                </c:pt>
                <c:pt idx="18">
                  <c:v>174.61573954711864</c:v>
                </c:pt>
                <c:pt idx="19">
                  <c:v>184.99908988354849</c:v>
                </c:pt>
                <c:pt idx="20">
                  <c:v>174.61573954711864</c:v>
                </c:pt>
                <c:pt idx="22">
                  <c:v>174.61573954711864</c:v>
                </c:pt>
                <c:pt idx="49">
                  <c:v>698.47728762097279</c:v>
                </c:pt>
                <c:pt idx="50">
                  <c:v>659.27420622217721</c:v>
                </c:pt>
                <c:pt idx="53">
                  <c:v>349.23506143398839</c:v>
                </c:pt>
                <c:pt idx="106">
                  <c:v>349.23506143398839</c:v>
                </c:pt>
                <c:pt idx="107">
                  <c:v>370.00197512709912</c:v>
                </c:pt>
                <c:pt idx="108">
                  <c:v>392.00377257605692</c:v>
                </c:pt>
                <c:pt idx="109">
                  <c:v>370.00197512709912</c:v>
                </c:pt>
                <c:pt idx="110">
                  <c:v>349.23506143398839</c:v>
                </c:pt>
                <c:pt idx="111">
                  <c:v>370.00197512709912</c:v>
                </c:pt>
                <c:pt idx="112">
                  <c:v>349.23506143398839</c:v>
                </c:pt>
                <c:pt idx="113">
                  <c:v>329.63372180082422</c:v>
                </c:pt>
                <c:pt idx="114">
                  <c:v>311.13253664194741</c:v>
                </c:pt>
                <c:pt idx="115">
                  <c:v>293.66975814369101</c:v>
                </c:pt>
                <c:pt idx="116">
                  <c:v>277.18710418069043</c:v>
                </c:pt>
                <c:pt idx="117">
                  <c:v>261.62956379894968</c:v>
                </c:pt>
                <c:pt idx="118">
                  <c:v>246.94521361646048</c:v>
                </c:pt>
                <c:pt idx="119">
                  <c:v>233.08504452861115</c:v>
                </c:pt>
                <c:pt idx="120">
                  <c:v>220.00279814001337</c:v>
                </c:pt>
                <c:pt idx="121">
                  <c:v>207.65481237683719</c:v>
                </c:pt>
                <c:pt idx="122">
                  <c:v>195.99987576438383</c:v>
                </c:pt>
                <c:pt idx="123">
                  <c:v>184.99908988354849</c:v>
                </c:pt>
                <c:pt idx="124">
                  <c:v>174.61573954711864</c:v>
                </c:pt>
                <c:pt idx="125">
                  <c:v>184.99908988354849</c:v>
                </c:pt>
                <c:pt idx="126">
                  <c:v>174.61573954711864</c:v>
                </c:pt>
                <c:pt idx="128">
                  <c:v>174.61573954711864</c:v>
                </c:pt>
                <c:pt idx="210">
                  <c:v>349.23506143398839</c:v>
                </c:pt>
                <c:pt idx="211">
                  <c:v>370.00197512709912</c:v>
                </c:pt>
                <c:pt idx="212">
                  <c:v>392.00377257605692</c:v>
                </c:pt>
                <c:pt idx="213">
                  <c:v>370.00197512709912</c:v>
                </c:pt>
                <c:pt idx="214">
                  <c:v>349.23506143398839</c:v>
                </c:pt>
                <c:pt idx="215">
                  <c:v>370.00197512709912</c:v>
                </c:pt>
                <c:pt idx="216">
                  <c:v>349.23506143398839</c:v>
                </c:pt>
                <c:pt idx="217">
                  <c:v>329.63372180082422</c:v>
                </c:pt>
                <c:pt idx="218">
                  <c:v>311.13253664194741</c:v>
                </c:pt>
                <c:pt idx="219">
                  <c:v>293.66975814369101</c:v>
                </c:pt>
                <c:pt idx="220">
                  <c:v>277.18710418069043</c:v>
                </c:pt>
                <c:pt idx="221">
                  <c:v>261.62956379894968</c:v>
                </c:pt>
                <c:pt idx="222">
                  <c:v>246.94521361646048</c:v>
                </c:pt>
                <c:pt idx="223">
                  <c:v>233.08504452861115</c:v>
                </c:pt>
                <c:pt idx="224">
                  <c:v>220.00279814001337</c:v>
                </c:pt>
                <c:pt idx="225">
                  <c:v>207.65481237683719</c:v>
                </c:pt>
                <c:pt idx="226">
                  <c:v>195.99987576438383</c:v>
                </c:pt>
                <c:pt idx="227">
                  <c:v>184.99908988354849</c:v>
                </c:pt>
                <c:pt idx="228">
                  <c:v>174.61573954711864</c:v>
                </c:pt>
                <c:pt idx="229">
                  <c:v>184.99908988354849</c:v>
                </c:pt>
                <c:pt idx="230">
                  <c:v>174.61573954711864</c:v>
                </c:pt>
                <c:pt idx="232">
                  <c:v>174.61573954711864</c:v>
                </c:pt>
                <c:pt idx="259">
                  <c:v>698.47728762097279</c:v>
                </c:pt>
                <c:pt idx="260">
                  <c:v>659.27420622217721</c:v>
                </c:pt>
                <c:pt idx="261">
                  <c:v>329.63372180082422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1808"/>
        <c:axId val="112392384"/>
      </c:scatterChart>
      <c:valAx>
        <c:axId val="11239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92384"/>
        <c:crosses val="autoZero"/>
        <c:crossBetween val="midCat"/>
      </c:valAx>
      <c:valAx>
        <c:axId val="112392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91808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1/4 of All Notes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Sheet2!$R$460:$R$534</c:f>
              <c:numCache>
                <c:formatCode>General</c:formatCode>
                <c:ptCount val="7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4.75</c:v>
                </c:pt>
                <c:pt idx="4">
                  <c:v>6</c:v>
                </c:pt>
                <c:pt idx="5">
                  <c:v>9</c:v>
                </c:pt>
                <c:pt idx="6">
                  <c:v>10.75</c:v>
                </c:pt>
                <c:pt idx="7">
                  <c:v>12.75</c:v>
                </c:pt>
                <c:pt idx="8">
                  <c:v>14</c:v>
                </c:pt>
                <c:pt idx="9">
                  <c:v>17</c:v>
                </c:pt>
                <c:pt idx="10">
                  <c:v>18.75</c:v>
                </c:pt>
                <c:pt idx="11">
                  <c:v>20.25</c:v>
                </c:pt>
                <c:pt idx="12">
                  <c:v>21.75</c:v>
                </c:pt>
                <c:pt idx="13">
                  <c:v>27</c:v>
                </c:pt>
                <c:pt idx="14">
                  <c:v>29.5</c:v>
                </c:pt>
                <c:pt idx="15">
                  <c:v>34</c:v>
                </c:pt>
                <c:pt idx="16">
                  <c:v>41.5</c:v>
                </c:pt>
                <c:pt idx="17">
                  <c:v>44</c:v>
                </c:pt>
                <c:pt idx="18">
                  <c:v>46.5</c:v>
                </c:pt>
                <c:pt idx="19">
                  <c:v>48.5</c:v>
                </c:pt>
                <c:pt idx="20">
                  <c:v>51</c:v>
                </c:pt>
                <c:pt idx="21">
                  <c:v>53</c:v>
                </c:pt>
                <c:pt idx="22">
                  <c:v>55.5</c:v>
                </c:pt>
                <c:pt idx="23">
                  <c:v>58.5</c:v>
                </c:pt>
                <c:pt idx="24">
                  <c:v>61.5</c:v>
                </c:pt>
                <c:pt idx="25">
                  <c:v>63.5</c:v>
                </c:pt>
                <c:pt idx="26">
                  <c:v>66</c:v>
                </c:pt>
                <c:pt idx="27">
                  <c:v>68</c:v>
                </c:pt>
                <c:pt idx="28">
                  <c:v>70</c:v>
                </c:pt>
                <c:pt idx="29">
                  <c:v>72</c:v>
                </c:pt>
                <c:pt idx="30">
                  <c:v>74</c:v>
                </c:pt>
                <c:pt idx="31">
                  <c:v>76.25</c:v>
                </c:pt>
                <c:pt idx="32">
                  <c:v>78</c:v>
                </c:pt>
                <c:pt idx="33">
                  <c:v>79.5</c:v>
                </c:pt>
                <c:pt idx="34">
                  <c:v>81</c:v>
                </c:pt>
                <c:pt idx="35">
                  <c:v>84</c:v>
                </c:pt>
                <c:pt idx="36">
                  <c:v>85.5</c:v>
                </c:pt>
                <c:pt idx="37">
                  <c:v>87</c:v>
                </c:pt>
                <c:pt idx="38">
                  <c:v>89</c:v>
                </c:pt>
                <c:pt idx="39">
                  <c:v>92</c:v>
                </c:pt>
                <c:pt idx="40">
                  <c:v>93.5</c:v>
                </c:pt>
                <c:pt idx="41">
                  <c:v>95</c:v>
                </c:pt>
                <c:pt idx="42">
                  <c:v>96.75</c:v>
                </c:pt>
                <c:pt idx="43">
                  <c:v>98</c:v>
                </c:pt>
                <c:pt idx="44">
                  <c:v>103.5</c:v>
                </c:pt>
                <c:pt idx="45">
                  <c:v>105.75</c:v>
                </c:pt>
                <c:pt idx="46">
                  <c:v>108.5</c:v>
                </c:pt>
                <c:pt idx="47">
                  <c:v>111.5</c:v>
                </c:pt>
                <c:pt idx="48">
                  <c:v>113.5</c:v>
                </c:pt>
                <c:pt idx="49">
                  <c:v>116</c:v>
                </c:pt>
                <c:pt idx="50">
                  <c:v>118</c:v>
                </c:pt>
                <c:pt idx="51">
                  <c:v>120</c:v>
                </c:pt>
                <c:pt idx="52">
                  <c:v>123.5</c:v>
                </c:pt>
                <c:pt idx="53">
                  <c:v>126</c:v>
                </c:pt>
                <c:pt idx="54">
                  <c:v>128.5</c:v>
                </c:pt>
                <c:pt idx="55">
                  <c:v>130.5</c:v>
                </c:pt>
                <c:pt idx="56">
                  <c:v>133</c:v>
                </c:pt>
                <c:pt idx="57">
                  <c:v>135</c:v>
                </c:pt>
                <c:pt idx="58">
                  <c:v>137</c:v>
                </c:pt>
                <c:pt idx="59">
                  <c:v>139</c:v>
                </c:pt>
                <c:pt idx="60">
                  <c:v>141</c:v>
                </c:pt>
                <c:pt idx="61">
                  <c:v>143</c:v>
                </c:pt>
                <c:pt idx="62">
                  <c:v>144.75</c:v>
                </c:pt>
                <c:pt idx="63">
                  <c:v>146.25</c:v>
                </c:pt>
                <c:pt idx="64">
                  <c:v>147.75</c:v>
                </c:pt>
                <c:pt idx="65">
                  <c:v>150.75</c:v>
                </c:pt>
                <c:pt idx="66">
                  <c:v>152.25</c:v>
                </c:pt>
                <c:pt idx="67">
                  <c:v>154.25</c:v>
                </c:pt>
                <c:pt idx="68">
                  <c:v>155.75</c:v>
                </c:pt>
                <c:pt idx="69">
                  <c:v>158.75</c:v>
                </c:pt>
                <c:pt idx="70">
                  <c:v>160.25</c:v>
                </c:pt>
                <c:pt idx="71">
                  <c:v>162.25</c:v>
                </c:pt>
                <c:pt idx="72">
                  <c:v>163.75</c:v>
                </c:pt>
                <c:pt idx="73">
                  <c:v>169</c:v>
                </c:pt>
                <c:pt idx="74">
                  <c:v>171.5</c:v>
                </c:pt>
              </c:numCache>
            </c:numRef>
          </c:xVal>
          <c:yVal>
            <c:numRef>
              <c:f>Sheet2!$U$460:$U$534</c:f>
              <c:numCache>
                <c:formatCode>General</c:formatCode>
                <c:ptCount val="75"/>
                <c:pt idx="0">
                  <c:v>659.27420622217721</c:v>
                </c:pt>
                <c:pt idx="1">
                  <c:v>659.27420622217721</c:v>
                </c:pt>
                <c:pt idx="2">
                  <c:v>659.27420622217721</c:v>
                </c:pt>
                <c:pt idx="3">
                  <c:v>440.01010976071973</c:v>
                </c:pt>
                <c:pt idx="4">
                  <c:v>440.01010976071973</c:v>
                </c:pt>
                <c:pt idx="5">
                  <c:v>329.63372180082422</c:v>
                </c:pt>
                <c:pt idx="6">
                  <c:v>329.63372180082422</c:v>
                </c:pt>
                <c:pt idx="7">
                  <c:v>261.62956379894968</c:v>
                </c:pt>
                <c:pt idx="8">
                  <c:v>195.99987576438383</c:v>
                </c:pt>
                <c:pt idx="9">
                  <c:v>195.99987576438383</c:v>
                </c:pt>
                <c:pt idx="10">
                  <c:v>130.81344004395982</c:v>
                </c:pt>
                <c:pt idx="11">
                  <c:v>130.81344004395982</c:v>
                </c:pt>
                <c:pt idx="12">
                  <c:v>130.81344004395982</c:v>
                </c:pt>
                <c:pt idx="13">
                  <c:v>293.66975814369101</c:v>
                </c:pt>
                <c:pt idx="14">
                  <c:v>784.01558732918636</c:v>
                </c:pt>
                <c:pt idx="15">
                  <c:v>466.17487092753117</c:v>
                </c:pt>
                <c:pt idx="16">
                  <c:v>493.89549345236594</c:v>
                </c:pt>
                <c:pt idx="17">
                  <c:v>349.23506143398839</c:v>
                </c:pt>
                <c:pt idx="18">
                  <c:v>392.00377257605692</c:v>
                </c:pt>
                <c:pt idx="19">
                  <c:v>329.63372180082422</c:v>
                </c:pt>
                <c:pt idx="20">
                  <c:v>349.23506143398839</c:v>
                </c:pt>
                <c:pt idx="21">
                  <c:v>698.47728762097279</c:v>
                </c:pt>
                <c:pt idx="22">
                  <c:v>370.00197512709912</c:v>
                </c:pt>
                <c:pt idx="23">
                  <c:v>466.17487092753117</c:v>
                </c:pt>
                <c:pt idx="24">
                  <c:v>293.66975814369101</c:v>
                </c:pt>
                <c:pt idx="25">
                  <c:v>370.00197512709912</c:v>
                </c:pt>
                <c:pt idx="26">
                  <c:v>233.08504452861115</c:v>
                </c:pt>
                <c:pt idx="27">
                  <c:v>466.17487092753117</c:v>
                </c:pt>
                <c:pt idx="28">
                  <c:v>698.47728762097279</c:v>
                </c:pt>
                <c:pt idx="29">
                  <c:v>698.47728762097279</c:v>
                </c:pt>
                <c:pt idx="30">
                  <c:v>740.01154105206626</c:v>
                </c:pt>
                <c:pt idx="31">
                  <c:v>784.01558732918636</c:v>
                </c:pt>
                <c:pt idx="32">
                  <c:v>523.26449507501752</c:v>
                </c:pt>
                <c:pt idx="33">
                  <c:v>523.26449507501752</c:v>
                </c:pt>
                <c:pt idx="34">
                  <c:v>523.26449507501752</c:v>
                </c:pt>
                <c:pt idx="35">
                  <c:v>392.00377257605692</c:v>
                </c:pt>
                <c:pt idx="36">
                  <c:v>392.00377257605692</c:v>
                </c:pt>
                <c:pt idx="37">
                  <c:v>261.62956379894968</c:v>
                </c:pt>
                <c:pt idx="38">
                  <c:v>195.99987576438383</c:v>
                </c:pt>
                <c:pt idx="39">
                  <c:v>164.8151702626221</c:v>
                </c:pt>
                <c:pt idx="40">
                  <c:v>164.8151702626221</c:v>
                </c:pt>
                <c:pt idx="41">
                  <c:v>164.8151702626221</c:v>
                </c:pt>
                <c:pt idx="42">
                  <c:v>110.00027071140791</c:v>
                </c:pt>
                <c:pt idx="43">
                  <c:v>110.00027071140791</c:v>
                </c:pt>
                <c:pt idx="44">
                  <c:v>329.63372180082422</c:v>
                </c:pt>
                <c:pt idx="45">
                  <c:v>880.02924657542201</c:v>
                </c:pt>
                <c:pt idx="46">
                  <c:v>466.17487092753117</c:v>
                </c:pt>
                <c:pt idx="47">
                  <c:v>293.66975814369101</c:v>
                </c:pt>
                <c:pt idx="48">
                  <c:v>392.00377257605692</c:v>
                </c:pt>
                <c:pt idx="49">
                  <c:v>233.08504452861115</c:v>
                </c:pt>
                <c:pt idx="50">
                  <c:v>466.17487092753117</c:v>
                </c:pt>
                <c:pt idx="51">
                  <c:v>466.17487092753117</c:v>
                </c:pt>
                <c:pt idx="52">
                  <c:v>493.89549345236594</c:v>
                </c:pt>
                <c:pt idx="53">
                  <c:v>349.23506143398839</c:v>
                </c:pt>
                <c:pt idx="54">
                  <c:v>370.00197512709912</c:v>
                </c:pt>
                <c:pt idx="55">
                  <c:v>329.63372180082422</c:v>
                </c:pt>
                <c:pt idx="56">
                  <c:v>349.23506143398839</c:v>
                </c:pt>
                <c:pt idx="57">
                  <c:v>698.47728762097279</c:v>
                </c:pt>
                <c:pt idx="58">
                  <c:v>698.47728762097279</c:v>
                </c:pt>
                <c:pt idx="59">
                  <c:v>698.47728762097279</c:v>
                </c:pt>
                <c:pt idx="60">
                  <c:v>740.01154105206626</c:v>
                </c:pt>
                <c:pt idx="61">
                  <c:v>784.01558732918636</c:v>
                </c:pt>
                <c:pt idx="62">
                  <c:v>523.26449507501752</c:v>
                </c:pt>
                <c:pt idx="63">
                  <c:v>523.26449507501752</c:v>
                </c:pt>
                <c:pt idx="64">
                  <c:v>523.26449507501752</c:v>
                </c:pt>
                <c:pt idx="65">
                  <c:v>392.00377257605692</c:v>
                </c:pt>
                <c:pt idx="66">
                  <c:v>349.23506143398839</c:v>
                </c:pt>
                <c:pt idx="67">
                  <c:v>293.66975814369101</c:v>
                </c:pt>
                <c:pt idx="68">
                  <c:v>246.94521361646048</c:v>
                </c:pt>
                <c:pt idx="69">
                  <c:v>164.8151702626221</c:v>
                </c:pt>
                <c:pt idx="70">
                  <c:v>164.8151702626221</c:v>
                </c:pt>
                <c:pt idx="71">
                  <c:v>130.81344004395982</c:v>
                </c:pt>
                <c:pt idx="72">
                  <c:v>130.81344004395982</c:v>
                </c:pt>
                <c:pt idx="73">
                  <c:v>293.66975814369101</c:v>
                </c:pt>
                <c:pt idx="74">
                  <c:v>784.01558732918636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Sheet2!$R$460:$R$534</c:f>
              <c:numCache>
                <c:formatCode>General</c:formatCode>
                <c:ptCount val="7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4.75</c:v>
                </c:pt>
                <c:pt idx="4">
                  <c:v>6</c:v>
                </c:pt>
                <c:pt idx="5">
                  <c:v>9</c:v>
                </c:pt>
                <c:pt idx="6">
                  <c:v>10.75</c:v>
                </c:pt>
                <c:pt idx="7">
                  <c:v>12.75</c:v>
                </c:pt>
                <c:pt idx="8">
                  <c:v>14</c:v>
                </c:pt>
                <c:pt idx="9">
                  <c:v>17</c:v>
                </c:pt>
                <c:pt idx="10">
                  <c:v>18.75</c:v>
                </c:pt>
                <c:pt idx="11">
                  <c:v>20.25</c:v>
                </c:pt>
                <c:pt idx="12">
                  <c:v>21.75</c:v>
                </c:pt>
                <c:pt idx="13">
                  <c:v>27</c:v>
                </c:pt>
                <c:pt idx="14">
                  <c:v>29.5</c:v>
                </c:pt>
                <c:pt idx="15">
                  <c:v>34</c:v>
                </c:pt>
                <c:pt idx="16">
                  <c:v>41.5</c:v>
                </c:pt>
                <c:pt idx="17">
                  <c:v>44</c:v>
                </c:pt>
                <c:pt idx="18">
                  <c:v>46.5</c:v>
                </c:pt>
                <c:pt idx="19">
                  <c:v>48.5</c:v>
                </c:pt>
                <c:pt idx="20">
                  <c:v>51</c:v>
                </c:pt>
                <c:pt idx="21">
                  <c:v>53</c:v>
                </c:pt>
                <c:pt idx="22">
                  <c:v>55.5</c:v>
                </c:pt>
                <c:pt idx="23">
                  <c:v>58.5</c:v>
                </c:pt>
                <c:pt idx="24">
                  <c:v>61.5</c:v>
                </c:pt>
                <c:pt idx="25">
                  <c:v>63.5</c:v>
                </c:pt>
                <c:pt idx="26">
                  <c:v>66</c:v>
                </c:pt>
                <c:pt idx="27">
                  <c:v>68</c:v>
                </c:pt>
                <c:pt idx="28">
                  <c:v>70</c:v>
                </c:pt>
                <c:pt idx="29">
                  <c:v>72</c:v>
                </c:pt>
                <c:pt idx="30">
                  <c:v>74</c:v>
                </c:pt>
                <c:pt idx="31">
                  <c:v>76.25</c:v>
                </c:pt>
                <c:pt idx="32">
                  <c:v>78</c:v>
                </c:pt>
                <c:pt idx="33">
                  <c:v>79.5</c:v>
                </c:pt>
                <c:pt idx="34">
                  <c:v>81</c:v>
                </c:pt>
                <c:pt idx="35">
                  <c:v>84</c:v>
                </c:pt>
                <c:pt idx="36">
                  <c:v>85.5</c:v>
                </c:pt>
                <c:pt idx="37">
                  <c:v>87</c:v>
                </c:pt>
                <c:pt idx="38">
                  <c:v>89</c:v>
                </c:pt>
                <c:pt idx="39">
                  <c:v>92</c:v>
                </c:pt>
                <c:pt idx="40">
                  <c:v>93.5</c:v>
                </c:pt>
                <c:pt idx="41">
                  <c:v>95</c:v>
                </c:pt>
                <c:pt idx="42">
                  <c:v>96.75</c:v>
                </c:pt>
                <c:pt idx="43">
                  <c:v>98</c:v>
                </c:pt>
                <c:pt idx="44">
                  <c:v>103.5</c:v>
                </c:pt>
                <c:pt idx="45">
                  <c:v>105.75</c:v>
                </c:pt>
                <c:pt idx="46">
                  <c:v>108.5</c:v>
                </c:pt>
                <c:pt idx="47">
                  <c:v>111.5</c:v>
                </c:pt>
                <c:pt idx="48">
                  <c:v>113.5</c:v>
                </c:pt>
                <c:pt idx="49">
                  <c:v>116</c:v>
                </c:pt>
                <c:pt idx="50">
                  <c:v>118</c:v>
                </c:pt>
                <c:pt idx="51">
                  <c:v>120</c:v>
                </c:pt>
                <c:pt idx="52">
                  <c:v>123.5</c:v>
                </c:pt>
                <c:pt idx="53">
                  <c:v>126</c:v>
                </c:pt>
                <c:pt idx="54">
                  <c:v>128.5</c:v>
                </c:pt>
                <c:pt idx="55">
                  <c:v>130.5</c:v>
                </c:pt>
                <c:pt idx="56">
                  <c:v>133</c:v>
                </c:pt>
                <c:pt idx="57">
                  <c:v>135</c:v>
                </c:pt>
                <c:pt idx="58">
                  <c:v>137</c:v>
                </c:pt>
                <c:pt idx="59">
                  <c:v>139</c:v>
                </c:pt>
                <c:pt idx="60">
                  <c:v>141</c:v>
                </c:pt>
                <c:pt idx="61">
                  <c:v>143</c:v>
                </c:pt>
                <c:pt idx="62">
                  <c:v>144.75</c:v>
                </c:pt>
                <c:pt idx="63">
                  <c:v>146.25</c:v>
                </c:pt>
                <c:pt idx="64">
                  <c:v>147.75</c:v>
                </c:pt>
                <c:pt idx="65">
                  <c:v>150.75</c:v>
                </c:pt>
                <c:pt idx="66">
                  <c:v>152.25</c:v>
                </c:pt>
                <c:pt idx="67">
                  <c:v>154.25</c:v>
                </c:pt>
                <c:pt idx="68">
                  <c:v>155.75</c:v>
                </c:pt>
                <c:pt idx="69">
                  <c:v>158.75</c:v>
                </c:pt>
                <c:pt idx="70">
                  <c:v>160.25</c:v>
                </c:pt>
                <c:pt idx="71">
                  <c:v>162.25</c:v>
                </c:pt>
                <c:pt idx="72">
                  <c:v>163.75</c:v>
                </c:pt>
                <c:pt idx="73">
                  <c:v>169</c:v>
                </c:pt>
                <c:pt idx="74">
                  <c:v>171.5</c:v>
                </c:pt>
              </c:numCache>
            </c:numRef>
          </c:xVal>
          <c:yVal>
            <c:numRef>
              <c:f>Sheet2!$Z$460:$Z$534</c:f>
              <c:numCache>
                <c:formatCode>General</c:formatCode>
                <c:ptCount val="75"/>
                <c:pt idx="18">
                  <c:v>246.94521361646048</c:v>
                </c:pt>
                <c:pt idx="19">
                  <c:v>392.00377257605692</c:v>
                </c:pt>
                <c:pt idx="22">
                  <c:v>277.18710418069043</c:v>
                </c:pt>
                <c:pt idx="23">
                  <c:v>329.63372180082422</c:v>
                </c:pt>
                <c:pt idx="25">
                  <c:v>349.23506143398839</c:v>
                </c:pt>
                <c:pt idx="46">
                  <c:v>329.63372180082422</c:v>
                </c:pt>
                <c:pt idx="48">
                  <c:v>349.23506143398839</c:v>
                </c:pt>
                <c:pt idx="54">
                  <c:v>246.94521361646048</c:v>
                </c:pt>
                <c:pt idx="55">
                  <c:v>392.00377257605692</c:v>
                </c:pt>
              </c:numCache>
            </c:numRef>
          </c:yVal>
          <c:smooth val="0"/>
        </c:ser>
        <c:ser>
          <c:idx val="2"/>
          <c:order val="2"/>
          <c:tx>
            <c:v>Left Hand</c:v>
          </c:tx>
          <c:xVal>
            <c:numRef>
              <c:f>Sheet2!$AB$460:$AB$525</c:f>
              <c:numCache>
                <c:formatCode>General</c:formatCode>
                <c:ptCount val="66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26.25</c:v>
                </c:pt>
                <c:pt idx="12">
                  <c:v>28.75</c:v>
                </c:pt>
                <c:pt idx="13">
                  <c:v>33.5</c:v>
                </c:pt>
                <c:pt idx="14">
                  <c:v>43.5</c:v>
                </c:pt>
                <c:pt idx="15">
                  <c:v>47</c:v>
                </c:pt>
                <c:pt idx="16">
                  <c:v>50</c:v>
                </c:pt>
                <c:pt idx="17">
                  <c:v>52</c:v>
                </c:pt>
                <c:pt idx="18">
                  <c:v>54</c:v>
                </c:pt>
                <c:pt idx="19">
                  <c:v>61.5</c:v>
                </c:pt>
                <c:pt idx="20">
                  <c:v>64</c:v>
                </c:pt>
                <c:pt idx="21">
                  <c:v>67</c:v>
                </c:pt>
                <c:pt idx="22">
                  <c:v>69</c:v>
                </c:pt>
                <c:pt idx="23">
                  <c:v>71</c:v>
                </c:pt>
                <c:pt idx="24">
                  <c:v>73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83</c:v>
                </c:pt>
                <c:pt idx="29">
                  <c:v>85</c:v>
                </c:pt>
                <c:pt idx="30">
                  <c:v>87</c:v>
                </c:pt>
                <c:pt idx="31">
                  <c:v>89</c:v>
                </c:pt>
                <c:pt idx="32">
                  <c:v>91</c:v>
                </c:pt>
                <c:pt idx="33">
                  <c:v>93</c:v>
                </c:pt>
                <c:pt idx="34">
                  <c:v>95</c:v>
                </c:pt>
                <c:pt idx="35">
                  <c:v>97</c:v>
                </c:pt>
                <c:pt idx="36">
                  <c:v>99</c:v>
                </c:pt>
                <c:pt idx="37">
                  <c:v>100.75</c:v>
                </c:pt>
                <c:pt idx="38">
                  <c:v>104</c:v>
                </c:pt>
                <c:pt idx="39">
                  <c:v>106</c:v>
                </c:pt>
                <c:pt idx="40">
                  <c:v>110</c:v>
                </c:pt>
                <c:pt idx="41">
                  <c:v>113.5</c:v>
                </c:pt>
                <c:pt idx="42">
                  <c:v>116.5</c:v>
                </c:pt>
                <c:pt idx="43">
                  <c:v>118.5</c:v>
                </c:pt>
                <c:pt idx="44">
                  <c:v>123.5</c:v>
                </c:pt>
                <c:pt idx="45">
                  <c:v>127.5</c:v>
                </c:pt>
                <c:pt idx="46">
                  <c:v>130</c:v>
                </c:pt>
                <c:pt idx="47">
                  <c:v>133</c:v>
                </c:pt>
                <c:pt idx="48">
                  <c:v>135</c:v>
                </c:pt>
                <c:pt idx="49">
                  <c:v>137</c:v>
                </c:pt>
                <c:pt idx="50">
                  <c:v>139</c:v>
                </c:pt>
                <c:pt idx="51">
                  <c:v>141</c:v>
                </c:pt>
                <c:pt idx="52">
                  <c:v>144</c:v>
                </c:pt>
                <c:pt idx="53">
                  <c:v>147</c:v>
                </c:pt>
                <c:pt idx="54">
                  <c:v>149</c:v>
                </c:pt>
                <c:pt idx="55">
                  <c:v>151</c:v>
                </c:pt>
                <c:pt idx="56">
                  <c:v>153</c:v>
                </c:pt>
                <c:pt idx="57">
                  <c:v>155</c:v>
                </c:pt>
                <c:pt idx="58">
                  <c:v>157</c:v>
                </c:pt>
                <c:pt idx="59">
                  <c:v>159</c:v>
                </c:pt>
                <c:pt idx="60">
                  <c:v>161</c:v>
                </c:pt>
                <c:pt idx="61">
                  <c:v>163</c:v>
                </c:pt>
                <c:pt idx="62">
                  <c:v>165</c:v>
                </c:pt>
                <c:pt idx="63">
                  <c:v>166.75</c:v>
                </c:pt>
                <c:pt idx="64">
                  <c:v>170</c:v>
                </c:pt>
                <c:pt idx="65">
                  <c:v>172</c:v>
                </c:pt>
              </c:numCache>
            </c:numRef>
          </c:xVal>
          <c:yVal>
            <c:numRef>
              <c:f>Sheet2!$AE$460:$AE$525</c:f>
              <c:numCache>
                <c:formatCode>General</c:formatCode>
                <c:ptCount val="66"/>
                <c:pt idx="0">
                  <c:v>293.66975814369101</c:v>
                </c:pt>
                <c:pt idx="1">
                  <c:v>293.66975814369101</c:v>
                </c:pt>
                <c:pt idx="2">
                  <c:v>261.62956379894968</c:v>
                </c:pt>
                <c:pt idx="3">
                  <c:v>207.65481237683719</c:v>
                </c:pt>
                <c:pt idx="4">
                  <c:v>164.8151702626221</c:v>
                </c:pt>
                <c:pt idx="5">
                  <c:v>146.83337288738056</c:v>
                </c:pt>
                <c:pt idx="6">
                  <c:v>130.81344004395982</c:v>
                </c:pt>
                <c:pt idx="7">
                  <c:v>110.00027071140791</c:v>
                </c:pt>
                <c:pt idx="8">
                  <c:v>87.306974197808145</c:v>
                </c:pt>
                <c:pt idx="9">
                  <c:v>73.415933359182759</c:v>
                </c:pt>
                <c:pt idx="10">
                  <c:v>97.998932630681253</c:v>
                </c:pt>
                <c:pt idx="11">
                  <c:v>220.00279814001337</c:v>
                </c:pt>
                <c:pt idx="12">
                  <c:v>587.34554108704231</c:v>
                </c:pt>
                <c:pt idx="13">
                  <c:v>293.66975814369101</c:v>
                </c:pt>
                <c:pt idx="14">
                  <c:v>220.00279814001337</c:v>
                </c:pt>
                <c:pt idx="15">
                  <c:v>146.83337288738056</c:v>
                </c:pt>
                <c:pt idx="16">
                  <c:v>116.54132680899107</c:v>
                </c:pt>
                <c:pt idx="17">
                  <c:v>233.08504452861115</c:v>
                </c:pt>
                <c:pt idx="18">
                  <c:v>233.08504452861115</c:v>
                </c:pt>
                <c:pt idx="19">
                  <c:v>146.83337288738056</c:v>
                </c:pt>
                <c:pt idx="20">
                  <c:v>130.81344004395982</c:v>
                </c:pt>
                <c:pt idx="21">
                  <c:v>174.61573954711864</c:v>
                </c:pt>
                <c:pt idx="22">
                  <c:v>349.23506143398839</c:v>
                </c:pt>
                <c:pt idx="23">
                  <c:v>349.23506143398839</c:v>
                </c:pt>
                <c:pt idx="24">
                  <c:v>349.23506143398839</c:v>
                </c:pt>
                <c:pt idx="25">
                  <c:v>370.00197512709912</c:v>
                </c:pt>
                <c:pt idx="26">
                  <c:v>440.01010976071973</c:v>
                </c:pt>
                <c:pt idx="27">
                  <c:v>329.63372180082422</c:v>
                </c:pt>
                <c:pt idx="28">
                  <c:v>293.66975814369101</c:v>
                </c:pt>
                <c:pt idx="29">
                  <c:v>233.08504452861115</c:v>
                </c:pt>
                <c:pt idx="30">
                  <c:v>184.99908988354849</c:v>
                </c:pt>
                <c:pt idx="31">
                  <c:v>146.83337288738056</c:v>
                </c:pt>
                <c:pt idx="32">
                  <c:v>138.5921304427338</c:v>
                </c:pt>
                <c:pt idx="33">
                  <c:v>123.4713402663609</c:v>
                </c:pt>
                <c:pt idx="34">
                  <c:v>97.998932630681253</c:v>
                </c:pt>
                <c:pt idx="35">
                  <c:v>82.406739821087044</c:v>
                </c:pt>
                <c:pt idx="36">
                  <c:v>87.306974197808145</c:v>
                </c:pt>
                <c:pt idx="37">
                  <c:v>130.81344004395982</c:v>
                </c:pt>
                <c:pt idx="38">
                  <c:v>440.01010976071973</c:v>
                </c:pt>
                <c:pt idx="39">
                  <c:v>523.26449507501752</c:v>
                </c:pt>
                <c:pt idx="40">
                  <c:v>174.61573954711864</c:v>
                </c:pt>
                <c:pt idx="41">
                  <c:v>246.94521361646048</c:v>
                </c:pt>
                <c:pt idx="42">
                  <c:v>146.83337288738056</c:v>
                </c:pt>
                <c:pt idx="43">
                  <c:v>293.66975814369101</c:v>
                </c:pt>
                <c:pt idx="44">
                  <c:v>246.94521361646048</c:v>
                </c:pt>
                <c:pt idx="45">
                  <c:v>146.83337288738056</c:v>
                </c:pt>
                <c:pt idx="46">
                  <c:v>130.81344004395982</c:v>
                </c:pt>
                <c:pt idx="47">
                  <c:v>174.61573954711864</c:v>
                </c:pt>
                <c:pt idx="48">
                  <c:v>349.23506143398839</c:v>
                </c:pt>
                <c:pt idx="49">
                  <c:v>349.23506143398839</c:v>
                </c:pt>
                <c:pt idx="50">
                  <c:v>349.23506143398839</c:v>
                </c:pt>
                <c:pt idx="51">
                  <c:v>370.00197512709912</c:v>
                </c:pt>
                <c:pt idx="52">
                  <c:v>440.01010976071973</c:v>
                </c:pt>
                <c:pt idx="53">
                  <c:v>329.63372180082422</c:v>
                </c:pt>
                <c:pt idx="54">
                  <c:v>293.66975814369101</c:v>
                </c:pt>
                <c:pt idx="55">
                  <c:v>233.08504452861115</c:v>
                </c:pt>
                <c:pt idx="56">
                  <c:v>184.99908988354849</c:v>
                </c:pt>
                <c:pt idx="57">
                  <c:v>146.83337288738056</c:v>
                </c:pt>
                <c:pt idx="58">
                  <c:v>138.5921304427338</c:v>
                </c:pt>
                <c:pt idx="59">
                  <c:v>123.4713402663609</c:v>
                </c:pt>
                <c:pt idx="60">
                  <c:v>97.998932630681253</c:v>
                </c:pt>
                <c:pt idx="61">
                  <c:v>82.406739821087044</c:v>
                </c:pt>
                <c:pt idx="62">
                  <c:v>87.306974197808145</c:v>
                </c:pt>
                <c:pt idx="63">
                  <c:v>130.81344004395982</c:v>
                </c:pt>
                <c:pt idx="64">
                  <c:v>440.01010976071973</c:v>
                </c:pt>
                <c:pt idx="65">
                  <c:v>523.26449507501752</c:v>
                </c:pt>
              </c:numCache>
            </c:numRef>
          </c:yVal>
          <c:smooth val="0"/>
        </c:ser>
        <c:ser>
          <c:idx val="3"/>
          <c:order val="3"/>
          <c:tx>
            <c:v>Left Hand Harmony</c:v>
          </c:tx>
          <c:spPr>
            <a:ln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Sheet2!$AB$460:$AB$525</c:f>
              <c:numCache>
                <c:formatCode>General</c:formatCode>
                <c:ptCount val="66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26.25</c:v>
                </c:pt>
                <c:pt idx="12">
                  <c:v>28.75</c:v>
                </c:pt>
                <c:pt idx="13">
                  <c:v>33.5</c:v>
                </c:pt>
                <c:pt idx="14">
                  <c:v>43.5</c:v>
                </c:pt>
                <c:pt idx="15">
                  <c:v>47</c:v>
                </c:pt>
                <c:pt idx="16">
                  <c:v>50</c:v>
                </c:pt>
                <c:pt idx="17">
                  <c:v>52</c:v>
                </c:pt>
                <c:pt idx="18">
                  <c:v>54</c:v>
                </c:pt>
                <c:pt idx="19">
                  <c:v>61.5</c:v>
                </c:pt>
                <c:pt idx="20">
                  <c:v>64</c:v>
                </c:pt>
                <c:pt idx="21">
                  <c:v>67</c:v>
                </c:pt>
                <c:pt idx="22">
                  <c:v>69</c:v>
                </c:pt>
                <c:pt idx="23">
                  <c:v>71</c:v>
                </c:pt>
                <c:pt idx="24">
                  <c:v>73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83</c:v>
                </c:pt>
                <c:pt idx="29">
                  <c:v>85</c:v>
                </c:pt>
                <c:pt idx="30">
                  <c:v>87</c:v>
                </c:pt>
                <c:pt idx="31">
                  <c:v>89</c:v>
                </c:pt>
                <c:pt idx="32">
                  <c:v>91</c:v>
                </c:pt>
                <c:pt idx="33">
                  <c:v>93</c:v>
                </c:pt>
                <c:pt idx="34">
                  <c:v>95</c:v>
                </c:pt>
                <c:pt idx="35">
                  <c:v>97</c:v>
                </c:pt>
                <c:pt idx="36">
                  <c:v>99</c:v>
                </c:pt>
                <c:pt idx="37">
                  <c:v>100.75</c:v>
                </c:pt>
                <c:pt idx="38">
                  <c:v>104</c:v>
                </c:pt>
                <c:pt idx="39">
                  <c:v>106</c:v>
                </c:pt>
                <c:pt idx="40">
                  <c:v>110</c:v>
                </c:pt>
                <c:pt idx="41">
                  <c:v>113.5</c:v>
                </c:pt>
                <c:pt idx="42">
                  <c:v>116.5</c:v>
                </c:pt>
                <c:pt idx="43">
                  <c:v>118.5</c:v>
                </c:pt>
                <c:pt idx="44">
                  <c:v>123.5</c:v>
                </c:pt>
                <c:pt idx="45">
                  <c:v>127.5</c:v>
                </c:pt>
                <c:pt idx="46">
                  <c:v>130</c:v>
                </c:pt>
                <c:pt idx="47">
                  <c:v>133</c:v>
                </c:pt>
                <c:pt idx="48">
                  <c:v>135</c:v>
                </c:pt>
                <c:pt idx="49">
                  <c:v>137</c:v>
                </c:pt>
                <c:pt idx="50">
                  <c:v>139</c:v>
                </c:pt>
                <c:pt idx="51">
                  <c:v>141</c:v>
                </c:pt>
                <c:pt idx="52">
                  <c:v>144</c:v>
                </c:pt>
                <c:pt idx="53">
                  <c:v>147</c:v>
                </c:pt>
                <c:pt idx="54">
                  <c:v>149</c:v>
                </c:pt>
                <c:pt idx="55">
                  <c:v>151</c:v>
                </c:pt>
                <c:pt idx="56">
                  <c:v>153</c:v>
                </c:pt>
                <c:pt idx="57">
                  <c:v>155</c:v>
                </c:pt>
                <c:pt idx="58">
                  <c:v>157</c:v>
                </c:pt>
                <c:pt idx="59">
                  <c:v>159</c:v>
                </c:pt>
                <c:pt idx="60">
                  <c:v>161</c:v>
                </c:pt>
                <c:pt idx="61">
                  <c:v>163</c:v>
                </c:pt>
                <c:pt idx="62">
                  <c:v>165</c:v>
                </c:pt>
                <c:pt idx="63">
                  <c:v>166.75</c:v>
                </c:pt>
                <c:pt idx="64">
                  <c:v>170</c:v>
                </c:pt>
                <c:pt idx="65">
                  <c:v>172</c:v>
                </c:pt>
              </c:numCache>
            </c:numRef>
          </c:xVal>
          <c:yVal>
            <c:numRef>
              <c:f>Sheet2!$AK$460:$AK$525</c:f>
              <c:numCache>
                <c:formatCode>General</c:formatCode>
                <c:ptCount val="66"/>
                <c:pt idx="0">
                  <c:v>349.23506143398839</c:v>
                </c:pt>
                <c:pt idx="1">
                  <c:v>349.23506143398839</c:v>
                </c:pt>
                <c:pt idx="2">
                  <c:v>311.13253664194741</c:v>
                </c:pt>
                <c:pt idx="3">
                  <c:v>246.94521361646048</c:v>
                </c:pt>
                <c:pt idx="4">
                  <c:v>195.99987576438383</c:v>
                </c:pt>
                <c:pt idx="5">
                  <c:v>174.61573954711864</c:v>
                </c:pt>
                <c:pt idx="27">
                  <c:v>392.00377257605692</c:v>
                </c:pt>
                <c:pt idx="28">
                  <c:v>349.23506143398839</c:v>
                </c:pt>
                <c:pt idx="29">
                  <c:v>277.18710418069043</c:v>
                </c:pt>
                <c:pt idx="30">
                  <c:v>220.00279814001337</c:v>
                </c:pt>
                <c:pt idx="31">
                  <c:v>174.61573954711864</c:v>
                </c:pt>
                <c:pt idx="32">
                  <c:v>174.61573954711864</c:v>
                </c:pt>
                <c:pt idx="53">
                  <c:v>392.00377257605692</c:v>
                </c:pt>
                <c:pt idx="54">
                  <c:v>349.23506143398839</c:v>
                </c:pt>
                <c:pt idx="55">
                  <c:v>277.18710418069043</c:v>
                </c:pt>
                <c:pt idx="56">
                  <c:v>220.00279814001337</c:v>
                </c:pt>
                <c:pt idx="57">
                  <c:v>174.61573954711864</c:v>
                </c:pt>
                <c:pt idx="58">
                  <c:v>174.61573954711864</c:v>
                </c:pt>
                <c:pt idx="65">
                  <c:v>659.27420622217721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7952"/>
        <c:axId val="57478528"/>
      </c:scatterChart>
      <c:valAx>
        <c:axId val="5747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478528"/>
        <c:crosses val="autoZero"/>
        <c:crossBetween val="midCat"/>
      </c:valAx>
      <c:valAx>
        <c:axId val="57478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477952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1/8 of All Notes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Sheet2!$R$538:$R$575</c:f>
              <c:numCache>
                <c:formatCode>General</c:formatCode>
                <c:ptCount val="3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10.75</c:v>
                </c:pt>
                <c:pt idx="4">
                  <c:v>14</c:v>
                </c:pt>
                <c:pt idx="5">
                  <c:v>18.75</c:v>
                </c:pt>
                <c:pt idx="6">
                  <c:v>21.75</c:v>
                </c:pt>
                <c:pt idx="7">
                  <c:v>29.5</c:v>
                </c:pt>
                <c:pt idx="8">
                  <c:v>41.5</c:v>
                </c:pt>
                <c:pt idx="9">
                  <c:v>46.5</c:v>
                </c:pt>
                <c:pt idx="10">
                  <c:v>51</c:v>
                </c:pt>
                <c:pt idx="11">
                  <c:v>55.5</c:v>
                </c:pt>
                <c:pt idx="12">
                  <c:v>61.5</c:v>
                </c:pt>
                <c:pt idx="13">
                  <c:v>66</c:v>
                </c:pt>
                <c:pt idx="14">
                  <c:v>70</c:v>
                </c:pt>
                <c:pt idx="15">
                  <c:v>74</c:v>
                </c:pt>
                <c:pt idx="16">
                  <c:v>78</c:v>
                </c:pt>
                <c:pt idx="17">
                  <c:v>81</c:v>
                </c:pt>
                <c:pt idx="18">
                  <c:v>85.5</c:v>
                </c:pt>
                <c:pt idx="19">
                  <c:v>89</c:v>
                </c:pt>
                <c:pt idx="20">
                  <c:v>93.5</c:v>
                </c:pt>
                <c:pt idx="21">
                  <c:v>96.75</c:v>
                </c:pt>
                <c:pt idx="22">
                  <c:v>103.5</c:v>
                </c:pt>
                <c:pt idx="23">
                  <c:v>108.5</c:v>
                </c:pt>
                <c:pt idx="24">
                  <c:v>113.5</c:v>
                </c:pt>
                <c:pt idx="25">
                  <c:v>118</c:v>
                </c:pt>
                <c:pt idx="26">
                  <c:v>123.5</c:v>
                </c:pt>
                <c:pt idx="27">
                  <c:v>128.5</c:v>
                </c:pt>
                <c:pt idx="28">
                  <c:v>133</c:v>
                </c:pt>
                <c:pt idx="29">
                  <c:v>137</c:v>
                </c:pt>
                <c:pt idx="30">
                  <c:v>141</c:v>
                </c:pt>
                <c:pt idx="31">
                  <c:v>144.75</c:v>
                </c:pt>
                <c:pt idx="32">
                  <c:v>147.75</c:v>
                </c:pt>
                <c:pt idx="33">
                  <c:v>152.25</c:v>
                </c:pt>
                <c:pt idx="34">
                  <c:v>155.75</c:v>
                </c:pt>
                <c:pt idx="35">
                  <c:v>160.25</c:v>
                </c:pt>
                <c:pt idx="36">
                  <c:v>163.75</c:v>
                </c:pt>
                <c:pt idx="37">
                  <c:v>171.5</c:v>
                </c:pt>
              </c:numCache>
            </c:numRef>
          </c:xVal>
          <c:yVal>
            <c:numRef>
              <c:f>Sheet2!$U$538:$U$575</c:f>
              <c:numCache>
                <c:formatCode>General</c:formatCode>
                <c:ptCount val="38"/>
                <c:pt idx="0">
                  <c:v>659.27420622217721</c:v>
                </c:pt>
                <c:pt idx="1">
                  <c:v>659.27420622217721</c:v>
                </c:pt>
                <c:pt idx="2">
                  <c:v>440.01010976071973</c:v>
                </c:pt>
                <c:pt idx="3">
                  <c:v>329.63372180082422</c:v>
                </c:pt>
                <c:pt idx="4">
                  <c:v>195.99987576438383</c:v>
                </c:pt>
                <c:pt idx="5">
                  <c:v>130.81344004395982</c:v>
                </c:pt>
                <c:pt idx="6">
                  <c:v>130.81344004395982</c:v>
                </c:pt>
                <c:pt idx="7">
                  <c:v>784.01558732918636</c:v>
                </c:pt>
                <c:pt idx="8">
                  <c:v>493.89549345236594</c:v>
                </c:pt>
                <c:pt idx="9">
                  <c:v>392.00377257605692</c:v>
                </c:pt>
                <c:pt idx="10">
                  <c:v>349.23506143398839</c:v>
                </c:pt>
                <c:pt idx="11">
                  <c:v>370.00197512709912</c:v>
                </c:pt>
                <c:pt idx="12">
                  <c:v>293.66975814369101</c:v>
                </c:pt>
                <c:pt idx="13">
                  <c:v>233.08504452861115</c:v>
                </c:pt>
                <c:pt idx="14">
                  <c:v>698.47728762097279</c:v>
                </c:pt>
                <c:pt idx="15">
                  <c:v>740.01154105206626</c:v>
                </c:pt>
                <c:pt idx="16">
                  <c:v>523.26449507501752</c:v>
                </c:pt>
                <c:pt idx="17">
                  <c:v>523.26449507501752</c:v>
                </c:pt>
                <c:pt idx="18">
                  <c:v>392.00377257605692</c:v>
                </c:pt>
                <c:pt idx="19">
                  <c:v>195.99987576438383</c:v>
                </c:pt>
                <c:pt idx="20">
                  <c:v>164.8151702626221</c:v>
                </c:pt>
                <c:pt idx="21">
                  <c:v>110.00027071140791</c:v>
                </c:pt>
                <c:pt idx="22">
                  <c:v>329.63372180082422</c:v>
                </c:pt>
                <c:pt idx="23">
                  <c:v>466.17487092753117</c:v>
                </c:pt>
                <c:pt idx="24">
                  <c:v>392.00377257605692</c:v>
                </c:pt>
                <c:pt idx="25">
                  <c:v>466.17487092753117</c:v>
                </c:pt>
                <c:pt idx="26">
                  <c:v>493.89549345236594</c:v>
                </c:pt>
                <c:pt idx="27">
                  <c:v>370.00197512709912</c:v>
                </c:pt>
                <c:pt idx="28">
                  <c:v>349.23506143398839</c:v>
                </c:pt>
                <c:pt idx="29">
                  <c:v>698.47728762097279</c:v>
                </c:pt>
                <c:pt idx="30">
                  <c:v>740.01154105206626</c:v>
                </c:pt>
                <c:pt idx="31">
                  <c:v>523.26449507501752</c:v>
                </c:pt>
                <c:pt idx="32">
                  <c:v>523.26449507501752</c:v>
                </c:pt>
                <c:pt idx="33">
                  <c:v>349.23506143398839</c:v>
                </c:pt>
                <c:pt idx="34">
                  <c:v>246.94521361646048</c:v>
                </c:pt>
                <c:pt idx="35">
                  <c:v>164.8151702626221</c:v>
                </c:pt>
                <c:pt idx="36">
                  <c:v>130.81344004395982</c:v>
                </c:pt>
                <c:pt idx="37">
                  <c:v>784.01558732918636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Sheet2!$R$538:$R$575</c:f>
              <c:numCache>
                <c:formatCode>General</c:formatCode>
                <c:ptCount val="3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10.75</c:v>
                </c:pt>
                <c:pt idx="4">
                  <c:v>14</c:v>
                </c:pt>
                <c:pt idx="5">
                  <c:v>18.75</c:v>
                </c:pt>
                <c:pt idx="6">
                  <c:v>21.75</c:v>
                </c:pt>
                <c:pt idx="7">
                  <c:v>29.5</c:v>
                </c:pt>
                <c:pt idx="8">
                  <c:v>41.5</c:v>
                </c:pt>
                <c:pt idx="9">
                  <c:v>46.5</c:v>
                </c:pt>
                <c:pt idx="10">
                  <c:v>51</c:v>
                </c:pt>
                <c:pt idx="11">
                  <c:v>55.5</c:v>
                </c:pt>
                <c:pt idx="12">
                  <c:v>61.5</c:v>
                </c:pt>
                <c:pt idx="13">
                  <c:v>66</c:v>
                </c:pt>
                <c:pt idx="14">
                  <c:v>70</c:v>
                </c:pt>
                <c:pt idx="15">
                  <c:v>74</c:v>
                </c:pt>
                <c:pt idx="16">
                  <c:v>78</c:v>
                </c:pt>
                <c:pt idx="17">
                  <c:v>81</c:v>
                </c:pt>
                <c:pt idx="18">
                  <c:v>85.5</c:v>
                </c:pt>
                <c:pt idx="19">
                  <c:v>89</c:v>
                </c:pt>
                <c:pt idx="20">
                  <c:v>93.5</c:v>
                </c:pt>
                <c:pt idx="21">
                  <c:v>96.75</c:v>
                </c:pt>
                <c:pt idx="22">
                  <c:v>103.5</c:v>
                </c:pt>
                <c:pt idx="23">
                  <c:v>108.5</c:v>
                </c:pt>
                <c:pt idx="24">
                  <c:v>113.5</c:v>
                </c:pt>
                <c:pt idx="25">
                  <c:v>118</c:v>
                </c:pt>
                <c:pt idx="26">
                  <c:v>123.5</c:v>
                </c:pt>
                <c:pt idx="27">
                  <c:v>128.5</c:v>
                </c:pt>
                <c:pt idx="28">
                  <c:v>133</c:v>
                </c:pt>
                <c:pt idx="29">
                  <c:v>137</c:v>
                </c:pt>
                <c:pt idx="30">
                  <c:v>141</c:v>
                </c:pt>
                <c:pt idx="31">
                  <c:v>144.75</c:v>
                </c:pt>
                <c:pt idx="32">
                  <c:v>147.75</c:v>
                </c:pt>
                <c:pt idx="33">
                  <c:v>152.25</c:v>
                </c:pt>
                <c:pt idx="34">
                  <c:v>155.75</c:v>
                </c:pt>
                <c:pt idx="35">
                  <c:v>160.25</c:v>
                </c:pt>
                <c:pt idx="36">
                  <c:v>163.75</c:v>
                </c:pt>
                <c:pt idx="37">
                  <c:v>171.5</c:v>
                </c:pt>
              </c:numCache>
            </c:numRef>
          </c:xVal>
          <c:yVal>
            <c:numRef>
              <c:f>Sheet2!$Z$538:$Z$575</c:f>
              <c:numCache>
                <c:formatCode>General</c:formatCode>
                <c:ptCount val="38"/>
                <c:pt idx="9">
                  <c:v>246.94521361646048</c:v>
                </c:pt>
                <c:pt idx="11">
                  <c:v>277.18710418069043</c:v>
                </c:pt>
                <c:pt idx="23">
                  <c:v>329.63372180082422</c:v>
                </c:pt>
                <c:pt idx="24">
                  <c:v>349.23506143398839</c:v>
                </c:pt>
                <c:pt idx="27">
                  <c:v>246.94521361646048</c:v>
                </c:pt>
              </c:numCache>
            </c:numRef>
          </c:yVal>
          <c:smooth val="0"/>
        </c:ser>
        <c:ser>
          <c:idx val="2"/>
          <c:order val="2"/>
          <c:tx>
            <c:v>Left Hand</c:v>
          </c:tx>
          <c:xVal>
            <c:numRef>
              <c:f>Sheet2!$AB$538:$AB$570</c:f>
              <c:numCache>
                <c:formatCode>General</c:formatCode>
                <c:ptCount val="33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28.75</c:v>
                </c:pt>
                <c:pt idx="7">
                  <c:v>43.5</c:v>
                </c:pt>
                <c:pt idx="8">
                  <c:v>50</c:v>
                </c:pt>
                <c:pt idx="9">
                  <c:v>54</c:v>
                </c:pt>
                <c:pt idx="10">
                  <c:v>64</c:v>
                </c:pt>
                <c:pt idx="11">
                  <c:v>69</c:v>
                </c:pt>
                <c:pt idx="12">
                  <c:v>73</c:v>
                </c:pt>
                <c:pt idx="13">
                  <c:v>78</c:v>
                </c:pt>
                <c:pt idx="14">
                  <c:v>83</c:v>
                </c:pt>
                <c:pt idx="15">
                  <c:v>87</c:v>
                </c:pt>
                <c:pt idx="16">
                  <c:v>91</c:v>
                </c:pt>
                <c:pt idx="17">
                  <c:v>95</c:v>
                </c:pt>
                <c:pt idx="18">
                  <c:v>99</c:v>
                </c:pt>
                <c:pt idx="19">
                  <c:v>104</c:v>
                </c:pt>
                <c:pt idx="20">
                  <c:v>110</c:v>
                </c:pt>
                <c:pt idx="21">
                  <c:v>116.5</c:v>
                </c:pt>
                <c:pt idx="22">
                  <c:v>123.5</c:v>
                </c:pt>
                <c:pt idx="23">
                  <c:v>130</c:v>
                </c:pt>
                <c:pt idx="24">
                  <c:v>135</c:v>
                </c:pt>
                <c:pt idx="25">
                  <c:v>139</c:v>
                </c:pt>
                <c:pt idx="26">
                  <c:v>144</c:v>
                </c:pt>
                <c:pt idx="27">
                  <c:v>149</c:v>
                </c:pt>
                <c:pt idx="28">
                  <c:v>153</c:v>
                </c:pt>
                <c:pt idx="29">
                  <c:v>157</c:v>
                </c:pt>
                <c:pt idx="30">
                  <c:v>161</c:v>
                </c:pt>
                <c:pt idx="31">
                  <c:v>165</c:v>
                </c:pt>
                <c:pt idx="32">
                  <c:v>170</c:v>
                </c:pt>
              </c:numCache>
            </c:numRef>
          </c:xVal>
          <c:yVal>
            <c:numRef>
              <c:f>Sheet2!$AE$538:$AE$570</c:f>
              <c:numCache>
                <c:formatCode>General</c:formatCode>
                <c:ptCount val="33"/>
                <c:pt idx="0">
                  <c:v>293.66975814369101</c:v>
                </c:pt>
                <c:pt idx="1">
                  <c:v>261.62956379894968</c:v>
                </c:pt>
                <c:pt idx="2">
                  <c:v>164.8151702626221</c:v>
                </c:pt>
                <c:pt idx="3">
                  <c:v>130.81344004395982</c:v>
                </c:pt>
                <c:pt idx="4">
                  <c:v>87.306974197808145</c:v>
                </c:pt>
                <c:pt idx="5">
                  <c:v>97.998932630681253</c:v>
                </c:pt>
                <c:pt idx="6">
                  <c:v>587.34554108704231</c:v>
                </c:pt>
                <c:pt idx="7">
                  <c:v>220.00279814001337</c:v>
                </c:pt>
                <c:pt idx="8">
                  <c:v>116.54132680899107</c:v>
                </c:pt>
                <c:pt idx="9">
                  <c:v>233.08504452861115</c:v>
                </c:pt>
                <c:pt idx="10">
                  <c:v>130.81344004395982</c:v>
                </c:pt>
                <c:pt idx="11">
                  <c:v>349.23506143398839</c:v>
                </c:pt>
                <c:pt idx="12">
                  <c:v>349.23506143398839</c:v>
                </c:pt>
                <c:pt idx="13">
                  <c:v>440.01010976071973</c:v>
                </c:pt>
                <c:pt idx="14">
                  <c:v>293.66975814369101</c:v>
                </c:pt>
                <c:pt idx="15">
                  <c:v>184.99908988354849</c:v>
                </c:pt>
                <c:pt idx="16">
                  <c:v>138.5921304427338</c:v>
                </c:pt>
                <c:pt idx="17">
                  <c:v>97.998932630681253</c:v>
                </c:pt>
                <c:pt idx="18">
                  <c:v>87.306974197808145</c:v>
                </c:pt>
                <c:pt idx="19">
                  <c:v>440.01010976071973</c:v>
                </c:pt>
                <c:pt idx="20">
                  <c:v>174.61573954711864</c:v>
                </c:pt>
                <c:pt idx="21">
                  <c:v>146.83337288738056</c:v>
                </c:pt>
                <c:pt idx="22">
                  <c:v>246.94521361646048</c:v>
                </c:pt>
                <c:pt idx="23">
                  <c:v>130.81344004395982</c:v>
                </c:pt>
                <c:pt idx="24">
                  <c:v>349.23506143398839</c:v>
                </c:pt>
                <c:pt idx="25">
                  <c:v>349.23506143398839</c:v>
                </c:pt>
                <c:pt idx="26">
                  <c:v>440.01010976071973</c:v>
                </c:pt>
                <c:pt idx="27">
                  <c:v>293.66975814369101</c:v>
                </c:pt>
                <c:pt idx="28">
                  <c:v>184.99908988354849</c:v>
                </c:pt>
                <c:pt idx="29">
                  <c:v>138.5921304427338</c:v>
                </c:pt>
                <c:pt idx="30">
                  <c:v>97.998932630681253</c:v>
                </c:pt>
                <c:pt idx="31">
                  <c:v>87.306974197808145</c:v>
                </c:pt>
                <c:pt idx="32">
                  <c:v>440.01010976071973</c:v>
                </c:pt>
              </c:numCache>
            </c:numRef>
          </c:yVal>
          <c:smooth val="0"/>
        </c:ser>
        <c:ser>
          <c:idx val="3"/>
          <c:order val="3"/>
          <c:tx>
            <c:v>Left Hand Harmony</c:v>
          </c:tx>
          <c:spPr>
            <a:ln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Sheet2!$AB$538:$AB$570</c:f>
              <c:numCache>
                <c:formatCode>General</c:formatCode>
                <c:ptCount val="33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28.75</c:v>
                </c:pt>
                <c:pt idx="7">
                  <c:v>43.5</c:v>
                </c:pt>
                <c:pt idx="8">
                  <c:v>50</c:v>
                </c:pt>
                <c:pt idx="9">
                  <c:v>54</c:v>
                </c:pt>
                <c:pt idx="10">
                  <c:v>64</c:v>
                </c:pt>
                <c:pt idx="11">
                  <c:v>69</c:v>
                </c:pt>
                <c:pt idx="12">
                  <c:v>73</c:v>
                </c:pt>
                <c:pt idx="13">
                  <c:v>78</c:v>
                </c:pt>
                <c:pt idx="14">
                  <c:v>83</c:v>
                </c:pt>
                <c:pt idx="15">
                  <c:v>87</c:v>
                </c:pt>
                <c:pt idx="16">
                  <c:v>91</c:v>
                </c:pt>
                <c:pt idx="17">
                  <c:v>95</c:v>
                </c:pt>
                <c:pt idx="18">
                  <c:v>99</c:v>
                </c:pt>
                <c:pt idx="19">
                  <c:v>104</c:v>
                </c:pt>
                <c:pt idx="20">
                  <c:v>110</c:v>
                </c:pt>
                <c:pt idx="21">
                  <c:v>116.5</c:v>
                </c:pt>
                <c:pt idx="22">
                  <c:v>123.5</c:v>
                </c:pt>
                <c:pt idx="23">
                  <c:v>130</c:v>
                </c:pt>
                <c:pt idx="24">
                  <c:v>135</c:v>
                </c:pt>
                <c:pt idx="25">
                  <c:v>139</c:v>
                </c:pt>
                <c:pt idx="26">
                  <c:v>144</c:v>
                </c:pt>
                <c:pt idx="27">
                  <c:v>149</c:v>
                </c:pt>
                <c:pt idx="28">
                  <c:v>153</c:v>
                </c:pt>
                <c:pt idx="29">
                  <c:v>157</c:v>
                </c:pt>
                <c:pt idx="30">
                  <c:v>161</c:v>
                </c:pt>
                <c:pt idx="31">
                  <c:v>165</c:v>
                </c:pt>
                <c:pt idx="32">
                  <c:v>170</c:v>
                </c:pt>
              </c:numCache>
            </c:numRef>
          </c:xVal>
          <c:yVal>
            <c:numRef>
              <c:f>Sheet2!$AK$538:$AK$570</c:f>
              <c:numCache>
                <c:formatCode>General</c:formatCode>
                <c:ptCount val="33"/>
                <c:pt idx="0">
                  <c:v>349.23506143398839</c:v>
                </c:pt>
                <c:pt idx="1">
                  <c:v>311.13253664194741</c:v>
                </c:pt>
                <c:pt idx="2">
                  <c:v>195.99987576438383</c:v>
                </c:pt>
                <c:pt idx="14">
                  <c:v>349.23506143398839</c:v>
                </c:pt>
                <c:pt idx="15">
                  <c:v>220.00279814001337</c:v>
                </c:pt>
                <c:pt idx="16">
                  <c:v>174.61573954711864</c:v>
                </c:pt>
                <c:pt idx="27">
                  <c:v>349.23506143398839</c:v>
                </c:pt>
                <c:pt idx="28">
                  <c:v>220.00279814001337</c:v>
                </c:pt>
                <c:pt idx="29">
                  <c:v>174.61573954711864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80832"/>
        <c:axId val="57481408"/>
      </c:scatterChart>
      <c:valAx>
        <c:axId val="5748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481408"/>
        <c:crosses val="autoZero"/>
        <c:crossBetween val="midCat"/>
      </c:valAx>
      <c:valAx>
        <c:axId val="57481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480832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Right Hand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(Sheet2!$AN$15,Sheet2!$AN$318,Sheet2!$AN$471,Sheet2!$AN$549)</c:f>
              <c:numCache>
                <c:formatCode>General</c:formatCode>
                <c:ptCount val="4"/>
                <c:pt idx="0">
                  <c:v>1132</c:v>
                </c:pt>
                <c:pt idx="1">
                  <c:v>524</c:v>
                </c:pt>
                <c:pt idx="2">
                  <c:v>405</c:v>
                </c:pt>
                <c:pt idx="3">
                  <c:v>280</c:v>
                </c:pt>
              </c:numCache>
            </c:numRef>
          </c:val>
          <c:smooth val="0"/>
        </c:ser>
        <c:ser>
          <c:idx val="1"/>
          <c:order val="1"/>
          <c:tx>
            <c:v>Left Hand </c:v>
          </c:tx>
          <c:spPr>
            <a:ln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(Sheet2!$AN$6,Sheet2!$AN$309,Sheet2!$AN$462,Sheet2!$AN$540)</c:f>
              <c:numCache>
                <c:formatCode>General</c:formatCode>
                <c:ptCount val="4"/>
                <c:pt idx="0">
                  <c:v>1323</c:v>
                </c:pt>
                <c:pt idx="1">
                  <c:v>472</c:v>
                </c:pt>
                <c:pt idx="2">
                  <c:v>385</c:v>
                </c:pt>
                <c:pt idx="3">
                  <c:v>339</c:v>
                </c:pt>
              </c:numCache>
            </c:numRef>
          </c:val>
          <c:smooth val="0"/>
        </c:ser>
        <c:ser>
          <c:idx val="2"/>
          <c:order val="2"/>
          <c:tx>
            <c:v>Right Regression</c:v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val>
            <c:numRef>
              <c:f>Sheet2!$AT$65:$AT$68</c:f>
              <c:numCache>
                <c:formatCode>General</c:formatCode>
                <c:ptCount val="4"/>
                <c:pt idx="0">
                  <c:v>984.3</c:v>
                </c:pt>
                <c:pt idx="1">
                  <c:v>717.59999999999991</c:v>
                </c:pt>
                <c:pt idx="2">
                  <c:v>450.9</c:v>
                </c:pt>
                <c:pt idx="3">
                  <c:v>184.20000000000005</c:v>
                </c:pt>
              </c:numCache>
            </c:numRef>
          </c:val>
          <c:smooth val="0"/>
        </c:ser>
        <c:ser>
          <c:idx val="3"/>
          <c:order val="3"/>
          <c:tx>
            <c:v>Left Regression</c:v>
          </c:tx>
          <c:val>
            <c:numRef>
              <c:f>Sheet2!$AT$70:$AT$73</c:f>
              <c:numCache>
                <c:formatCode>General</c:formatCode>
                <c:ptCount val="4"/>
                <c:pt idx="0">
                  <c:v>1097.4000000000001</c:v>
                </c:pt>
                <c:pt idx="1">
                  <c:v>775.80000000000007</c:v>
                </c:pt>
                <c:pt idx="2">
                  <c:v>454.20000000000005</c:v>
                </c:pt>
                <c:pt idx="3">
                  <c:v>132.60000000000002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71552"/>
        <c:axId val="57549376"/>
      </c:lineChart>
      <c:catAx>
        <c:axId val="11247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57549376"/>
        <c:crosses val="autoZero"/>
        <c:auto val="1"/>
        <c:lblAlgn val="ctr"/>
        <c:lblOffset val="100"/>
        <c:noMultiLvlLbl val="0"/>
      </c:catAx>
      <c:valAx>
        <c:axId val="5754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471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Averaged Right and Left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Sheet2!$AW$65:$AW$68</c:f>
              <c:numCache>
                <c:formatCode>General</c:formatCode>
                <c:ptCount val="4"/>
                <c:pt idx="0">
                  <c:v>1226.5</c:v>
                </c:pt>
                <c:pt idx="1">
                  <c:v>497</c:v>
                </c:pt>
                <c:pt idx="2">
                  <c:v>395</c:v>
                </c:pt>
                <c:pt idx="3">
                  <c:v>280</c:v>
                </c:pt>
              </c:numCache>
            </c:numRef>
          </c:val>
          <c:smooth val="0"/>
        </c:ser>
        <c:ser>
          <c:idx val="1"/>
          <c:order val="1"/>
          <c:tx>
            <c:v>Averaged Regression</c:v>
          </c:tx>
          <c:val>
            <c:numRef>
              <c:f>Sheet2!$AW$70:$AW$73</c:f>
              <c:numCache>
                <c:formatCode>General</c:formatCode>
                <c:ptCount val="4"/>
                <c:pt idx="0">
                  <c:v>1040.8499999999999</c:v>
                </c:pt>
                <c:pt idx="1">
                  <c:v>746.69999999999993</c:v>
                </c:pt>
                <c:pt idx="2">
                  <c:v>452.54999999999995</c:v>
                </c:pt>
                <c:pt idx="3">
                  <c:v>158.39999999999998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71296"/>
        <c:axId val="57551104"/>
      </c:lineChart>
      <c:catAx>
        <c:axId val="11327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57551104"/>
        <c:crosses val="autoZero"/>
        <c:auto val="1"/>
        <c:lblAlgn val="ctr"/>
        <c:lblOffset val="100"/>
        <c:noMultiLvlLbl val="0"/>
      </c:catAx>
      <c:valAx>
        <c:axId val="5755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271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 Written Notes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8300315963706E-2"/>
          <c:y val="0.181659388646288"/>
          <c:w val="0.77980001504589203"/>
          <c:h val="0.65119726300588199"/>
        </c:manualLayout>
      </c:layout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Sheet3!$V$4:$V$171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17.5</c:v>
                </c:pt>
                <c:pt idx="21">
                  <c:v>18</c:v>
                </c:pt>
                <c:pt idx="22">
                  <c:v>18.5</c:v>
                </c:pt>
                <c:pt idx="23">
                  <c:v>19</c:v>
                </c:pt>
                <c:pt idx="24">
                  <c:v>19.5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33.5</c:v>
                </c:pt>
                <c:pt idx="43">
                  <c:v>34</c:v>
                </c:pt>
                <c:pt idx="44">
                  <c:v>34.5</c:v>
                </c:pt>
                <c:pt idx="45">
                  <c:v>35</c:v>
                </c:pt>
                <c:pt idx="46">
                  <c:v>35.5</c:v>
                </c:pt>
                <c:pt idx="47">
                  <c:v>36</c:v>
                </c:pt>
                <c:pt idx="48">
                  <c:v>39</c:v>
                </c:pt>
                <c:pt idx="49">
                  <c:v>40</c:v>
                </c:pt>
                <c:pt idx="50">
                  <c:v>41.5</c:v>
                </c:pt>
                <c:pt idx="51">
                  <c:v>42</c:v>
                </c:pt>
                <c:pt idx="52">
                  <c:v>43.5</c:v>
                </c:pt>
                <c:pt idx="53">
                  <c:v>44</c:v>
                </c:pt>
                <c:pt idx="54">
                  <c:v>44.5</c:v>
                </c:pt>
                <c:pt idx="55">
                  <c:v>45</c:v>
                </c:pt>
                <c:pt idx="56">
                  <c:v>45.5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48.5</c:v>
                </c:pt>
                <c:pt idx="61">
                  <c:v>49</c:v>
                </c:pt>
                <c:pt idx="62">
                  <c:v>49.5</c:v>
                </c:pt>
                <c:pt idx="63">
                  <c:v>50</c:v>
                </c:pt>
                <c:pt idx="64">
                  <c:v>50.5</c:v>
                </c:pt>
                <c:pt idx="65">
                  <c:v>51</c:v>
                </c:pt>
                <c:pt idx="66">
                  <c:v>51.5</c:v>
                </c:pt>
                <c:pt idx="67">
                  <c:v>52</c:v>
                </c:pt>
                <c:pt idx="68">
                  <c:v>53</c:v>
                </c:pt>
                <c:pt idx="69">
                  <c:v>54</c:v>
                </c:pt>
                <c:pt idx="70">
                  <c:v>55</c:v>
                </c:pt>
                <c:pt idx="71">
                  <c:v>56</c:v>
                </c:pt>
                <c:pt idx="72">
                  <c:v>57.5</c:v>
                </c:pt>
                <c:pt idx="73">
                  <c:v>58</c:v>
                </c:pt>
                <c:pt idx="74">
                  <c:v>59.5</c:v>
                </c:pt>
                <c:pt idx="75">
                  <c:v>60</c:v>
                </c:pt>
                <c:pt idx="76">
                  <c:v>60.5</c:v>
                </c:pt>
                <c:pt idx="77">
                  <c:v>61</c:v>
                </c:pt>
                <c:pt idx="78">
                  <c:v>61.5</c:v>
                </c:pt>
                <c:pt idx="79">
                  <c:v>62</c:v>
                </c:pt>
                <c:pt idx="80">
                  <c:v>63</c:v>
                </c:pt>
                <c:pt idx="81">
                  <c:v>64</c:v>
                </c:pt>
                <c:pt idx="82">
                  <c:v>64.5</c:v>
                </c:pt>
                <c:pt idx="83">
                  <c:v>65</c:v>
                </c:pt>
                <c:pt idx="84">
                  <c:v>65.5</c:v>
                </c:pt>
                <c:pt idx="85">
                  <c:v>66</c:v>
                </c:pt>
                <c:pt idx="86">
                  <c:v>66.5</c:v>
                </c:pt>
                <c:pt idx="87">
                  <c:v>67</c:v>
                </c:pt>
                <c:pt idx="88">
                  <c:v>67.5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73.5</c:v>
                </c:pt>
                <c:pt idx="96">
                  <c:v>74</c:v>
                </c:pt>
                <c:pt idx="97">
                  <c:v>75</c:v>
                </c:pt>
                <c:pt idx="98">
                  <c:v>76</c:v>
                </c:pt>
                <c:pt idx="99">
                  <c:v>77</c:v>
                </c:pt>
                <c:pt idx="100">
                  <c:v>78</c:v>
                </c:pt>
                <c:pt idx="101">
                  <c:v>79</c:v>
                </c:pt>
                <c:pt idx="102">
                  <c:v>80</c:v>
                </c:pt>
                <c:pt idx="103">
                  <c:v>81</c:v>
                </c:pt>
                <c:pt idx="104">
                  <c:v>81.5</c:v>
                </c:pt>
                <c:pt idx="105">
                  <c:v>82</c:v>
                </c:pt>
                <c:pt idx="106">
                  <c:v>83</c:v>
                </c:pt>
                <c:pt idx="107">
                  <c:v>84</c:v>
                </c:pt>
                <c:pt idx="108">
                  <c:v>85</c:v>
                </c:pt>
                <c:pt idx="109">
                  <c:v>86</c:v>
                </c:pt>
                <c:pt idx="110">
                  <c:v>87</c:v>
                </c:pt>
                <c:pt idx="111">
                  <c:v>88</c:v>
                </c:pt>
                <c:pt idx="112">
                  <c:v>89</c:v>
                </c:pt>
                <c:pt idx="113">
                  <c:v>89.5</c:v>
                </c:pt>
                <c:pt idx="114">
                  <c:v>90</c:v>
                </c:pt>
                <c:pt idx="115">
                  <c:v>90.5</c:v>
                </c:pt>
                <c:pt idx="116">
                  <c:v>91</c:v>
                </c:pt>
                <c:pt idx="117">
                  <c:v>91.5</c:v>
                </c:pt>
                <c:pt idx="118">
                  <c:v>92</c:v>
                </c:pt>
                <c:pt idx="119">
                  <c:v>93</c:v>
                </c:pt>
                <c:pt idx="120">
                  <c:v>94</c:v>
                </c:pt>
                <c:pt idx="121">
                  <c:v>95</c:v>
                </c:pt>
                <c:pt idx="122">
                  <c:v>96</c:v>
                </c:pt>
                <c:pt idx="123">
                  <c:v>97</c:v>
                </c:pt>
                <c:pt idx="124">
                  <c:v>97.5</c:v>
                </c:pt>
                <c:pt idx="125">
                  <c:v>98</c:v>
                </c:pt>
                <c:pt idx="126">
                  <c:v>98.5</c:v>
                </c:pt>
                <c:pt idx="127">
                  <c:v>99</c:v>
                </c:pt>
                <c:pt idx="128">
                  <c:v>99.5</c:v>
                </c:pt>
                <c:pt idx="129">
                  <c:v>100</c:v>
                </c:pt>
                <c:pt idx="130">
                  <c:v>101</c:v>
                </c:pt>
                <c:pt idx="131">
                  <c:v>102</c:v>
                </c:pt>
                <c:pt idx="132">
                  <c:v>103</c:v>
                </c:pt>
                <c:pt idx="133">
                  <c:v>104</c:v>
                </c:pt>
                <c:pt idx="134">
                  <c:v>105</c:v>
                </c:pt>
                <c:pt idx="135">
                  <c:v>105.5</c:v>
                </c:pt>
                <c:pt idx="136">
                  <c:v>106</c:v>
                </c:pt>
                <c:pt idx="137">
                  <c:v>106.5</c:v>
                </c:pt>
                <c:pt idx="138">
                  <c:v>107</c:v>
                </c:pt>
                <c:pt idx="139">
                  <c:v>107.5</c:v>
                </c:pt>
                <c:pt idx="140">
                  <c:v>108</c:v>
                </c:pt>
                <c:pt idx="141">
                  <c:v>111</c:v>
                </c:pt>
                <c:pt idx="142">
                  <c:v>111.5</c:v>
                </c:pt>
                <c:pt idx="143">
                  <c:v>112</c:v>
                </c:pt>
                <c:pt idx="144">
                  <c:v>112.5</c:v>
                </c:pt>
                <c:pt idx="145">
                  <c:v>113</c:v>
                </c:pt>
                <c:pt idx="146">
                  <c:v>113.5</c:v>
                </c:pt>
                <c:pt idx="147">
                  <c:v>114</c:v>
                </c:pt>
                <c:pt idx="148">
                  <c:v>114.5</c:v>
                </c:pt>
                <c:pt idx="149">
                  <c:v>115</c:v>
                </c:pt>
                <c:pt idx="150">
                  <c:v>115.5</c:v>
                </c:pt>
                <c:pt idx="151">
                  <c:v>116</c:v>
                </c:pt>
                <c:pt idx="152">
                  <c:v>116.5</c:v>
                </c:pt>
                <c:pt idx="153">
                  <c:v>117</c:v>
                </c:pt>
                <c:pt idx="154">
                  <c:v>117.5</c:v>
                </c:pt>
                <c:pt idx="155">
                  <c:v>118</c:v>
                </c:pt>
                <c:pt idx="156">
                  <c:v>119</c:v>
                </c:pt>
                <c:pt idx="157">
                  <c:v>120</c:v>
                </c:pt>
                <c:pt idx="158">
                  <c:v>121</c:v>
                </c:pt>
                <c:pt idx="159">
                  <c:v>121.5</c:v>
                </c:pt>
                <c:pt idx="160">
                  <c:v>122</c:v>
                </c:pt>
                <c:pt idx="161">
                  <c:v>123</c:v>
                </c:pt>
                <c:pt idx="162">
                  <c:v>124</c:v>
                </c:pt>
                <c:pt idx="163">
                  <c:v>125</c:v>
                </c:pt>
                <c:pt idx="164">
                  <c:v>125.5</c:v>
                </c:pt>
                <c:pt idx="165">
                  <c:v>126</c:v>
                </c:pt>
                <c:pt idx="166">
                  <c:v>127</c:v>
                </c:pt>
                <c:pt idx="167">
                  <c:v>128</c:v>
                </c:pt>
              </c:numCache>
            </c:numRef>
          </c:xVal>
          <c:yVal>
            <c:numRef>
              <c:f>Sheet3!$Y$4:$Y$171</c:f>
              <c:numCache>
                <c:formatCode>General</c:formatCode>
                <c:ptCount val="168"/>
                <c:pt idx="0">
                  <c:v>261.62956379894968</c:v>
                </c:pt>
                <c:pt idx="1">
                  <c:v>261.62956379894968</c:v>
                </c:pt>
                <c:pt idx="2">
                  <c:v>233.08504452861115</c:v>
                </c:pt>
                <c:pt idx="3">
                  <c:v>261.62956379894968</c:v>
                </c:pt>
                <c:pt idx="4">
                  <c:v>392.00377257605692</c:v>
                </c:pt>
                <c:pt idx="5">
                  <c:v>392.00377257605692</c:v>
                </c:pt>
                <c:pt idx="6">
                  <c:v>349.23506143398839</c:v>
                </c:pt>
                <c:pt idx="7">
                  <c:v>311.13253664194741</c:v>
                </c:pt>
                <c:pt idx="8">
                  <c:v>293.66975814369101</c:v>
                </c:pt>
                <c:pt idx="9">
                  <c:v>261.62956379894968</c:v>
                </c:pt>
                <c:pt idx="10">
                  <c:v>261.62956379894968</c:v>
                </c:pt>
                <c:pt idx="11">
                  <c:v>233.08504452861115</c:v>
                </c:pt>
                <c:pt idx="12">
                  <c:v>261.62956379894968</c:v>
                </c:pt>
                <c:pt idx="13">
                  <c:v>392.00377257605692</c:v>
                </c:pt>
                <c:pt idx="14">
                  <c:v>392.00377257605692</c:v>
                </c:pt>
                <c:pt idx="15">
                  <c:v>349.23506143398839</c:v>
                </c:pt>
                <c:pt idx="16">
                  <c:v>311.13253664194741</c:v>
                </c:pt>
                <c:pt idx="17">
                  <c:v>293.66975814369101</c:v>
                </c:pt>
                <c:pt idx="18">
                  <c:v>261.62956379894968</c:v>
                </c:pt>
                <c:pt idx="19">
                  <c:v>261.62956379894968</c:v>
                </c:pt>
                <c:pt idx="20">
                  <c:v>233.08504452861115</c:v>
                </c:pt>
                <c:pt idx="21">
                  <c:v>261.62956379894968</c:v>
                </c:pt>
                <c:pt idx="22">
                  <c:v>233.08504452861115</c:v>
                </c:pt>
                <c:pt idx="23">
                  <c:v>261.62956379894968</c:v>
                </c:pt>
                <c:pt idx="24">
                  <c:v>293.66975814369101</c:v>
                </c:pt>
                <c:pt idx="25">
                  <c:v>311.13253664194741</c:v>
                </c:pt>
                <c:pt idx="26">
                  <c:v>392.00377257605692</c:v>
                </c:pt>
                <c:pt idx="27">
                  <c:v>220.00279814001337</c:v>
                </c:pt>
                <c:pt idx="28">
                  <c:v>392.00377257605692</c:v>
                </c:pt>
                <c:pt idx="29">
                  <c:v>261.62956379894968</c:v>
                </c:pt>
                <c:pt idx="30">
                  <c:v>261.62956379894968</c:v>
                </c:pt>
                <c:pt idx="31">
                  <c:v>233.08504452861115</c:v>
                </c:pt>
                <c:pt idx="32">
                  <c:v>261.62956379894968</c:v>
                </c:pt>
                <c:pt idx="33">
                  <c:v>233.08504452861115</c:v>
                </c:pt>
                <c:pt idx="34">
                  <c:v>261.62956379894968</c:v>
                </c:pt>
                <c:pt idx="35">
                  <c:v>293.66975814369101</c:v>
                </c:pt>
                <c:pt idx="36">
                  <c:v>311.13253664194741</c:v>
                </c:pt>
                <c:pt idx="37">
                  <c:v>392.00377257605692</c:v>
                </c:pt>
                <c:pt idx="38">
                  <c:v>220.00279814001337</c:v>
                </c:pt>
                <c:pt idx="39">
                  <c:v>392.00377257605692</c:v>
                </c:pt>
                <c:pt idx="40">
                  <c:v>261.62956379894968</c:v>
                </c:pt>
                <c:pt idx="41">
                  <c:v>261.62956379894968</c:v>
                </c:pt>
                <c:pt idx="42">
                  <c:v>233.08504452861115</c:v>
                </c:pt>
                <c:pt idx="43">
                  <c:v>261.62956379894968</c:v>
                </c:pt>
                <c:pt idx="44">
                  <c:v>233.08504452861115</c:v>
                </c:pt>
                <c:pt idx="45">
                  <c:v>261.62956379894968</c:v>
                </c:pt>
                <c:pt idx="46">
                  <c:v>311.13253664194741</c:v>
                </c:pt>
                <c:pt idx="47">
                  <c:v>392.00377257605692</c:v>
                </c:pt>
                <c:pt idx="48">
                  <c:v>784.01558732918636</c:v>
                </c:pt>
                <c:pt idx="49">
                  <c:v>587.34554108704231</c:v>
                </c:pt>
                <c:pt idx="50">
                  <c:v>784.01558732918636</c:v>
                </c:pt>
                <c:pt idx="51">
                  <c:v>587.34554108704231</c:v>
                </c:pt>
                <c:pt idx="52">
                  <c:v>784.01558732918636</c:v>
                </c:pt>
                <c:pt idx="53">
                  <c:v>587.34554108704231</c:v>
                </c:pt>
                <c:pt idx="54">
                  <c:v>784.01558732918636</c:v>
                </c:pt>
                <c:pt idx="55">
                  <c:v>587.34554108704231</c:v>
                </c:pt>
                <c:pt idx="56">
                  <c:v>784.01558732918636</c:v>
                </c:pt>
                <c:pt idx="57">
                  <c:v>587.34554108704231</c:v>
                </c:pt>
                <c:pt idx="58">
                  <c:v>784.01558732918636</c:v>
                </c:pt>
                <c:pt idx="59">
                  <c:v>587.34554108704231</c:v>
                </c:pt>
                <c:pt idx="60">
                  <c:v>622.27145634224212</c:v>
                </c:pt>
                <c:pt idx="61">
                  <c:v>698.47728762097279</c:v>
                </c:pt>
                <c:pt idx="62">
                  <c:v>784.01558732918636</c:v>
                </c:pt>
                <c:pt idx="63">
                  <c:v>698.47728762097279</c:v>
                </c:pt>
                <c:pt idx="64">
                  <c:v>622.27145634224212</c:v>
                </c:pt>
                <c:pt idx="65">
                  <c:v>587.34554108704231</c:v>
                </c:pt>
                <c:pt idx="66">
                  <c:v>523.26449507501752</c:v>
                </c:pt>
                <c:pt idx="67">
                  <c:v>587.34554108704231</c:v>
                </c:pt>
                <c:pt idx="68">
                  <c:v>415.31388490851958</c:v>
                </c:pt>
                <c:pt idx="69">
                  <c:v>415.31388490851958</c:v>
                </c:pt>
                <c:pt idx="70">
                  <c:v>392.00377257605692</c:v>
                </c:pt>
                <c:pt idx="71">
                  <c:v>293.66975814369101</c:v>
                </c:pt>
                <c:pt idx="72">
                  <c:v>392.00377257605692</c:v>
                </c:pt>
                <c:pt idx="73">
                  <c:v>293.66975814369101</c:v>
                </c:pt>
                <c:pt idx="74">
                  <c:v>392.00377257605692</c:v>
                </c:pt>
                <c:pt idx="75">
                  <c:v>293.66975814369101</c:v>
                </c:pt>
                <c:pt idx="76">
                  <c:v>392.00377257605692</c:v>
                </c:pt>
                <c:pt idx="77">
                  <c:v>293.66975814369101</c:v>
                </c:pt>
                <c:pt idx="78">
                  <c:v>392.00377257605692</c:v>
                </c:pt>
                <c:pt idx="79">
                  <c:v>293.66975814369101</c:v>
                </c:pt>
                <c:pt idx="80">
                  <c:v>392.00377257605692</c:v>
                </c:pt>
                <c:pt idx="81">
                  <c:v>293.66975814369101</c:v>
                </c:pt>
                <c:pt idx="82">
                  <c:v>311.13253664194741</c:v>
                </c:pt>
                <c:pt idx="83">
                  <c:v>349.23506143398839</c:v>
                </c:pt>
                <c:pt idx="84">
                  <c:v>392.00377257605692</c:v>
                </c:pt>
                <c:pt idx="85">
                  <c:v>349.23506143398839</c:v>
                </c:pt>
                <c:pt idx="86">
                  <c:v>311.13253664194741</c:v>
                </c:pt>
                <c:pt idx="87">
                  <c:v>293.66975814369101</c:v>
                </c:pt>
                <c:pt idx="88">
                  <c:v>261.62956379894968</c:v>
                </c:pt>
                <c:pt idx="89">
                  <c:v>293.66975814369101</c:v>
                </c:pt>
                <c:pt idx="90">
                  <c:v>207.65481237683719</c:v>
                </c:pt>
                <c:pt idx="91">
                  <c:v>207.65481237683719</c:v>
                </c:pt>
                <c:pt idx="92">
                  <c:v>293.66975814369101</c:v>
                </c:pt>
                <c:pt idx="93">
                  <c:v>261.62956379894968</c:v>
                </c:pt>
                <c:pt idx="94">
                  <c:v>261.62956379894968</c:v>
                </c:pt>
                <c:pt idx="95">
                  <c:v>233.08504452861115</c:v>
                </c:pt>
                <c:pt idx="96">
                  <c:v>261.62956379894968</c:v>
                </c:pt>
                <c:pt idx="97">
                  <c:v>392.00377257605692</c:v>
                </c:pt>
                <c:pt idx="98">
                  <c:v>392.00377257605692</c:v>
                </c:pt>
                <c:pt idx="99">
                  <c:v>349.23506143398839</c:v>
                </c:pt>
                <c:pt idx="100">
                  <c:v>311.13253664194741</c:v>
                </c:pt>
                <c:pt idx="101">
                  <c:v>293.66975814369101</c:v>
                </c:pt>
                <c:pt idx="102">
                  <c:v>261.62956379894968</c:v>
                </c:pt>
                <c:pt idx="103">
                  <c:v>261.62956379894968</c:v>
                </c:pt>
                <c:pt idx="104">
                  <c:v>233.08504452861115</c:v>
                </c:pt>
                <c:pt idx="105">
                  <c:v>261.62956379894968</c:v>
                </c:pt>
                <c:pt idx="106">
                  <c:v>392.00377257605692</c:v>
                </c:pt>
                <c:pt idx="107">
                  <c:v>392.00377257605692</c:v>
                </c:pt>
                <c:pt idx="108">
                  <c:v>349.23506143398839</c:v>
                </c:pt>
                <c:pt idx="109">
                  <c:v>311.13253664194741</c:v>
                </c:pt>
                <c:pt idx="110">
                  <c:v>293.66975814369101</c:v>
                </c:pt>
                <c:pt idx="111">
                  <c:v>261.62956379894968</c:v>
                </c:pt>
                <c:pt idx="112">
                  <c:v>261.62956379894968</c:v>
                </c:pt>
                <c:pt idx="113">
                  <c:v>233.08504452861115</c:v>
                </c:pt>
                <c:pt idx="114">
                  <c:v>261.62956379894968</c:v>
                </c:pt>
                <c:pt idx="115">
                  <c:v>233.08504452861115</c:v>
                </c:pt>
                <c:pt idx="116">
                  <c:v>261.62956379894968</c:v>
                </c:pt>
                <c:pt idx="117">
                  <c:v>293.66975814369101</c:v>
                </c:pt>
                <c:pt idx="118">
                  <c:v>311.13253664194741</c:v>
                </c:pt>
                <c:pt idx="119">
                  <c:v>392.00377257605692</c:v>
                </c:pt>
                <c:pt idx="120">
                  <c:v>220.00279814001337</c:v>
                </c:pt>
                <c:pt idx="121">
                  <c:v>392.00377257605692</c:v>
                </c:pt>
                <c:pt idx="122">
                  <c:v>261.62956379894968</c:v>
                </c:pt>
                <c:pt idx="123">
                  <c:v>261.62956379894968</c:v>
                </c:pt>
                <c:pt idx="124">
                  <c:v>233.08504452861115</c:v>
                </c:pt>
                <c:pt idx="125">
                  <c:v>261.62956379894968</c:v>
                </c:pt>
                <c:pt idx="126">
                  <c:v>233.08504452861115</c:v>
                </c:pt>
                <c:pt idx="127">
                  <c:v>261.62956379894968</c:v>
                </c:pt>
                <c:pt idx="128">
                  <c:v>293.66975814369101</c:v>
                </c:pt>
                <c:pt idx="129">
                  <c:v>311.13253664194741</c:v>
                </c:pt>
                <c:pt idx="130">
                  <c:v>392.00377257605692</c:v>
                </c:pt>
                <c:pt idx="131">
                  <c:v>220.00279814001337</c:v>
                </c:pt>
                <c:pt idx="132">
                  <c:v>392.00377257605692</c:v>
                </c:pt>
                <c:pt idx="133">
                  <c:v>261.62956379894968</c:v>
                </c:pt>
                <c:pt idx="134">
                  <c:v>261.62956379894968</c:v>
                </c:pt>
                <c:pt idx="135">
                  <c:v>233.08504452861115</c:v>
                </c:pt>
                <c:pt idx="136">
                  <c:v>261.62956379894968</c:v>
                </c:pt>
                <c:pt idx="137">
                  <c:v>233.08504452861115</c:v>
                </c:pt>
                <c:pt idx="138">
                  <c:v>261.62956379894968</c:v>
                </c:pt>
                <c:pt idx="139">
                  <c:v>311.13253664194741</c:v>
                </c:pt>
                <c:pt idx="140">
                  <c:v>466.17487092753117</c:v>
                </c:pt>
                <c:pt idx="141">
                  <c:v>392.00377257605692</c:v>
                </c:pt>
                <c:pt idx="142">
                  <c:v>233.08504452861115</c:v>
                </c:pt>
                <c:pt idx="143">
                  <c:v>261.62956379894968</c:v>
                </c:pt>
                <c:pt idx="144">
                  <c:v>311.13253664194741</c:v>
                </c:pt>
                <c:pt idx="145">
                  <c:v>233.08504452861115</c:v>
                </c:pt>
                <c:pt idx="146">
                  <c:v>523.26449507501752</c:v>
                </c:pt>
                <c:pt idx="147">
                  <c:v>622.27145634224212</c:v>
                </c:pt>
                <c:pt idx="148">
                  <c:v>932.35930569378297</c:v>
                </c:pt>
                <c:pt idx="149">
                  <c:v>1046.5397252143878</c:v>
                </c:pt>
                <c:pt idx="150">
                  <c:v>1244.5556789321308</c:v>
                </c:pt>
                <c:pt idx="151">
                  <c:v>1864.7377392612143</c:v>
                </c:pt>
                <c:pt idx="152">
                  <c:v>2093.100920777717</c:v>
                </c:pt>
                <c:pt idx="153">
                  <c:v>2489.1368906214616</c:v>
                </c:pt>
                <c:pt idx="154">
                  <c:v>2960.1068915255901</c:v>
                </c:pt>
                <c:pt idx="155">
                  <c:v>3322.613325082044</c:v>
                </c:pt>
                <c:pt idx="156">
                  <c:v>523.26449507501752</c:v>
                </c:pt>
                <c:pt idx="157">
                  <c:v>523.26449507501752</c:v>
                </c:pt>
                <c:pt idx="158">
                  <c:v>523.26449507501752</c:v>
                </c:pt>
                <c:pt idx="159">
                  <c:v>466.17487092753117</c:v>
                </c:pt>
                <c:pt idx="160">
                  <c:v>523.26449507501752</c:v>
                </c:pt>
                <c:pt idx="161">
                  <c:v>261.62956379894968</c:v>
                </c:pt>
                <c:pt idx="162">
                  <c:v>261.62956379894968</c:v>
                </c:pt>
                <c:pt idx="163">
                  <c:v>261.62956379894968</c:v>
                </c:pt>
                <c:pt idx="164">
                  <c:v>233.08504452861115</c:v>
                </c:pt>
                <c:pt idx="165">
                  <c:v>261.62956379894968</c:v>
                </c:pt>
                <c:pt idx="166">
                  <c:v>1046.5397252143878</c:v>
                </c:pt>
                <c:pt idx="167">
                  <c:v>130.81344004395982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Sheet3!$V$4:$V$171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17.5</c:v>
                </c:pt>
                <c:pt idx="21">
                  <c:v>18</c:v>
                </c:pt>
                <c:pt idx="22">
                  <c:v>18.5</c:v>
                </c:pt>
                <c:pt idx="23">
                  <c:v>19</c:v>
                </c:pt>
                <c:pt idx="24">
                  <c:v>19.5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33.5</c:v>
                </c:pt>
                <c:pt idx="43">
                  <c:v>34</c:v>
                </c:pt>
                <c:pt idx="44">
                  <c:v>34.5</c:v>
                </c:pt>
                <c:pt idx="45">
                  <c:v>35</c:v>
                </c:pt>
                <c:pt idx="46">
                  <c:v>35.5</c:v>
                </c:pt>
                <c:pt idx="47">
                  <c:v>36</c:v>
                </c:pt>
                <c:pt idx="48">
                  <c:v>39</c:v>
                </c:pt>
                <c:pt idx="49">
                  <c:v>40</c:v>
                </c:pt>
                <c:pt idx="50">
                  <c:v>41.5</c:v>
                </c:pt>
                <c:pt idx="51">
                  <c:v>42</c:v>
                </c:pt>
                <c:pt idx="52">
                  <c:v>43.5</c:v>
                </c:pt>
                <c:pt idx="53">
                  <c:v>44</c:v>
                </c:pt>
                <c:pt idx="54">
                  <c:v>44.5</c:v>
                </c:pt>
                <c:pt idx="55">
                  <c:v>45</c:v>
                </c:pt>
                <c:pt idx="56">
                  <c:v>45.5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48.5</c:v>
                </c:pt>
                <c:pt idx="61">
                  <c:v>49</c:v>
                </c:pt>
                <c:pt idx="62">
                  <c:v>49.5</c:v>
                </c:pt>
                <c:pt idx="63">
                  <c:v>50</c:v>
                </c:pt>
                <c:pt idx="64">
                  <c:v>50.5</c:v>
                </c:pt>
                <c:pt idx="65">
                  <c:v>51</c:v>
                </c:pt>
                <c:pt idx="66">
                  <c:v>51.5</c:v>
                </c:pt>
                <c:pt idx="67">
                  <c:v>52</c:v>
                </c:pt>
                <c:pt idx="68">
                  <c:v>53</c:v>
                </c:pt>
                <c:pt idx="69">
                  <c:v>54</c:v>
                </c:pt>
                <c:pt idx="70">
                  <c:v>55</c:v>
                </c:pt>
                <c:pt idx="71">
                  <c:v>56</c:v>
                </c:pt>
                <c:pt idx="72">
                  <c:v>57.5</c:v>
                </c:pt>
                <c:pt idx="73">
                  <c:v>58</c:v>
                </c:pt>
                <c:pt idx="74">
                  <c:v>59.5</c:v>
                </c:pt>
                <c:pt idx="75">
                  <c:v>60</c:v>
                </c:pt>
                <c:pt idx="76">
                  <c:v>60.5</c:v>
                </c:pt>
                <c:pt idx="77">
                  <c:v>61</c:v>
                </c:pt>
                <c:pt idx="78">
                  <c:v>61.5</c:v>
                </c:pt>
                <c:pt idx="79">
                  <c:v>62</c:v>
                </c:pt>
                <c:pt idx="80">
                  <c:v>63</c:v>
                </c:pt>
                <c:pt idx="81">
                  <c:v>64</c:v>
                </c:pt>
                <c:pt idx="82">
                  <c:v>64.5</c:v>
                </c:pt>
                <c:pt idx="83">
                  <c:v>65</c:v>
                </c:pt>
                <c:pt idx="84">
                  <c:v>65.5</c:v>
                </c:pt>
                <c:pt idx="85">
                  <c:v>66</c:v>
                </c:pt>
                <c:pt idx="86">
                  <c:v>66.5</c:v>
                </c:pt>
                <c:pt idx="87">
                  <c:v>67</c:v>
                </c:pt>
                <c:pt idx="88">
                  <c:v>67.5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73.5</c:v>
                </c:pt>
                <c:pt idx="96">
                  <c:v>74</c:v>
                </c:pt>
                <c:pt idx="97">
                  <c:v>75</c:v>
                </c:pt>
                <c:pt idx="98">
                  <c:v>76</c:v>
                </c:pt>
                <c:pt idx="99">
                  <c:v>77</c:v>
                </c:pt>
                <c:pt idx="100">
                  <c:v>78</c:v>
                </c:pt>
                <c:pt idx="101">
                  <c:v>79</c:v>
                </c:pt>
                <c:pt idx="102">
                  <c:v>80</c:v>
                </c:pt>
                <c:pt idx="103">
                  <c:v>81</c:v>
                </c:pt>
                <c:pt idx="104">
                  <c:v>81.5</c:v>
                </c:pt>
                <c:pt idx="105">
                  <c:v>82</c:v>
                </c:pt>
                <c:pt idx="106">
                  <c:v>83</c:v>
                </c:pt>
                <c:pt idx="107">
                  <c:v>84</c:v>
                </c:pt>
                <c:pt idx="108">
                  <c:v>85</c:v>
                </c:pt>
                <c:pt idx="109">
                  <c:v>86</c:v>
                </c:pt>
                <c:pt idx="110">
                  <c:v>87</c:v>
                </c:pt>
                <c:pt idx="111">
                  <c:v>88</c:v>
                </c:pt>
                <c:pt idx="112">
                  <c:v>89</c:v>
                </c:pt>
                <c:pt idx="113">
                  <c:v>89.5</c:v>
                </c:pt>
                <c:pt idx="114">
                  <c:v>90</c:v>
                </c:pt>
                <c:pt idx="115">
                  <c:v>90.5</c:v>
                </c:pt>
                <c:pt idx="116">
                  <c:v>91</c:v>
                </c:pt>
                <c:pt idx="117">
                  <c:v>91.5</c:v>
                </c:pt>
                <c:pt idx="118">
                  <c:v>92</c:v>
                </c:pt>
                <c:pt idx="119">
                  <c:v>93</c:v>
                </c:pt>
                <c:pt idx="120">
                  <c:v>94</c:v>
                </c:pt>
                <c:pt idx="121">
                  <c:v>95</c:v>
                </c:pt>
                <c:pt idx="122">
                  <c:v>96</c:v>
                </c:pt>
                <c:pt idx="123">
                  <c:v>97</c:v>
                </c:pt>
                <c:pt idx="124">
                  <c:v>97.5</c:v>
                </c:pt>
                <c:pt idx="125">
                  <c:v>98</c:v>
                </c:pt>
                <c:pt idx="126">
                  <c:v>98.5</c:v>
                </c:pt>
                <c:pt idx="127">
                  <c:v>99</c:v>
                </c:pt>
                <c:pt idx="128">
                  <c:v>99.5</c:v>
                </c:pt>
                <c:pt idx="129">
                  <c:v>100</c:v>
                </c:pt>
                <c:pt idx="130">
                  <c:v>101</c:v>
                </c:pt>
                <c:pt idx="131">
                  <c:v>102</c:v>
                </c:pt>
                <c:pt idx="132">
                  <c:v>103</c:v>
                </c:pt>
                <c:pt idx="133">
                  <c:v>104</c:v>
                </c:pt>
                <c:pt idx="134">
                  <c:v>105</c:v>
                </c:pt>
                <c:pt idx="135">
                  <c:v>105.5</c:v>
                </c:pt>
                <c:pt idx="136">
                  <c:v>106</c:v>
                </c:pt>
                <c:pt idx="137">
                  <c:v>106.5</c:v>
                </c:pt>
                <c:pt idx="138">
                  <c:v>107</c:v>
                </c:pt>
                <c:pt idx="139">
                  <c:v>107.5</c:v>
                </c:pt>
                <c:pt idx="140">
                  <c:v>108</c:v>
                </c:pt>
                <c:pt idx="141">
                  <c:v>111</c:v>
                </c:pt>
                <c:pt idx="142">
                  <c:v>111.5</c:v>
                </c:pt>
                <c:pt idx="143">
                  <c:v>112</c:v>
                </c:pt>
                <c:pt idx="144">
                  <c:v>112.5</c:v>
                </c:pt>
                <c:pt idx="145">
                  <c:v>113</c:v>
                </c:pt>
                <c:pt idx="146">
                  <c:v>113.5</c:v>
                </c:pt>
                <c:pt idx="147">
                  <c:v>114</c:v>
                </c:pt>
                <c:pt idx="148">
                  <c:v>114.5</c:v>
                </c:pt>
                <c:pt idx="149">
                  <c:v>115</c:v>
                </c:pt>
                <c:pt idx="150">
                  <c:v>115.5</c:v>
                </c:pt>
                <c:pt idx="151">
                  <c:v>116</c:v>
                </c:pt>
                <c:pt idx="152">
                  <c:v>116.5</c:v>
                </c:pt>
                <c:pt idx="153">
                  <c:v>117</c:v>
                </c:pt>
                <c:pt idx="154">
                  <c:v>117.5</c:v>
                </c:pt>
                <c:pt idx="155">
                  <c:v>118</c:v>
                </c:pt>
                <c:pt idx="156">
                  <c:v>119</c:v>
                </c:pt>
                <c:pt idx="157">
                  <c:v>120</c:v>
                </c:pt>
                <c:pt idx="158">
                  <c:v>121</c:v>
                </c:pt>
                <c:pt idx="159">
                  <c:v>121.5</c:v>
                </c:pt>
                <c:pt idx="160">
                  <c:v>122</c:v>
                </c:pt>
                <c:pt idx="161">
                  <c:v>123</c:v>
                </c:pt>
                <c:pt idx="162">
                  <c:v>124</c:v>
                </c:pt>
                <c:pt idx="163">
                  <c:v>125</c:v>
                </c:pt>
                <c:pt idx="164">
                  <c:v>125.5</c:v>
                </c:pt>
                <c:pt idx="165">
                  <c:v>126</c:v>
                </c:pt>
                <c:pt idx="166">
                  <c:v>127</c:v>
                </c:pt>
                <c:pt idx="167">
                  <c:v>128</c:v>
                </c:pt>
              </c:numCache>
            </c:numRef>
          </c:xVal>
          <c:yVal>
            <c:numRef>
              <c:f>Sheet3!$AD$4:$AD$171</c:f>
              <c:numCache>
                <c:formatCode>General</c:formatCode>
                <c:ptCount val="168"/>
                <c:pt idx="4">
                  <c:v>311.13253664194741</c:v>
                </c:pt>
                <c:pt idx="5">
                  <c:v>293.66975814369101</c:v>
                </c:pt>
                <c:pt idx="6">
                  <c:v>277.18710418069043</c:v>
                </c:pt>
                <c:pt idx="7">
                  <c:v>261.62956379894968</c:v>
                </c:pt>
                <c:pt idx="8">
                  <c:v>246.94521361646048</c:v>
                </c:pt>
                <c:pt idx="9">
                  <c:v>195.99987576438383</c:v>
                </c:pt>
                <c:pt idx="13">
                  <c:v>311.13253664194741</c:v>
                </c:pt>
                <c:pt idx="14">
                  <c:v>293.66975814369101</c:v>
                </c:pt>
                <c:pt idx="15">
                  <c:v>277.18710418069043</c:v>
                </c:pt>
                <c:pt idx="16">
                  <c:v>261.62956379894968</c:v>
                </c:pt>
                <c:pt idx="17">
                  <c:v>246.94521361646048</c:v>
                </c:pt>
                <c:pt idx="18">
                  <c:v>195.99987576438383</c:v>
                </c:pt>
                <c:pt idx="26">
                  <c:v>311.13253664194741</c:v>
                </c:pt>
                <c:pt idx="28">
                  <c:v>311.13253664194741</c:v>
                </c:pt>
                <c:pt idx="29">
                  <c:v>195.99987576438383</c:v>
                </c:pt>
                <c:pt idx="37">
                  <c:v>311.13253664194741</c:v>
                </c:pt>
                <c:pt idx="39">
                  <c:v>311.13253664194741</c:v>
                </c:pt>
                <c:pt idx="40">
                  <c:v>195.99987576438383</c:v>
                </c:pt>
                <c:pt idx="48">
                  <c:v>392.00377257605692</c:v>
                </c:pt>
                <c:pt idx="49">
                  <c:v>293.66975814369101</c:v>
                </c:pt>
                <c:pt idx="50">
                  <c:v>392.00377257605692</c:v>
                </c:pt>
                <c:pt idx="51">
                  <c:v>293.66975814369101</c:v>
                </c:pt>
                <c:pt idx="52">
                  <c:v>392.00377257605692</c:v>
                </c:pt>
                <c:pt idx="53">
                  <c:v>293.66975814369101</c:v>
                </c:pt>
                <c:pt idx="54">
                  <c:v>392.00377257605692</c:v>
                </c:pt>
                <c:pt idx="55">
                  <c:v>293.66975814369101</c:v>
                </c:pt>
                <c:pt idx="56">
                  <c:v>392.00377257605692</c:v>
                </c:pt>
                <c:pt idx="57">
                  <c:v>293.66975814369101</c:v>
                </c:pt>
                <c:pt idx="58">
                  <c:v>392.00377257605692</c:v>
                </c:pt>
                <c:pt idx="59">
                  <c:v>293.66975814369101</c:v>
                </c:pt>
                <c:pt idx="60">
                  <c:v>311.13253664194741</c:v>
                </c:pt>
                <c:pt idx="61">
                  <c:v>349.23506143398839</c:v>
                </c:pt>
                <c:pt idx="62">
                  <c:v>392.00377257605692</c:v>
                </c:pt>
                <c:pt idx="63">
                  <c:v>349.23506143398839</c:v>
                </c:pt>
                <c:pt idx="64">
                  <c:v>311.13253664194741</c:v>
                </c:pt>
                <c:pt idx="65">
                  <c:v>293.66975814369101</c:v>
                </c:pt>
                <c:pt idx="66">
                  <c:v>261.62956379894968</c:v>
                </c:pt>
                <c:pt idx="67">
                  <c:v>293.66975814369101</c:v>
                </c:pt>
                <c:pt idx="68">
                  <c:v>207.65481237683719</c:v>
                </c:pt>
                <c:pt idx="69">
                  <c:v>207.65481237683719</c:v>
                </c:pt>
                <c:pt idx="97">
                  <c:v>311.13253664194741</c:v>
                </c:pt>
                <c:pt idx="98">
                  <c:v>293.66975814369101</c:v>
                </c:pt>
                <c:pt idx="99">
                  <c:v>277.18710418069043</c:v>
                </c:pt>
                <c:pt idx="100">
                  <c:v>261.62956379894968</c:v>
                </c:pt>
                <c:pt idx="101">
                  <c:v>246.94521361646048</c:v>
                </c:pt>
                <c:pt idx="102">
                  <c:v>195.99987576438383</c:v>
                </c:pt>
                <c:pt idx="106">
                  <c:v>311.13253664194741</c:v>
                </c:pt>
                <c:pt idx="107">
                  <c:v>293.66975814369101</c:v>
                </c:pt>
                <c:pt idx="108">
                  <c:v>277.18710418069043</c:v>
                </c:pt>
                <c:pt idx="109">
                  <c:v>261.62956379894968</c:v>
                </c:pt>
                <c:pt idx="110">
                  <c:v>246.94521361646048</c:v>
                </c:pt>
                <c:pt idx="111">
                  <c:v>195.99987576438383</c:v>
                </c:pt>
                <c:pt idx="119">
                  <c:v>311.13253664194741</c:v>
                </c:pt>
                <c:pt idx="121">
                  <c:v>311.13253664194741</c:v>
                </c:pt>
                <c:pt idx="122">
                  <c:v>195.99987576438383</c:v>
                </c:pt>
                <c:pt idx="130">
                  <c:v>311.13253664194741</c:v>
                </c:pt>
                <c:pt idx="132">
                  <c:v>311.13253664194741</c:v>
                </c:pt>
                <c:pt idx="133">
                  <c:v>195.99987576438383</c:v>
                </c:pt>
                <c:pt idx="161">
                  <c:v>195.99987576438383</c:v>
                </c:pt>
                <c:pt idx="162">
                  <c:v>195.99987576438383</c:v>
                </c:pt>
                <c:pt idx="163">
                  <c:v>195.99987576438383</c:v>
                </c:pt>
                <c:pt idx="164">
                  <c:v>195.99987576438383</c:v>
                </c:pt>
                <c:pt idx="165">
                  <c:v>195.99987576438383</c:v>
                </c:pt>
                <c:pt idx="166">
                  <c:v>784.01558732918636</c:v>
                </c:pt>
              </c:numCache>
            </c:numRef>
          </c:yVal>
          <c:smooth val="0"/>
        </c:ser>
        <c:ser>
          <c:idx val="2"/>
          <c:order val="2"/>
          <c:tx>
            <c:v>Right Hand Harmony 3rd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Sheet3!$V$4:$V$171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17.5</c:v>
                </c:pt>
                <c:pt idx="21">
                  <c:v>18</c:v>
                </c:pt>
                <c:pt idx="22">
                  <c:v>18.5</c:v>
                </c:pt>
                <c:pt idx="23">
                  <c:v>19</c:v>
                </c:pt>
                <c:pt idx="24">
                  <c:v>19.5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33.5</c:v>
                </c:pt>
                <c:pt idx="43">
                  <c:v>34</c:v>
                </c:pt>
                <c:pt idx="44">
                  <c:v>34.5</c:v>
                </c:pt>
                <c:pt idx="45">
                  <c:v>35</c:v>
                </c:pt>
                <c:pt idx="46">
                  <c:v>35.5</c:v>
                </c:pt>
                <c:pt idx="47">
                  <c:v>36</c:v>
                </c:pt>
                <c:pt idx="48">
                  <c:v>39</c:v>
                </c:pt>
                <c:pt idx="49">
                  <c:v>40</c:v>
                </c:pt>
                <c:pt idx="50">
                  <c:v>41.5</c:v>
                </c:pt>
                <c:pt idx="51">
                  <c:v>42</c:v>
                </c:pt>
                <c:pt idx="52">
                  <c:v>43.5</c:v>
                </c:pt>
                <c:pt idx="53">
                  <c:v>44</c:v>
                </c:pt>
                <c:pt idx="54">
                  <c:v>44.5</c:v>
                </c:pt>
                <c:pt idx="55">
                  <c:v>45</c:v>
                </c:pt>
                <c:pt idx="56">
                  <c:v>45.5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48.5</c:v>
                </c:pt>
                <c:pt idx="61">
                  <c:v>49</c:v>
                </c:pt>
                <c:pt idx="62">
                  <c:v>49.5</c:v>
                </c:pt>
                <c:pt idx="63">
                  <c:v>50</c:v>
                </c:pt>
                <c:pt idx="64">
                  <c:v>50.5</c:v>
                </c:pt>
                <c:pt idx="65">
                  <c:v>51</c:v>
                </c:pt>
                <c:pt idx="66">
                  <c:v>51.5</c:v>
                </c:pt>
                <c:pt idx="67">
                  <c:v>52</c:v>
                </c:pt>
                <c:pt idx="68">
                  <c:v>53</c:v>
                </c:pt>
                <c:pt idx="69">
                  <c:v>54</c:v>
                </c:pt>
                <c:pt idx="70">
                  <c:v>55</c:v>
                </c:pt>
                <c:pt idx="71">
                  <c:v>56</c:v>
                </c:pt>
                <c:pt idx="72">
                  <c:v>57.5</c:v>
                </c:pt>
                <c:pt idx="73">
                  <c:v>58</c:v>
                </c:pt>
                <c:pt idx="74">
                  <c:v>59.5</c:v>
                </c:pt>
                <c:pt idx="75">
                  <c:v>60</c:v>
                </c:pt>
                <c:pt idx="76">
                  <c:v>60.5</c:v>
                </c:pt>
                <c:pt idx="77">
                  <c:v>61</c:v>
                </c:pt>
                <c:pt idx="78">
                  <c:v>61.5</c:v>
                </c:pt>
                <c:pt idx="79">
                  <c:v>62</c:v>
                </c:pt>
                <c:pt idx="80">
                  <c:v>63</c:v>
                </c:pt>
                <c:pt idx="81">
                  <c:v>64</c:v>
                </c:pt>
                <c:pt idx="82">
                  <c:v>64.5</c:v>
                </c:pt>
                <c:pt idx="83">
                  <c:v>65</c:v>
                </c:pt>
                <c:pt idx="84">
                  <c:v>65.5</c:v>
                </c:pt>
                <c:pt idx="85">
                  <c:v>66</c:v>
                </c:pt>
                <c:pt idx="86">
                  <c:v>66.5</c:v>
                </c:pt>
                <c:pt idx="87">
                  <c:v>67</c:v>
                </c:pt>
                <c:pt idx="88">
                  <c:v>67.5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73.5</c:v>
                </c:pt>
                <c:pt idx="96">
                  <c:v>74</c:v>
                </c:pt>
                <c:pt idx="97">
                  <c:v>75</c:v>
                </c:pt>
                <c:pt idx="98">
                  <c:v>76</c:v>
                </c:pt>
                <c:pt idx="99">
                  <c:v>77</c:v>
                </c:pt>
                <c:pt idx="100">
                  <c:v>78</c:v>
                </c:pt>
                <c:pt idx="101">
                  <c:v>79</c:v>
                </c:pt>
                <c:pt idx="102">
                  <c:v>80</c:v>
                </c:pt>
                <c:pt idx="103">
                  <c:v>81</c:v>
                </c:pt>
                <c:pt idx="104">
                  <c:v>81.5</c:v>
                </c:pt>
                <c:pt idx="105">
                  <c:v>82</c:v>
                </c:pt>
                <c:pt idx="106">
                  <c:v>83</c:v>
                </c:pt>
                <c:pt idx="107">
                  <c:v>84</c:v>
                </c:pt>
                <c:pt idx="108">
                  <c:v>85</c:v>
                </c:pt>
                <c:pt idx="109">
                  <c:v>86</c:v>
                </c:pt>
                <c:pt idx="110">
                  <c:v>87</c:v>
                </c:pt>
                <c:pt idx="111">
                  <c:v>88</c:v>
                </c:pt>
                <c:pt idx="112">
                  <c:v>89</c:v>
                </c:pt>
                <c:pt idx="113">
                  <c:v>89.5</c:v>
                </c:pt>
                <c:pt idx="114">
                  <c:v>90</c:v>
                </c:pt>
                <c:pt idx="115">
                  <c:v>90.5</c:v>
                </c:pt>
                <c:pt idx="116">
                  <c:v>91</c:v>
                </c:pt>
                <c:pt idx="117">
                  <c:v>91.5</c:v>
                </c:pt>
                <c:pt idx="118">
                  <c:v>92</c:v>
                </c:pt>
                <c:pt idx="119">
                  <c:v>93</c:v>
                </c:pt>
                <c:pt idx="120">
                  <c:v>94</c:v>
                </c:pt>
                <c:pt idx="121">
                  <c:v>95</c:v>
                </c:pt>
                <c:pt idx="122">
                  <c:v>96</c:v>
                </c:pt>
                <c:pt idx="123">
                  <c:v>97</c:v>
                </c:pt>
                <c:pt idx="124">
                  <c:v>97.5</c:v>
                </c:pt>
                <c:pt idx="125">
                  <c:v>98</c:v>
                </c:pt>
                <c:pt idx="126">
                  <c:v>98.5</c:v>
                </c:pt>
                <c:pt idx="127">
                  <c:v>99</c:v>
                </c:pt>
                <c:pt idx="128">
                  <c:v>99.5</c:v>
                </c:pt>
                <c:pt idx="129">
                  <c:v>100</c:v>
                </c:pt>
                <c:pt idx="130">
                  <c:v>101</c:v>
                </c:pt>
                <c:pt idx="131">
                  <c:v>102</c:v>
                </c:pt>
                <c:pt idx="132">
                  <c:v>103</c:v>
                </c:pt>
                <c:pt idx="133">
                  <c:v>104</c:v>
                </c:pt>
                <c:pt idx="134">
                  <c:v>105</c:v>
                </c:pt>
                <c:pt idx="135">
                  <c:v>105.5</c:v>
                </c:pt>
                <c:pt idx="136">
                  <c:v>106</c:v>
                </c:pt>
                <c:pt idx="137">
                  <c:v>106.5</c:v>
                </c:pt>
                <c:pt idx="138">
                  <c:v>107</c:v>
                </c:pt>
                <c:pt idx="139">
                  <c:v>107.5</c:v>
                </c:pt>
                <c:pt idx="140">
                  <c:v>108</c:v>
                </c:pt>
                <c:pt idx="141">
                  <c:v>111</c:v>
                </c:pt>
                <c:pt idx="142">
                  <c:v>111.5</c:v>
                </c:pt>
                <c:pt idx="143">
                  <c:v>112</c:v>
                </c:pt>
                <c:pt idx="144">
                  <c:v>112.5</c:v>
                </c:pt>
                <c:pt idx="145">
                  <c:v>113</c:v>
                </c:pt>
                <c:pt idx="146">
                  <c:v>113.5</c:v>
                </c:pt>
                <c:pt idx="147">
                  <c:v>114</c:v>
                </c:pt>
                <c:pt idx="148">
                  <c:v>114.5</c:v>
                </c:pt>
                <c:pt idx="149">
                  <c:v>115</c:v>
                </c:pt>
                <c:pt idx="150">
                  <c:v>115.5</c:v>
                </c:pt>
                <c:pt idx="151">
                  <c:v>116</c:v>
                </c:pt>
                <c:pt idx="152">
                  <c:v>116.5</c:v>
                </c:pt>
                <c:pt idx="153">
                  <c:v>117</c:v>
                </c:pt>
                <c:pt idx="154">
                  <c:v>117.5</c:v>
                </c:pt>
                <c:pt idx="155">
                  <c:v>118</c:v>
                </c:pt>
                <c:pt idx="156">
                  <c:v>119</c:v>
                </c:pt>
                <c:pt idx="157">
                  <c:v>120</c:v>
                </c:pt>
                <c:pt idx="158">
                  <c:v>121</c:v>
                </c:pt>
                <c:pt idx="159">
                  <c:v>121.5</c:v>
                </c:pt>
                <c:pt idx="160">
                  <c:v>122</c:v>
                </c:pt>
                <c:pt idx="161">
                  <c:v>123</c:v>
                </c:pt>
                <c:pt idx="162">
                  <c:v>124</c:v>
                </c:pt>
                <c:pt idx="163">
                  <c:v>125</c:v>
                </c:pt>
                <c:pt idx="164">
                  <c:v>125.5</c:v>
                </c:pt>
                <c:pt idx="165">
                  <c:v>126</c:v>
                </c:pt>
                <c:pt idx="166">
                  <c:v>127</c:v>
                </c:pt>
                <c:pt idx="167">
                  <c:v>128</c:v>
                </c:pt>
              </c:numCache>
            </c:numRef>
          </c:xVal>
          <c:yVal>
            <c:numRef>
              <c:f>Sheet3!$AI$4:$AI$171</c:f>
              <c:numCache>
                <c:formatCode>General</c:formatCode>
                <c:ptCount val="168"/>
                <c:pt idx="4">
                  <c:v>207.65481237683719</c:v>
                </c:pt>
                <c:pt idx="5">
                  <c:v>207.65481237683719</c:v>
                </c:pt>
                <c:pt idx="6">
                  <c:v>195.99987576438383</c:v>
                </c:pt>
                <c:pt idx="7">
                  <c:v>207.65481237683719</c:v>
                </c:pt>
                <c:pt idx="8">
                  <c:v>195.99987576438383</c:v>
                </c:pt>
                <c:pt idx="9">
                  <c:v>155.56467257275574</c:v>
                </c:pt>
                <c:pt idx="13">
                  <c:v>207.65481237683719</c:v>
                </c:pt>
                <c:pt idx="14">
                  <c:v>207.65481237683719</c:v>
                </c:pt>
                <c:pt idx="15">
                  <c:v>195.99987576438383</c:v>
                </c:pt>
                <c:pt idx="16">
                  <c:v>207.65481237683719</c:v>
                </c:pt>
                <c:pt idx="17">
                  <c:v>195.99987576438383</c:v>
                </c:pt>
                <c:pt idx="18">
                  <c:v>155.56467257275574</c:v>
                </c:pt>
                <c:pt idx="26">
                  <c:v>207.65481237683719</c:v>
                </c:pt>
                <c:pt idx="28">
                  <c:v>233.08504452861115</c:v>
                </c:pt>
                <c:pt idx="29">
                  <c:v>155.56467257275574</c:v>
                </c:pt>
                <c:pt idx="37">
                  <c:v>207.65481237683719</c:v>
                </c:pt>
                <c:pt idx="39">
                  <c:v>233.08504452861115</c:v>
                </c:pt>
                <c:pt idx="40">
                  <c:v>155.56467257275574</c:v>
                </c:pt>
                <c:pt idx="97">
                  <c:v>207.65481237683719</c:v>
                </c:pt>
                <c:pt idx="98">
                  <c:v>207.65481237683719</c:v>
                </c:pt>
                <c:pt idx="99">
                  <c:v>195.99987576438383</c:v>
                </c:pt>
                <c:pt idx="100">
                  <c:v>207.65481237683719</c:v>
                </c:pt>
                <c:pt idx="101">
                  <c:v>195.99987576438383</c:v>
                </c:pt>
                <c:pt idx="102">
                  <c:v>155.56467257275574</c:v>
                </c:pt>
                <c:pt idx="106">
                  <c:v>207.65481237683719</c:v>
                </c:pt>
                <c:pt idx="107">
                  <c:v>207.65481237683719</c:v>
                </c:pt>
                <c:pt idx="108">
                  <c:v>195.99987576438383</c:v>
                </c:pt>
                <c:pt idx="109">
                  <c:v>207.65481237683719</c:v>
                </c:pt>
                <c:pt idx="110">
                  <c:v>195.99987576438383</c:v>
                </c:pt>
                <c:pt idx="111">
                  <c:v>155.56467257275574</c:v>
                </c:pt>
                <c:pt idx="119">
                  <c:v>207.65481237683719</c:v>
                </c:pt>
                <c:pt idx="121">
                  <c:v>233.08504452861115</c:v>
                </c:pt>
                <c:pt idx="122">
                  <c:v>155.56467257275574</c:v>
                </c:pt>
                <c:pt idx="130">
                  <c:v>207.65481237683719</c:v>
                </c:pt>
                <c:pt idx="132">
                  <c:v>233.08504452861115</c:v>
                </c:pt>
                <c:pt idx="133">
                  <c:v>155.56467257275574</c:v>
                </c:pt>
                <c:pt idx="161">
                  <c:v>130.81344004395982</c:v>
                </c:pt>
                <c:pt idx="162">
                  <c:v>130.81344004395982</c:v>
                </c:pt>
                <c:pt idx="163">
                  <c:v>130.81344004395982</c:v>
                </c:pt>
                <c:pt idx="164">
                  <c:v>116.54132680899107</c:v>
                </c:pt>
                <c:pt idx="165">
                  <c:v>130.81344004395982</c:v>
                </c:pt>
                <c:pt idx="166">
                  <c:v>523.26449507501752</c:v>
                </c:pt>
              </c:numCache>
            </c:numRef>
          </c:yVal>
          <c:smooth val="0"/>
        </c:ser>
        <c:ser>
          <c:idx val="3"/>
          <c:order val="3"/>
          <c:tx>
            <c:v>Left Hand</c:v>
          </c:tx>
          <c:spPr>
            <a:ln>
              <a:solidFill>
                <a:schemeClr val="accent6"/>
              </a:solidFill>
            </a:ln>
          </c:spPr>
          <c:marker>
            <c:symbol val="x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Sheet3!$AK$4:$AK$166</c:f>
              <c:numCache>
                <c:formatCode>General</c:formatCode>
                <c:ptCount val="163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17.5</c:v>
                </c:pt>
                <c:pt idx="21">
                  <c:v>18</c:v>
                </c:pt>
                <c:pt idx="22">
                  <c:v>18.5</c:v>
                </c:pt>
                <c:pt idx="23">
                  <c:v>19</c:v>
                </c:pt>
                <c:pt idx="24">
                  <c:v>19.5</c:v>
                </c:pt>
                <c:pt idx="25">
                  <c:v>20</c:v>
                </c:pt>
                <c:pt idx="26">
                  <c:v>21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25.5</c:v>
                </c:pt>
                <c:pt idx="31">
                  <c:v>26</c:v>
                </c:pt>
                <c:pt idx="32">
                  <c:v>26.5</c:v>
                </c:pt>
                <c:pt idx="33">
                  <c:v>27</c:v>
                </c:pt>
                <c:pt idx="34">
                  <c:v>27.5</c:v>
                </c:pt>
                <c:pt idx="35">
                  <c:v>28</c:v>
                </c:pt>
                <c:pt idx="36">
                  <c:v>29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33.5</c:v>
                </c:pt>
                <c:pt idx="41">
                  <c:v>34</c:v>
                </c:pt>
                <c:pt idx="42">
                  <c:v>34.5</c:v>
                </c:pt>
                <c:pt idx="43">
                  <c:v>35</c:v>
                </c:pt>
                <c:pt idx="44">
                  <c:v>35.5</c:v>
                </c:pt>
                <c:pt idx="45">
                  <c:v>36</c:v>
                </c:pt>
                <c:pt idx="46">
                  <c:v>39</c:v>
                </c:pt>
                <c:pt idx="47">
                  <c:v>40</c:v>
                </c:pt>
                <c:pt idx="48">
                  <c:v>41.5</c:v>
                </c:pt>
                <c:pt idx="49">
                  <c:v>42</c:v>
                </c:pt>
                <c:pt idx="50">
                  <c:v>43.5</c:v>
                </c:pt>
                <c:pt idx="51">
                  <c:v>44</c:v>
                </c:pt>
                <c:pt idx="52">
                  <c:v>44.5</c:v>
                </c:pt>
                <c:pt idx="53">
                  <c:v>45</c:v>
                </c:pt>
                <c:pt idx="54">
                  <c:v>45.5</c:v>
                </c:pt>
                <c:pt idx="55">
                  <c:v>46</c:v>
                </c:pt>
                <c:pt idx="56">
                  <c:v>47</c:v>
                </c:pt>
                <c:pt idx="57">
                  <c:v>48</c:v>
                </c:pt>
                <c:pt idx="58">
                  <c:v>48.5</c:v>
                </c:pt>
                <c:pt idx="59">
                  <c:v>49</c:v>
                </c:pt>
                <c:pt idx="60">
                  <c:v>49.5</c:v>
                </c:pt>
                <c:pt idx="61">
                  <c:v>50</c:v>
                </c:pt>
                <c:pt idx="62">
                  <c:v>50.5</c:v>
                </c:pt>
                <c:pt idx="63">
                  <c:v>51</c:v>
                </c:pt>
                <c:pt idx="64">
                  <c:v>51.5</c:v>
                </c:pt>
                <c:pt idx="65">
                  <c:v>52</c:v>
                </c:pt>
                <c:pt idx="66">
                  <c:v>53</c:v>
                </c:pt>
                <c:pt idx="67">
                  <c:v>54</c:v>
                </c:pt>
                <c:pt idx="68">
                  <c:v>55</c:v>
                </c:pt>
                <c:pt idx="69">
                  <c:v>56</c:v>
                </c:pt>
                <c:pt idx="70">
                  <c:v>57.5</c:v>
                </c:pt>
                <c:pt idx="71">
                  <c:v>58</c:v>
                </c:pt>
                <c:pt idx="72">
                  <c:v>59.5</c:v>
                </c:pt>
                <c:pt idx="73">
                  <c:v>60</c:v>
                </c:pt>
                <c:pt idx="74">
                  <c:v>60.5</c:v>
                </c:pt>
                <c:pt idx="75">
                  <c:v>61</c:v>
                </c:pt>
                <c:pt idx="76">
                  <c:v>61.5</c:v>
                </c:pt>
                <c:pt idx="77">
                  <c:v>62</c:v>
                </c:pt>
                <c:pt idx="78">
                  <c:v>63</c:v>
                </c:pt>
                <c:pt idx="79">
                  <c:v>64</c:v>
                </c:pt>
                <c:pt idx="80">
                  <c:v>64.5</c:v>
                </c:pt>
                <c:pt idx="81">
                  <c:v>65</c:v>
                </c:pt>
                <c:pt idx="82">
                  <c:v>65.5</c:v>
                </c:pt>
                <c:pt idx="83">
                  <c:v>66</c:v>
                </c:pt>
                <c:pt idx="84">
                  <c:v>66.5</c:v>
                </c:pt>
                <c:pt idx="85">
                  <c:v>67</c:v>
                </c:pt>
                <c:pt idx="86">
                  <c:v>67.5</c:v>
                </c:pt>
                <c:pt idx="87">
                  <c:v>68</c:v>
                </c:pt>
                <c:pt idx="88">
                  <c:v>69</c:v>
                </c:pt>
                <c:pt idx="89">
                  <c:v>70</c:v>
                </c:pt>
                <c:pt idx="90">
                  <c:v>72</c:v>
                </c:pt>
                <c:pt idx="91">
                  <c:v>73</c:v>
                </c:pt>
                <c:pt idx="92">
                  <c:v>73.5</c:v>
                </c:pt>
                <c:pt idx="93">
                  <c:v>74</c:v>
                </c:pt>
                <c:pt idx="94">
                  <c:v>75</c:v>
                </c:pt>
                <c:pt idx="95">
                  <c:v>76</c:v>
                </c:pt>
                <c:pt idx="96">
                  <c:v>77</c:v>
                </c:pt>
                <c:pt idx="97">
                  <c:v>78</c:v>
                </c:pt>
                <c:pt idx="98">
                  <c:v>79</c:v>
                </c:pt>
                <c:pt idx="99">
                  <c:v>80</c:v>
                </c:pt>
                <c:pt idx="100">
                  <c:v>81</c:v>
                </c:pt>
                <c:pt idx="101">
                  <c:v>81.5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89.5</c:v>
                </c:pt>
                <c:pt idx="111">
                  <c:v>90</c:v>
                </c:pt>
                <c:pt idx="112">
                  <c:v>90.5</c:v>
                </c:pt>
                <c:pt idx="113">
                  <c:v>91</c:v>
                </c:pt>
                <c:pt idx="114">
                  <c:v>91.5</c:v>
                </c:pt>
                <c:pt idx="115">
                  <c:v>92</c:v>
                </c:pt>
                <c:pt idx="116">
                  <c:v>93</c:v>
                </c:pt>
                <c:pt idx="117">
                  <c:v>95</c:v>
                </c:pt>
                <c:pt idx="118">
                  <c:v>96</c:v>
                </c:pt>
                <c:pt idx="119">
                  <c:v>97</c:v>
                </c:pt>
                <c:pt idx="120">
                  <c:v>97.5</c:v>
                </c:pt>
                <c:pt idx="121">
                  <c:v>98</c:v>
                </c:pt>
                <c:pt idx="122">
                  <c:v>98.5</c:v>
                </c:pt>
                <c:pt idx="123">
                  <c:v>99</c:v>
                </c:pt>
                <c:pt idx="124">
                  <c:v>99.5</c:v>
                </c:pt>
                <c:pt idx="125">
                  <c:v>100</c:v>
                </c:pt>
                <c:pt idx="126">
                  <c:v>101</c:v>
                </c:pt>
                <c:pt idx="127">
                  <c:v>103</c:v>
                </c:pt>
                <c:pt idx="128">
                  <c:v>104</c:v>
                </c:pt>
                <c:pt idx="129">
                  <c:v>105</c:v>
                </c:pt>
                <c:pt idx="130">
                  <c:v>105.5</c:v>
                </c:pt>
                <c:pt idx="131">
                  <c:v>106</c:v>
                </c:pt>
                <c:pt idx="132">
                  <c:v>106.5</c:v>
                </c:pt>
                <c:pt idx="133">
                  <c:v>107</c:v>
                </c:pt>
                <c:pt idx="134">
                  <c:v>107.5</c:v>
                </c:pt>
                <c:pt idx="135">
                  <c:v>108</c:v>
                </c:pt>
                <c:pt idx="136">
                  <c:v>111</c:v>
                </c:pt>
                <c:pt idx="137">
                  <c:v>111.5</c:v>
                </c:pt>
                <c:pt idx="138">
                  <c:v>112</c:v>
                </c:pt>
                <c:pt idx="139">
                  <c:v>112.5</c:v>
                </c:pt>
                <c:pt idx="140">
                  <c:v>113</c:v>
                </c:pt>
                <c:pt idx="141">
                  <c:v>113.5</c:v>
                </c:pt>
                <c:pt idx="142">
                  <c:v>114</c:v>
                </c:pt>
                <c:pt idx="143">
                  <c:v>114.5</c:v>
                </c:pt>
                <c:pt idx="144">
                  <c:v>115</c:v>
                </c:pt>
                <c:pt idx="145">
                  <c:v>115.5</c:v>
                </c:pt>
                <c:pt idx="146">
                  <c:v>116</c:v>
                </c:pt>
                <c:pt idx="147">
                  <c:v>116.5</c:v>
                </c:pt>
                <c:pt idx="148">
                  <c:v>117</c:v>
                </c:pt>
                <c:pt idx="149">
                  <c:v>117.5</c:v>
                </c:pt>
                <c:pt idx="150">
                  <c:v>118</c:v>
                </c:pt>
                <c:pt idx="151">
                  <c:v>119</c:v>
                </c:pt>
                <c:pt idx="152">
                  <c:v>120</c:v>
                </c:pt>
                <c:pt idx="153">
                  <c:v>121</c:v>
                </c:pt>
                <c:pt idx="154">
                  <c:v>121.5</c:v>
                </c:pt>
                <c:pt idx="155">
                  <c:v>122</c:v>
                </c:pt>
                <c:pt idx="156">
                  <c:v>123</c:v>
                </c:pt>
                <c:pt idx="157">
                  <c:v>124</c:v>
                </c:pt>
                <c:pt idx="158">
                  <c:v>125</c:v>
                </c:pt>
                <c:pt idx="159">
                  <c:v>125.5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</c:numCache>
            </c:numRef>
          </c:xVal>
          <c:yVal>
            <c:numRef>
              <c:f>Sheet3!$AN$4:$AN$166</c:f>
              <c:numCache>
                <c:formatCode>General</c:formatCode>
                <c:ptCount val="163"/>
                <c:pt idx="0">
                  <c:v>130.81344004395982</c:v>
                </c:pt>
                <c:pt idx="1">
                  <c:v>130.81344004395982</c:v>
                </c:pt>
                <c:pt idx="2">
                  <c:v>116.54132680899107</c:v>
                </c:pt>
                <c:pt idx="3">
                  <c:v>130.81344004395982</c:v>
                </c:pt>
                <c:pt idx="4">
                  <c:v>155.56467257275574</c:v>
                </c:pt>
                <c:pt idx="5">
                  <c:v>146.83337288738056</c:v>
                </c:pt>
                <c:pt idx="6">
                  <c:v>138.5921304427338</c:v>
                </c:pt>
                <c:pt idx="7">
                  <c:v>130.81344004395982</c:v>
                </c:pt>
                <c:pt idx="8">
                  <c:v>123.4713402663609</c:v>
                </c:pt>
                <c:pt idx="9">
                  <c:v>130.81344004395982</c:v>
                </c:pt>
                <c:pt idx="10">
                  <c:v>130.81344004395982</c:v>
                </c:pt>
                <c:pt idx="11">
                  <c:v>116.54132680899107</c:v>
                </c:pt>
                <c:pt idx="12">
                  <c:v>130.81344004395982</c:v>
                </c:pt>
                <c:pt idx="13">
                  <c:v>155.56467257275574</c:v>
                </c:pt>
                <c:pt idx="14">
                  <c:v>146.83337288738056</c:v>
                </c:pt>
                <c:pt idx="15">
                  <c:v>138.5921304427338</c:v>
                </c:pt>
                <c:pt idx="16">
                  <c:v>130.81344004395982</c:v>
                </c:pt>
                <c:pt idx="17">
                  <c:v>123.4713402663609</c:v>
                </c:pt>
                <c:pt idx="18">
                  <c:v>130.81344004395982</c:v>
                </c:pt>
                <c:pt idx="19">
                  <c:v>130.81344004395982</c:v>
                </c:pt>
                <c:pt idx="20">
                  <c:v>116.54132680899107</c:v>
                </c:pt>
                <c:pt idx="21">
                  <c:v>130.81344004395982</c:v>
                </c:pt>
                <c:pt idx="22">
                  <c:v>116.54132680899107</c:v>
                </c:pt>
                <c:pt idx="23">
                  <c:v>130.81344004395982</c:v>
                </c:pt>
                <c:pt idx="24">
                  <c:v>146.83337288738056</c:v>
                </c:pt>
                <c:pt idx="25">
                  <c:v>155.56467257275574</c:v>
                </c:pt>
                <c:pt idx="26">
                  <c:v>155.56467257275574</c:v>
                </c:pt>
                <c:pt idx="27">
                  <c:v>155.56467257275574</c:v>
                </c:pt>
                <c:pt idx="28">
                  <c:v>130.81344004395982</c:v>
                </c:pt>
                <c:pt idx="29">
                  <c:v>130.81344004395982</c:v>
                </c:pt>
                <c:pt idx="30">
                  <c:v>116.54132680899107</c:v>
                </c:pt>
                <c:pt idx="31">
                  <c:v>130.81344004395982</c:v>
                </c:pt>
                <c:pt idx="32">
                  <c:v>116.54132680899107</c:v>
                </c:pt>
                <c:pt idx="33">
                  <c:v>130.81344004395982</c:v>
                </c:pt>
                <c:pt idx="34">
                  <c:v>146.83337288738056</c:v>
                </c:pt>
                <c:pt idx="35">
                  <c:v>155.56467257275574</c:v>
                </c:pt>
                <c:pt idx="36">
                  <c:v>155.56467257275574</c:v>
                </c:pt>
                <c:pt idx="37">
                  <c:v>155.56467257275574</c:v>
                </c:pt>
                <c:pt idx="38">
                  <c:v>130.81344004395982</c:v>
                </c:pt>
                <c:pt idx="39">
                  <c:v>130.81344004395982</c:v>
                </c:pt>
                <c:pt idx="40">
                  <c:v>116.54132680899107</c:v>
                </c:pt>
                <c:pt idx="41">
                  <c:v>130.81344004395982</c:v>
                </c:pt>
                <c:pt idx="42">
                  <c:v>116.54132680899107</c:v>
                </c:pt>
                <c:pt idx="43">
                  <c:v>130.81344004395982</c:v>
                </c:pt>
                <c:pt idx="44">
                  <c:v>146.83337288738056</c:v>
                </c:pt>
                <c:pt idx="45">
                  <c:v>195.99987576438383</c:v>
                </c:pt>
                <c:pt idx="46">
                  <c:v>349.23506143398839</c:v>
                </c:pt>
                <c:pt idx="47">
                  <c:v>261.62956379894968</c:v>
                </c:pt>
                <c:pt idx="48">
                  <c:v>349.23506143398839</c:v>
                </c:pt>
                <c:pt idx="49">
                  <c:v>261.62956379894968</c:v>
                </c:pt>
                <c:pt idx="50">
                  <c:v>349.23506143398839</c:v>
                </c:pt>
                <c:pt idx="51">
                  <c:v>261.62956379894968</c:v>
                </c:pt>
                <c:pt idx="52">
                  <c:v>349.23506143398839</c:v>
                </c:pt>
                <c:pt idx="53">
                  <c:v>261.62956379894968</c:v>
                </c:pt>
                <c:pt idx="54">
                  <c:v>349.23506143398839</c:v>
                </c:pt>
                <c:pt idx="55">
                  <c:v>261.62956379894968</c:v>
                </c:pt>
                <c:pt idx="56">
                  <c:v>349.23506143398839</c:v>
                </c:pt>
                <c:pt idx="57">
                  <c:v>261.62956379894968</c:v>
                </c:pt>
                <c:pt idx="58">
                  <c:v>293.66975814369101</c:v>
                </c:pt>
                <c:pt idx="59">
                  <c:v>311.13253664194741</c:v>
                </c:pt>
                <c:pt idx="60">
                  <c:v>349.23506143398839</c:v>
                </c:pt>
                <c:pt idx="61">
                  <c:v>311.13253664194741</c:v>
                </c:pt>
                <c:pt idx="62">
                  <c:v>293.66975814369101</c:v>
                </c:pt>
                <c:pt idx="63">
                  <c:v>261.62956379894968</c:v>
                </c:pt>
                <c:pt idx="64">
                  <c:v>233.08504452861115</c:v>
                </c:pt>
                <c:pt idx="65">
                  <c:v>261.62956379894968</c:v>
                </c:pt>
                <c:pt idx="66">
                  <c:v>195.99987576438383</c:v>
                </c:pt>
                <c:pt idx="67">
                  <c:v>195.99987576438383</c:v>
                </c:pt>
                <c:pt idx="68">
                  <c:v>349.23506143398839</c:v>
                </c:pt>
                <c:pt idx="69">
                  <c:v>261.62956379894968</c:v>
                </c:pt>
                <c:pt idx="70">
                  <c:v>349.23506143398839</c:v>
                </c:pt>
                <c:pt idx="71">
                  <c:v>261.62956379894968</c:v>
                </c:pt>
                <c:pt idx="72">
                  <c:v>349.23506143398839</c:v>
                </c:pt>
                <c:pt idx="73">
                  <c:v>261.62956379894968</c:v>
                </c:pt>
                <c:pt idx="74">
                  <c:v>349.23506143398839</c:v>
                </c:pt>
                <c:pt idx="75">
                  <c:v>261.62956379894968</c:v>
                </c:pt>
                <c:pt idx="76">
                  <c:v>349.23506143398839</c:v>
                </c:pt>
                <c:pt idx="77">
                  <c:v>261.62956379894968</c:v>
                </c:pt>
                <c:pt idx="78">
                  <c:v>349.23506143398839</c:v>
                </c:pt>
                <c:pt idx="79">
                  <c:v>261.62956379894968</c:v>
                </c:pt>
                <c:pt idx="80">
                  <c:v>293.66975814369101</c:v>
                </c:pt>
                <c:pt idx="81">
                  <c:v>311.13253664194741</c:v>
                </c:pt>
                <c:pt idx="82">
                  <c:v>349.23506143398839</c:v>
                </c:pt>
                <c:pt idx="83">
                  <c:v>311.13253664194741</c:v>
                </c:pt>
                <c:pt idx="84">
                  <c:v>293.66975814369101</c:v>
                </c:pt>
                <c:pt idx="85">
                  <c:v>261.62956379894968</c:v>
                </c:pt>
                <c:pt idx="86">
                  <c:v>233.08504452861115</c:v>
                </c:pt>
                <c:pt idx="87">
                  <c:v>261.62956379894968</c:v>
                </c:pt>
                <c:pt idx="88">
                  <c:v>195.99987576438383</c:v>
                </c:pt>
                <c:pt idx="89">
                  <c:v>195.99987576438383</c:v>
                </c:pt>
                <c:pt idx="90">
                  <c:v>130.81344004395982</c:v>
                </c:pt>
                <c:pt idx="91">
                  <c:v>130.81344004395982</c:v>
                </c:pt>
                <c:pt idx="92">
                  <c:v>116.54132680899107</c:v>
                </c:pt>
                <c:pt idx="93">
                  <c:v>130.81344004395982</c:v>
                </c:pt>
                <c:pt idx="94">
                  <c:v>155.56467257275574</c:v>
                </c:pt>
                <c:pt idx="95">
                  <c:v>146.83337288738056</c:v>
                </c:pt>
                <c:pt idx="96">
                  <c:v>138.5921304427338</c:v>
                </c:pt>
                <c:pt idx="97">
                  <c:v>130.81344004395982</c:v>
                </c:pt>
                <c:pt idx="98">
                  <c:v>123.4713402663609</c:v>
                </c:pt>
                <c:pt idx="99">
                  <c:v>130.81344004395982</c:v>
                </c:pt>
                <c:pt idx="100">
                  <c:v>130.81344004395982</c:v>
                </c:pt>
                <c:pt idx="101">
                  <c:v>116.54132680899107</c:v>
                </c:pt>
                <c:pt idx="102">
                  <c:v>130.81344004395982</c:v>
                </c:pt>
                <c:pt idx="103">
                  <c:v>155.56467257275574</c:v>
                </c:pt>
                <c:pt idx="104">
                  <c:v>146.83337288738056</c:v>
                </c:pt>
                <c:pt idx="105">
                  <c:v>138.5921304427338</c:v>
                </c:pt>
                <c:pt idx="106">
                  <c:v>130.81344004395982</c:v>
                </c:pt>
                <c:pt idx="107">
                  <c:v>123.4713402663609</c:v>
                </c:pt>
                <c:pt idx="108">
                  <c:v>130.81344004395982</c:v>
                </c:pt>
                <c:pt idx="109">
                  <c:v>130.81344004395982</c:v>
                </c:pt>
                <c:pt idx="110">
                  <c:v>116.54132680899107</c:v>
                </c:pt>
                <c:pt idx="111">
                  <c:v>130.81344004395982</c:v>
                </c:pt>
                <c:pt idx="112">
                  <c:v>116.54132680899107</c:v>
                </c:pt>
                <c:pt idx="113">
                  <c:v>130.81344004395982</c:v>
                </c:pt>
                <c:pt idx="114">
                  <c:v>146.83337288738056</c:v>
                </c:pt>
                <c:pt idx="115">
                  <c:v>155.56467257275574</c:v>
                </c:pt>
                <c:pt idx="116">
                  <c:v>155.56467257275574</c:v>
                </c:pt>
                <c:pt idx="117">
                  <c:v>155.56467257275574</c:v>
                </c:pt>
                <c:pt idx="118">
                  <c:v>130.81344004395982</c:v>
                </c:pt>
                <c:pt idx="119">
                  <c:v>130.81344004395982</c:v>
                </c:pt>
                <c:pt idx="120">
                  <c:v>116.54132680899107</c:v>
                </c:pt>
                <c:pt idx="121">
                  <c:v>130.81344004395982</c:v>
                </c:pt>
                <c:pt idx="122">
                  <c:v>116.54132680899107</c:v>
                </c:pt>
                <c:pt idx="123">
                  <c:v>130.81344004395982</c:v>
                </c:pt>
                <c:pt idx="124">
                  <c:v>146.83337288738056</c:v>
                </c:pt>
                <c:pt idx="125">
                  <c:v>155.56467257275574</c:v>
                </c:pt>
                <c:pt idx="126">
                  <c:v>155.56467257275574</c:v>
                </c:pt>
                <c:pt idx="127">
                  <c:v>155.56467257275574</c:v>
                </c:pt>
                <c:pt idx="128">
                  <c:v>130.81344004395982</c:v>
                </c:pt>
                <c:pt idx="129">
                  <c:v>130.81344004395982</c:v>
                </c:pt>
                <c:pt idx="130">
                  <c:v>116.54132680899107</c:v>
                </c:pt>
                <c:pt idx="131">
                  <c:v>130.81344004395982</c:v>
                </c:pt>
                <c:pt idx="132">
                  <c:v>116.54132680899107</c:v>
                </c:pt>
                <c:pt idx="133">
                  <c:v>130.81344004395982</c:v>
                </c:pt>
                <c:pt idx="134">
                  <c:v>155.56467257275574</c:v>
                </c:pt>
                <c:pt idx="135">
                  <c:v>233.08504452861115</c:v>
                </c:pt>
                <c:pt idx="136">
                  <c:v>195.99987576438383</c:v>
                </c:pt>
                <c:pt idx="137">
                  <c:v>116.54132680899107</c:v>
                </c:pt>
                <c:pt idx="138">
                  <c:v>130.81344004395982</c:v>
                </c:pt>
                <c:pt idx="139">
                  <c:v>155.56467257275574</c:v>
                </c:pt>
                <c:pt idx="140">
                  <c:v>233.08504452861115</c:v>
                </c:pt>
                <c:pt idx="141">
                  <c:v>261.62956379894968</c:v>
                </c:pt>
                <c:pt idx="142">
                  <c:v>311.13253664194741</c:v>
                </c:pt>
                <c:pt idx="143">
                  <c:v>466.17487092753117</c:v>
                </c:pt>
                <c:pt idx="144">
                  <c:v>523.26449507501752</c:v>
                </c:pt>
                <c:pt idx="145">
                  <c:v>622.27145634224212</c:v>
                </c:pt>
                <c:pt idx="146">
                  <c:v>932.35930569378297</c:v>
                </c:pt>
                <c:pt idx="147">
                  <c:v>1046.5397252143878</c:v>
                </c:pt>
                <c:pt idx="148">
                  <c:v>1244.5556789321308</c:v>
                </c:pt>
                <c:pt idx="149">
                  <c:v>1864.7377392612143</c:v>
                </c:pt>
                <c:pt idx="150">
                  <c:v>2093.100920777717</c:v>
                </c:pt>
                <c:pt idx="151">
                  <c:v>261.62956379894968</c:v>
                </c:pt>
                <c:pt idx="152">
                  <c:v>261.62956379894968</c:v>
                </c:pt>
                <c:pt idx="153">
                  <c:v>261.62956379894968</c:v>
                </c:pt>
                <c:pt idx="154">
                  <c:v>233.08504452861115</c:v>
                </c:pt>
                <c:pt idx="155">
                  <c:v>261.62956379894968</c:v>
                </c:pt>
                <c:pt idx="156">
                  <c:v>97.998932630681253</c:v>
                </c:pt>
                <c:pt idx="157">
                  <c:v>97.998932630681253</c:v>
                </c:pt>
                <c:pt idx="158">
                  <c:v>97.998932630681253</c:v>
                </c:pt>
                <c:pt idx="159">
                  <c:v>97.998932630681253</c:v>
                </c:pt>
                <c:pt idx="160">
                  <c:v>97.998932630681253</c:v>
                </c:pt>
                <c:pt idx="161">
                  <c:v>392.00377257605692</c:v>
                </c:pt>
                <c:pt idx="162">
                  <c:v>65.406049101104529</c:v>
                </c:pt>
              </c:numCache>
            </c:numRef>
          </c:yVal>
          <c:smooth val="0"/>
        </c:ser>
        <c:ser>
          <c:idx val="4"/>
          <c:order val="4"/>
          <c:tx>
            <c:v>Left Hand Harmony</c:v>
          </c:tx>
          <c:spPr>
            <a:ln>
              <a:solidFill>
                <a:schemeClr val="accent6"/>
              </a:solidFill>
            </a:ln>
          </c:spPr>
          <c:marker>
            <c:symbol val="square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Sheet3!$AK$4:$AK$166</c:f>
              <c:numCache>
                <c:formatCode>General</c:formatCode>
                <c:ptCount val="163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17.5</c:v>
                </c:pt>
                <c:pt idx="21">
                  <c:v>18</c:v>
                </c:pt>
                <c:pt idx="22">
                  <c:v>18.5</c:v>
                </c:pt>
                <c:pt idx="23">
                  <c:v>19</c:v>
                </c:pt>
                <c:pt idx="24">
                  <c:v>19.5</c:v>
                </c:pt>
                <c:pt idx="25">
                  <c:v>20</c:v>
                </c:pt>
                <c:pt idx="26">
                  <c:v>21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25.5</c:v>
                </c:pt>
                <c:pt idx="31">
                  <c:v>26</c:v>
                </c:pt>
                <c:pt idx="32">
                  <c:v>26.5</c:v>
                </c:pt>
                <c:pt idx="33">
                  <c:v>27</c:v>
                </c:pt>
                <c:pt idx="34">
                  <c:v>27.5</c:v>
                </c:pt>
                <c:pt idx="35">
                  <c:v>28</c:v>
                </c:pt>
                <c:pt idx="36">
                  <c:v>29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33.5</c:v>
                </c:pt>
                <c:pt idx="41">
                  <c:v>34</c:v>
                </c:pt>
                <c:pt idx="42">
                  <c:v>34.5</c:v>
                </c:pt>
                <c:pt idx="43">
                  <c:v>35</c:v>
                </c:pt>
                <c:pt idx="44">
                  <c:v>35.5</c:v>
                </c:pt>
                <c:pt idx="45">
                  <c:v>36</c:v>
                </c:pt>
                <c:pt idx="46">
                  <c:v>39</c:v>
                </c:pt>
                <c:pt idx="47">
                  <c:v>40</c:v>
                </c:pt>
                <c:pt idx="48">
                  <c:v>41.5</c:v>
                </c:pt>
                <c:pt idx="49">
                  <c:v>42</c:v>
                </c:pt>
                <c:pt idx="50">
                  <c:v>43.5</c:v>
                </c:pt>
                <c:pt idx="51">
                  <c:v>44</c:v>
                </c:pt>
                <c:pt idx="52">
                  <c:v>44.5</c:v>
                </c:pt>
                <c:pt idx="53">
                  <c:v>45</c:v>
                </c:pt>
                <c:pt idx="54">
                  <c:v>45.5</c:v>
                </c:pt>
                <c:pt idx="55">
                  <c:v>46</c:v>
                </c:pt>
                <c:pt idx="56">
                  <c:v>47</c:v>
                </c:pt>
                <c:pt idx="57">
                  <c:v>48</c:v>
                </c:pt>
                <c:pt idx="58">
                  <c:v>48.5</c:v>
                </c:pt>
                <c:pt idx="59">
                  <c:v>49</c:v>
                </c:pt>
                <c:pt idx="60">
                  <c:v>49.5</c:v>
                </c:pt>
                <c:pt idx="61">
                  <c:v>50</c:v>
                </c:pt>
                <c:pt idx="62">
                  <c:v>50.5</c:v>
                </c:pt>
                <c:pt idx="63">
                  <c:v>51</c:v>
                </c:pt>
                <c:pt idx="64">
                  <c:v>51.5</c:v>
                </c:pt>
                <c:pt idx="65">
                  <c:v>52</c:v>
                </c:pt>
                <c:pt idx="66">
                  <c:v>53</c:v>
                </c:pt>
                <c:pt idx="67">
                  <c:v>54</c:v>
                </c:pt>
                <c:pt idx="68">
                  <c:v>55</c:v>
                </c:pt>
                <c:pt idx="69">
                  <c:v>56</c:v>
                </c:pt>
                <c:pt idx="70">
                  <c:v>57.5</c:v>
                </c:pt>
                <c:pt idx="71">
                  <c:v>58</c:v>
                </c:pt>
                <c:pt idx="72">
                  <c:v>59.5</c:v>
                </c:pt>
                <c:pt idx="73">
                  <c:v>60</c:v>
                </c:pt>
                <c:pt idx="74">
                  <c:v>60.5</c:v>
                </c:pt>
                <c:pt idx="75">
                  <c:v>61</c:v>
                </c:pt>
                <c:pt idx="76">
                  <c:v>61.5</c:v>
                </c:pt>
                <c:pt idx="77">
                  <c:v>62</c:v>
                </c:pt>
                <c:pt idx="78">
                  <c:v>63</c:v>
                </c:pt>
                <c:pt idx="79">
                  <c:v>64</c:v>
                </c:pt>
                <c:pt idx="80">
                  <c:v>64.5</c:v>
                </c:pt>
                <c:pt idx="81">
                  <c:v>65</c:v>
                </c:pt>
                <c:pt idx="82">
                  <c:v>65.5</c:v>
                </c:pt>
                <c:pt idx="83">
                  <c:v>66</c:v>
                </c:pt>
                <c:pt idx="84">
                  <c:v>66.5</c:v>
                </c:pt>
                <c:pt idx="85">
                  <c:v>67</c:v>
                </c:pt>
                <c:pt idx="86">
                  <c:v>67.5</c:v>
                </c:pt>
                <c:pt idx="87">
                  <c:v>68</c:v>
                </c:pt>
                <c:pt idx="88">
                  <c:v>69</c:v>
                </c:pt>
                <c:pt idx="89">
                  <c:v>70</c:v>
                </c:pt>
                <c:pt idx="90">
                  <c:v>72</c:v>
                </c:pt>
                <c:pt idx="91">
                  <c:v>73</c:v>
                </c:pt>
                <c:pt idx="92">
                  <c:v>73.5</c:v>
                </c:pt>
                <c:pt idx="93">
                  <c:v>74</c:v>
                </c:pt>
                <c:pt idx="94">
                  <c:v>75</c:v>
                </c:pt>
                <c:pt idx="95">
                  <c:v>76</c:v>
                </c:pt>
                <c:pt idx="96">
                  <c:v>77</c:v>
                </c:pt>
                <c:pt idx="97">
                  <c:v>78</c:v>
                </c:pt>
                <c:pt idx="98">
                  <c:v>79</c:v>
                </c:pt>
                <c:pt idx="99">
                  <c:v>80</c:v>
                </c:pt>
                <c:pt idx="100">
                  <c:v>81</c:v>
                </c:pt>
                <c:pt idx="101">
                  <c:v>81.5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89.5</c:v>
                </c:pt>
                <c:pt idx="111">
                  <c:v>90</c:v>
                </c:pt>
                <c:pt idx="112">
                  <c:v>90.5</c:v>
                </c:pt>
                <c:pt idx="113">
                  <c:v>91</c:v>
                </c:pt>
                <c:pt idx="114">
                  <c:v>91.5</c:v>
                </c:pt>
                <c:pt idx="115">
                  <c:v>92</c:v>
                </c:pt>
                <c:pt idx="116">
                  <c:v>93</c:v>
                </c:pt>
                <c:pt idx="117">
                  <c:v>95</c:v>
                </c:pt>
                <c:pt idx="118">
                  <c:v>96</c:v>
                </c:pt>
                <c:pt idx="119">
                  <c:v>97</c:v>
                </c:pt>
                <c:pt idx="120">
                  <c:v>97.5</c:v>
                </c:pt>
                <c:pt idx="121">
                  <c:v>98</c:v>
                </c:pt>
                <c:pt idx="122">
                  <c:v>98.5</c:v>
                </c:pt>
                <c:pt idx="123">
                  <c:v>99</c:v>
                </c:pt>
                <c:pt idx="124">
                  <c:v>99.5</c:v>
                </c:pt>
                <c:pt idx="125">
                  <c:v>100</c:v>
                </c:pt>
                <c:pt idx="126">
                  <c:v>101</c:v>
                </c:pt>
                <c:pt idx="127">
                  <c:v>103</c:v>
                </c:pt>
                <c:pt idx="128">
                  <c:v>104</c:v>
                </c:pt>
                <c:pt idx="129">
                  <c:v>105</c:v>
                </c:pt>
                <c:pt idx="130">
                  <c:v>105.5</c:v>
                </c:pt>
                <c:pt idx="131">
                  <c:v>106</c:v>
                </c:pt>
                <c:pt idx="132">
                  <c:v>106.5</c:v>
                </c:pt>
                <c:pt idx="133">
                  <c:v>107</c:v>
                </c:pt>
                <c:pt idx="134">
                  <c:v>107.5</c:v>
                </c:pt>
                <c:pt idx="135">
                  <c:v>108</c:v>
                </c:pt>
                <c:pt idx="136">
                  <c:v>111</c:v>
                </c:pt>
                <c:pt idx="137">
                  <c:v>111.5</c:v>
                </c:pt>
                <c:pt idx="138">
                  <c:v>112</c:v>
                </c:pt>
                <c:pt idx="139">
                  <c:v>112.5</c:v>
                </c:pt>
                <c:pt idx="140">
                  <c:v>113</c:v>
                </c:pt>
                <c:pt idx="141">
                  <c:v>113.5</c:v>
                </c:pt>
                <c:pt idx="142">
                  <c:v>114</c:v>
                </c:pt>
                <c:pt idx="143">
                  <c:v>114.5</c:v>
                </c:pt>
                <c:pt idx="144">
                  <c:v>115</c:v>
                </c:pt>
                <c:pt idx="145">
                  <c:v>115.5</c:v>
                </c:pt>
                <c:pt idx="146">
                  <c:v>116</c:v>
                </c:pt>
                <c:pt idx="147">
                  <c:v>116.5</c:v>
                </c:pt>
                <c:pt idx="148">
                  <c:v>117</c:v>
                </c:pt>
                <c:pt idx="149">
                  <c:v>117.5</c:v>
                </c:pt>
                <c:pt idx="150">
                  <c:v>118</c:v>
                </c:pt>
                <c:pt idx="151">
                  <c:v>119</c:v>
                </c:pt>
                <c:pt idx="152">
                  <c:v>120</c:v>
                </c:pt>
                <c:pt idx="153">
                  <c:v>121</c:v>
                </c:pt>
                <c:pt idx="154">
                  <c:v>121.5</c:v>
                </c:pt>
                <c:pt idx="155">
                  <c:v>122</c:v>
                </c:pt>
                <c:pt idx="156">
                  <c:v>123</c:v>
                </c:pt>
                <c:pt idx="157">
                  <c:v>124</c:v>
                </c:pt>
                <c:pt idx="158">
                  <c:v>125</c:v>
                </c:pt>
                <c:pt idx="159">
                  <c:v>125.5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</c:numCache>
            </c:numRef>
          </c:xVal>
          <c:yVal>
            <c:numRef>
              <c:f>Sheet3!$AS$4:$AS$166</c:f>
              <c:numCache>
                <c:formatCode>General</c:formatCode>
                <c:ptCount val="163"/>
                <c:pt idx="4">
                  <c:v>87.306974197808145</c:v>
                </c:pt>
                <c:pt idx="5">
                  <c:v>116.54132680899107</c:v>
                </c:pt>
                <c:pt idx="6">
                  <c:v>77.781538420453217</c:v>
                </c:pt>
                <c:pt idx="7">
                  <c:v>103.82634116063208</c:v>
                </c:pt>
                <c:pt idx="8">
                  <c:v>97.998932630681253</c:v>
                </c:pt>
                <c:pt idx="9">
                  <c:v>65.406049101104529</c:v>
                </c:pt>
                <c:pt idx="13">
                  <c:v>87.306974197808145</c:v>
                </c:pt>
                <c:pt idx="14">
                  <c:v>116.54132680899107</c:v>
                </c:pt>
                <c:pt idx="15">
                  <c:v>77.781538420453217</c:v>
                </c:pt>
                <c:pt idx="16">
                  <c:v>103.82634116063208</c:v>
                </c:pt>
                <c:pt idx="17">
                  <c:v>97.998932630681253</c:v>
                </c:pt>
                <c:pt idx="18">
                  <c:v>65.406049101104529</c:v>
                </c:pt>
                <c:pt idx="26">
                  <c:v>87.306974197808145</c:v>
                </c:pt>
                <c:pt idx="27">
                  <c:v>97.998932630681253</c:v>
                </c:pt>
                <c:pt idx="28">
                  <c:v>69.295354404852617</c:v>
                </c:pt>
                <c:pt idx="36">
                  <c:v>87.306974197808145</c:v>
                </c:pt>
                <c:pt idx="37">
                  <c:v>97.998932630681253</c:v>
                </c:pt>
                <c:pt idx="38">
                  <c:v>65.406049101104529</c:v>
                </c:pt>
                <c:pt idx="46">
                  <c:v>174.61573954711864</c:v>
                </c:pt>
                <c:pt idx="47">
                  <c:v>130.81344004395982</c:v>
                </c:pt>
                <c:pt idx="48">
                  <c:v>174.61573954711864</c:v>
                </c:pt>
                <c:pt idx="49">
                  <c:v>130.81344004395982</c:v>
                </c:pt>
                <c:pt idx="50">
                  <c:v>174.61573954711864</c:v>
                </c:pt>
                <c:pt idx="51">
                  <c:v>130.81344004395982</c:v>
                </c:pt>
                <c:pt idx="52">
                  <c:v>174.61573954711864</c:v>
                </c:pt>
                <c:pt idx="53">
                  <c:v>130.81344004395982</c:v>
                </c:pt>
                <c:pt idx="54">
                  <c:v>174.61573954711864</c:v>
                </c:pt>
                <c:pt idx="55">
                  <c:v>130.81344004395982</c:v>
                </c:pt>
                <c:pt idx="56">
                  <c:v>174.61573954711864</c:v>
                </c:pt>
                <c:pt idx="57">
                  <c:v>130.81344004395982</c:v>
                </c:pt>
                <c:pt idx="58">
                  <c:v>146.83337288738056</c:v>
                </c:pt>
                <c:pt idx="59">
                  <c:v>155.56467257275574</c:v>
                </c:pt>
                <c:pt idx="60">
                  <c:v>174.61573954711864</c:v>
                </c:pt>
                <c:pt idx="61">
                  <c:v>155.56467257275574</c:v>
                </c:pt>
                <c:pt idx="62">
                  <c:v>146.83337288738056</c:v>
                </c:pt>
                <c:pt idx="63">
                  <c:v>130.81344004395982</c:v>
                </c:pt>
                <c:pt idx="64">
                  <c:v>116.54132680899107</c:v>
                </c:pt>
                <c:pt idx="65">
                  <c:v>130.81344004395982</c:v>
                </c:pt>
                <c:pt idx="94">
                  <c:v>87.306974197808145</c:v>
                </c:pt>
                <c:pt idx="95">
                  <c:v>116.54132680899107</c:v>
                </c:pt>
                <c:pt idx="96">
                  <c:v>77.781538420453217</c:v>
                </c:pt>
                <c:pt idx="97">
                  <c:v>103.82634116063208</c:v>
                </c:pt>
                <c:pt idx="98">
                  <c:v>97.998932630681253</c:v>
                </c:pt>
                <c:pt idx="99">
                  <c:v>65.406049101104529</c:v>
                </c:pt>
                <c:pt idx="103">
                  <c:v>87.306974197808145</c:v>
                </c:pt>
                <c:pt idx="104">
                  <c:v>116.54132680899107</c:v>
                </c:pt>
                <c:pt idx="105">
                  <c:v>77.781538420453217</c:v>
                </c:pt>
                <c:pt idx="106">
                  <c:v>103.82634116063208</c:v>
                </c:pt>
                <c:pt idx="107">
                  <c:v>97.998932630681253</c:v>
                </c:pt>
                <c:pt idx="108">
                  <c:v>65.406049101104529</c:v>
                </c:pt>
                <c:pt idx="116">
                  <c:v>87.306974197808145</c:v>
                </c:pt>
                <c:pt idx="117">
                  <c:v>97.998932630681253</c:v>
                </c:pt>
                <c:pt idx="118">
                  <c:v>69.295354404852617</c:v>
                </c:pt>
                <c:pt idx="126">
                  <c:v>87.306974197808145</c:v>
                </c:pt>
                <c:pt idx="127">
                  <c:v>97.998932630681253</c:v>
                </c:pt>
                <c:pt idx="128">
                  <c:v>65.406049101104529</c:v>
                </c:pt>
                <c:pt idx="151">
                  <c:v>130.81344004395982</c:v>
                </c:pt>
                <c:pt idx="152">
                  <c:v>130.81344004395982</c:v>
                </c:pt>
                <c:pt idx="153">
                  <c:v>130.81344004395982</c:v>
                </c:pt>
                <c:pt idx="154">
                  <c:v>116.54132680899107</c:v>
                </c:pt>
                <c:pt idx="155">
                  <c:v>130.81344004395982</c:v>
                </c:pt>
                <c:pt idx="156">
                  <c:v>65.406049101104529</c:v>
                </c:pt>
                <c:pt idx="157">
                  <c:v>65.406049101104529</c:v>
                </c:pt>
                <c:pt idx="158">
                  <c:v>65.406049101104529</c:v>
                </c:pt>
                <c:pt idx="159">
                  <c:v>58.270065682969573</c:v>
                </c:pt>
                <c:pt idx="160">
                  <c:v>65.406049101104529</c:v>
                </c:pt>
                <c:pt idx="161">
                  <c:v>261.62956379894968</c:v>
                </c:pt>
                <c:pt idx="162">
                  <c:v>32.702689093555627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2832"/>
        <c:axId val="57553408"/>
      </c:scatterChart>
      <c:valAx>
        <c:axId val="5755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53408"/>
        <c:crosses val="autoZero"/>
        <c:crossBetween val="midCat"/>
      </c:valAx>
      <c:valAx>
        <c:axId val="57553408"/>
        <c:scaling>
          <c:logBase val="10"/>
          <c:orientation val="minMax"/>
          <c:max val="4000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52832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9533213802096201"/>
          <c:y val="0.31317505071691398"/>
          <c:w val="9.5113721851647501E-2"/>
          <c:h val="0.42867173262730801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1/2 of All Notes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7694791827492102E-2"/>
          <c:y val="2.8846153846153799E-2"/>
          <c:w val="0.80689400957233304"/>
          <c:h val="0.86449462590940396"/>
        </c:manualLayout>
      </c:layout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Sheet3!$V$176:$V$259</c:f>
              <c:numCache>
                <c:formatCode>General</c:formatCode>
                <c:ptCount val="84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17.5</c:v>
                </c:pt>
                <c:pt idx="11">
                  <c:v>18.5</c:v>
                </c:pt>
                <c:pt idx="12">
                  <c:v>19.5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33.5</c:v>
                </c:pt>
                <c:pt idx="22">
                  <c:v>34.5</c:v>
                </c:pt>
                <c:pt idx="23">
                  <c:v>35.5</c:v>
                </c:pt>
                <c:pt idx="24">
                  <c:v>39</c:v>
                </c:pt>
                <c:pt idx="25">
                  <c:v>41.5</c:v>
                </c:pt>
                <c:pt idx="26">
                  <c:v>43.5</c:v>
                </c:pt>
                <c:pt idx="27">
                  <c:v>44.5</c:v>
                </c:pt>
                <c:pt idx="28">
                  <c:v>45.5</c:v>
                </c:pt>
                <c:pt idx="29">
                  <c:v>47</c:v>
                </c:pt>
                <c:pt idx="30">
                  <c:v>48.5</c:v>
                </c:pt>
                <c:pt idx="31">
                  <c:v>49.5</c:v>
                </c:pt>
                <c:pt idx="32">
                  <c:v>50.5</c:v>
                </c:pt>
                <c:pt idx="33">
                  <c:v>51.5</c:v>
                </c:pt>
                <c:pt idx="34">
                  <c:v>53</c:v>
                </c:pt>
                <c:pt idx="35">
                  <c:v>55</c:v>
                </c:pt>
                <c:pt idx="36">
                  <c:v>57.5</c:v>
                </c:pt>
                <c:pt idx="37">
                  <c:v>59.5</c:v>
                </c:pt>
                <c:pt idx="38">
                  <c:v>60.5</c:v>
                </c:pt>
                <c:pt idx="39">
                  <c:v>61.5</c:v>
                </c:pt>
                <c:pt idx="40">
                  <c:v>63</c:v>
                </c:pt>
                <c:pt idx="41">
                  <c:v>64.5</c:v>
                </c:pt>
                <c:pt idx="42">
                  <c:v>65.5</c:v>
                </c:pt>
                <c:pt idx="43">
                  <c:v>66.5</c:v>
                </c:pt>
                <c:pt idx="44">
                  <c:v>67.5</c:v>
                </c:pt>
                <c:pt idx="45">
                  <c:v>69</c:v>
                </c:pt>
                <c:pt idx="46">
                  <c:v>71</c:v>
                </c:pt>
                <c:pt idx="47">
                  <c:v>73</c:v>
                </c:pt>
                <c:pt idx="48">
                  <c:v>74</c:v>
                </c:pt>
                <c:pt idx="49">
                  <c:v>76</c:v>
                </c:pt>
                <c:pt idx="50">
                  <c:v>78</c:v>
                </c:pt>
                <c:pt idx="51">
                  <c:v>80</c:v>
                </c:pt>
                <c:pt idx="52">
                  <c:v>81.5</c:v>
                </c:pt>
                <c:pt idx="53">
                  <c:v>83</c:v>
                </c:pt>
                <c:pt idx="54">
                  <c:v>85</c:v>
                </c:pt>
                <c:pt idx="55">
                  <c:v>87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94</c:v>
                </c:pt>
                <c:pt idx="61">
                  <c:v>96</c:v>
                </c:pt>
                <c:pt idx="62">
                  <c:v>97.5</c:v>
                </c:pt>
                <c:pt idx="63">
                  <c:v>98.5</c:v>
                </c:pt>
                <c:pt idx="64">
                  <c:v>99.5</c:v>
                </c:pt>
                <c:pt idx="65">
                  <c:v>101</c:v>
                </c:pt>
                <c:pt idx="66">
                  <c:v>103</c:v>
                </c:pt>
                <c:pt idx="67">
                  <c:v>105</c:v>
                </c:pt>
                <c:pt idx="68">
                  <c:v>106</c:v>
                </c:pt>
                <c:pt idx="69">
                  <c:v>107</c:v>
                </c:pt>
                <c:pt idx="70">
                  <c:v>108</c:v>
                </c:pt>
                <c:pt idx="71">
                  <c:v>111.5</c:v>
                </c:pt>
                <c:pt idx="72">
                  <c:v>112.5</c:v>
                </c:pt>
                <c:pt idx="73">
                  <c:v>113.5</c:v>
                </c:pt>
                <c:pt idx="74">
                  <c:v>114.5</c:v>
                </c:pt>
                <c:pt idx="75">
                  <c:v>115.5</c:v>
                </c:pt>
                <c:pt idx="76">
                  <c:v>116.5</c:v>
                </c:pt>
                <c:pt idx="77">
                  <c:v>117.5</c:v>
                </c:pt>
                <c:pt idx="78">
                  <c:v>119</c:v>
                </c:pt>
                <c:pt idx="79">
                  <c:v>121</c:v>
                </c:pt>
                <c:pt idx="80">
                  <c:v>122</c:v>
                </c:pt>
                <c:pt idx="81">
                  <c:v>124</c:v>
                </c:pt>
                <c:pt idx="82">
                  <c:v>125.5</c:v>
                </c:pt>
                <c:pt idx="83">
                  <c:v>127</c:v>
                </c:pt>
              </c:numCache>
            </c:numRef>
          </c:xVal>
          <c:yVal>
            <c:numRef>
              <c:f>Sheet3!$Y$176:$Y$259</c:f>
              <c:numCache>
                <c:formatCode>General</c:formatCode>
                <c:ptCount val="84"/>
                <c:pt idx="0">
                  <c:v>261.62956379894968</c:v>
                </c:pt>
                <c:pt idx="1">
                  <c:v>233.08504452861115</c:v>
                </c:pt>
                <c:pt idx="2">
                  <c:v>392.00377257605692</c:v>
                </c:pt>
                <c:pt idx="3">
                  <c:v>349.23506143398839</c:v>
                </c:pt>
                <c:pt idx="4">
                  <c:v>293.66975814369101</c:v>
                </c:pt>
                <c:pt idx="5">
                  <c:v>261.62956379894968</c:v>
                </c:pt>
                <c:pt idx="6">
                  <c:v>261.62956379894968</c:v>
                </c:pt>
                <c:pt idx="7">
                  <c:v>392.00377257605692</c:v>
                </c:pt>
                <c:pt idx="8">
                  <c:v>311.13253664194741</c:v>
                </c:pt>
                <c:pt idx="9">
                  <c:v>261.62956379894968</c:v>
                </c:pt>
                <c:pt idx="10">
                  <c:v>233.08504452861115</c:v>
                </c:pt>
                <c:pt idx="11">
                  <c:v>233.08504452861115</c:v>
                </c:pt>
                <c:pt idx="12">
                  <c:v>293.66975814369101</c:v>
                </c:pt>
                <c:pt idx="13">
                  <c:v>392.00377257605692</c:v>
                </c:pt>
                <c:pt idx="14">
                  <c:v>392.00377257605692</c:v>
                </c:pt>
                <c:pt idx="15">
                  <c:v>261.62956379894968</c:v>
                </c:pt>
                <c:pt idx="16">
                  <c:v>261.62956379894968</c:v>
                </c:pt>
                <c:pt idx="17">
                  <c:v>261.62956379894968</c:v>
                </c:pt>
                <c:pt idx="18">
                  <c:v>311.13253664194741</c:v>
                </c:pt>
                <c:pt idx="19">
                  <c:v>220.00279814001337</c:v>
                </c:pt>
                <c:pt idx="20">
                  <c:v>261.62956379894968</c:v>
                </c:pt>
                <c:pt idx="21">
                  <c:v>233.08504452861115</c:v>
                </c:pt>
                <c:pt idx="22">
                  <c:v>233.08504452861115</c:v>
                </c:pt>
                <c:pt idx="23">
                  <c:v>311.13253664194741</c:v>
                </c:pt>
                <c:pt idx="24">
                  <c:v>784.01558732918636</c:v>
                </c:pt>
                <c:pt idx="25">
                  <c:v>784.01558732918636</c:v>
                </c:pt>
                <c:pt idx="26">
                  <c:v>784.01558732918636</c:v>
                </c:pt>
                <c:pt idx="27">
                  <c:v>784.01558732918636</c:v>
                </c:pt>
                <c:pt idx="28">
                  <c:v>784.01558732918636</c:v>
                </c:pt>
                <c:pt idx="29">
                  <c:v>784.01558732918636</c:v>
                </c:pt>
                <c:pt idx="30">
                  <c:v>622.27145634224212</c:v>
                </c:pt>
                <c:pt idx="31">
                  <c:v>784.01558732918636</c:v>
                </c:pt>
                <c:pt idx="32">
                  <c:v>622.27145634224212</c:v>
                </c:pt>
                <c:pt idx="33">
                  <c:v>523.26449507501752</c:v>
                </c:pt>
                <c:pt idx="34">
                  <c:v>415.31388490851958</c:v>
                </c:pt>
                <c:pt idx="35">
                  <c:v>392.00377257605692</c:v>
                </c:pt>
                <c:pt idx="36">
                  <c:v>392.00377257605692</c:v>
                </c:pt>
                <c:pt idx="37">
                  <c:v>392.00377257605692</c:v>
                </c:pt>
                <c:pt idx="38">
                  <c:v>392.00377257605692</c:v>
                </c:pt>
                <c:pt idx="39">
                  <c:v>392.00377257605692</c:v>
                </c:pt>
                <c:pt idx="40">
                  <c:v>392.00377257605692</c:v>
                </c:pt>
                <c:pt idx="41">
                  <c:v>311.13253664194741</c:v>
                </c:pt>
                <c:pt idx="42">
                  <c:v>392.00377257605692</c:v>
                </c:pt>
                <c:pt idx="43">
                  <c:v>311.13253664194741</c:v>
                </c:pt>
                <c:pt idx="44">
                  <c:v>261.62956379894968</c:v>
                </c:pt>
                <c:pt idx="45">
                  <c:v>207.65481237683719</c:v>
                </c:pt>
                <c:pt idx="46">
                  <c:v>293.66975814369101</c:v>
                </c:pt>
                <c:pt idx="47">
                  <c:v>261.62956379894968</c:v>
                </c:pt>
                <c:pt idx="48">
                  <c:v>261.62956379894968</c:v>
                </c:pt>
                <c:pt idx="49">
                  <c:v>392.00377257605692</c:v>
                </c:pt>
                <c:pt idx="50">
                  <c:v>311.13253664194741</c:v>
                </c:pt>
                <c:pt idx="51">
                  <c:v>261.62956379894968</c:v>
                </c:pt>
                <c:pt idx="52">
                  <c:v>233.08504452861115</c:v>
                </c:pt>
                <c:pt idx="53">
                  <c:v>392.00377257605692</c:v>
                </c:pt>
                <c:pt idx="54">
                  <c:v>349.23506143398839</c:v>
                </c:pt>
                <c:pt idx="55">
                  <c:v>293.66975814369101</c:v>
                </c:pt>
                <c:pt idx="56">
                  <c:v>261.62956379894968</c:v>
                </c:pt>
                <c:pt idx="57">
                  <c:v>261.62956379894968</c:v>
                </c:pt>
                <c:pt idx="58">
                  <c:v>261.62956379894968</c:v>
                </c:pt>
                <c:pt idx="59">
                  <c:v>311.13253664194741</c:v>
                </c:pt>
                <c:pt idx="60">
                  <c:v>220.00279814001337</c:v>
                </c:pt>
                <c:pt idx="61">
                  <c:v>261.62956379894968</c:v>
                </c:pt>
                <c:pt idx="62">
                  <c:v>233.08504452861115</c:v>
                </c:pt>
                <c:pt idx="63">
                  <c:v>233.08504452861115</c:v>
                </c:pt>
                <c:pt idx="64">
                  <c:v>293.66975814369101</c:v>
                </c:pt>
                <c:pt idx="65">
                  <c:v>392.00377257605692</c:v>
                </c:pt>
                <c:pt idx="66">
                  <c:v>392.00377257605692</c:v>
                </c:pt>
                <c:pt idx="67">
                  <c:v>261.62956379894968</c:v>
                </c:pt>
                <c:pt idx="68">
                  <c:v>261.62956379894968</c:v>
                </c:pt>
                <c:pt idx="69">
                  <c:v>261.62956379894968</c:v>
                </c:pt>
                <c:pt idx="70">
                  <c:v>466.17487092753117</c:v>
                </c:pt>
                <c:pt idx="71">
                  <c:v>233.08504452861115</c:v>
                </c:pt>
                <c:pt idx="72">
                  <c:v>311.13253664194741</c:v>
                </c:pt>
                <c:pt idx="73">
                  <c:v>523.26449507501752</c:v>
                </c:pt>
                <c:pt idx="74">
                  <c:v>932.35930569378297</c:v>
                </c:pt>
                <c:pt idx="75">
                  <c:v>1244.5556789321308</c:v>
                </c:pt>
                <c:pt idx="76">
                  <c:v>2093.100920777717</c:v>
                </c:pt>
                <c:pt idx="77">
                  <c:v>2960.1068915255901</c:v>
                </c:pt>
                <c:pt idx="78">
                  <c:v>523.26449507501752</c:v>
                </c:pt>
                <c:pt idx="79">
                  <c:v>523.26449507501752</c:v>
                </c:pt>
                <c:pt idx="80">
                  <c:v>523.26449507501752</c:v>
                </c:pt>
                <c:pt idx="81">
                  <c:v>261.62956379894968</c:v>
                </c:pt>
                <c:pt idx="82">
                  <c:v>233.08504452861115</c:v>
                </c:pt>
                <c:pt idx="83">
                  <c:v>1046.5397252143878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Sheet3!$V$176:$V$259</c:f>
              <c:numCache>
                <c:formatCode>General</c:formatCode>
                <c:ptCount val="84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17.5</c:v>
                </c:pt>
                <c:pt idx="11">
                  <c:v>18.5</c:v>
                </c:pt>
                <c:pt idx="12">
                  <c:v>19.5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33.5</c:v>
                </c:pt>
                <c:pt idx="22">
                  <c:v>34.5</c:v>
                </c:pt>
                <c:pt idx="23">
                  <c:v>35.5</c:v>
                </c:pt>
                <c:pt idx="24">
                  <c:v>39</c:v>
                </c:pt>
                <c:pt idx="25">
                  <c:v>41.5</c:v>
                </c:pt>
                <c:pt idx="26">
                  <c:v>43.5</c:v>
                </c:pt>
                <c:pt idx="27">
                  <c:v>44.5</c:v>
                </c:pt>
                <c:pt idx="28">
                  <c:v>45.5</c:v>
                </c:pt>
                <c:pt idx="29">
                  <c:v>47</c:v>
                </c:pt>
                <c:pt idx="30">
                  <c:v>48.5</c:v>
                </c:pt>
                <c:pt idx="31">
                  <c:v>49.5</c:v>
                </c:pt>
                <c:pt idx="32">
                  <c:v>50.5</c:v>
                </c:pt>
                <c:pt idx="33">
                  <c:v>51.5</c:v>
                </c:pt>
                <c:pt idx="34">
                  <c:v>53</c:v>
                </c:pt>
                <c:pt idx="35">
                  <c:v>55</c:v>
                </c:pt>
                <c:pt idx="36">
                  <c:v>57.5</c:v>
                </c:pt>
                <c:pt idx="37">
                  <c:v>59.5</c:v>
                </c:pt>
                <c:pt idx="38">
                  <c:v>60.5</c:v>
                </c:pt>
                <c:pt idx="39">
                  <c:v>61.5</c:v>
                </c:pt>
                <c:pt idx="40">
                  <c:v>63</c:v>
                </c:pt>
                <c:pt idx="41">
                  <c:v>64.5</c:v>
                </c:pt>
                <c:pt idx="42">
                  <c:v>65.5</c:v>
                </c:pt>
                <c:pt idx="43">
                  <c:v>66.5</c:v>
                </c:pt>
                <c:pt idx="44">
                  <c:v>67.5</c:v>
                </c:pt>
                <c:pt idx="45">
                  <c:v>69</c:v>
                </c:pt>
                <c:pt idx="46">
                  <c:v>71</c:v>
                </c:pt>
                <c:pt idx="47">
                  <c:v>73</c:v>
                </c:pt>
                <c:pt idx="48">
                  <c:v>74</c:v>
                </c:pt>
                <c:pt idx="49">
                  <c:v>76</c:v>
                </c:pt>
                <c:pt idx="50">
                  <c:v>78</c:v>
                </c:pt>
                <c:pt idx="51">
                  <c:v>80</c:v>
                </c:pt>
                <c:pt idx="52">
                  <c:v>81.5</c:v>
                </c:pt>
                <c:pt idx="53">
                  <c:v>83</c:v>
                </c:pt>
                <c:pt idx="54">
                  <c:v>85</c:v>
                </c:pt>
                <c:pt idx="55">
                  <c:v>87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94</c:v>
                </c:pt>
                <c:pt idx="61">
                  <c:v>96</c:v>
                </c:pt>
                <c:pt idx="62">
                  <c:v>97.5</c:v>
                </c:pt>
                <c:pt idx="63">
                  <c:v>98.5</c:v>
                </c:pt>
                <c:pt idx="64">
                  <c:v>99.5</c:v>
                </c:pt>
                <c:pt idx="65">
                  <c:v>101</c:v>
                </c:pt>
                <c:pt idx="66">
                  <c:v>103</c:v>
                </c:pt>
                <c:pt idx="67">
                  <c:v>105</c:v>
                </c:pt>
                <c:pt idx="68">
                  <c:v>106</c:v>
                </c:pt>
                <c:pt idx="69">
                  <c:v>107</c:v>
                </c:pt>
                <c:pt idx="70">
                  <c:v>108</c:v>
                </c:pt>
                <c:pt idx="71">
                  <c:v>111.5</c:v>
                </c:pt>
                <c:pt idx="72">
                  <c:v>112.5</c:v>
                </c:pt>
                <c:pt idx="73">
                  <c:v>113.5</c:v>
                </c:pt>
                <c:pt idx="74">
                  <c:v>114.5</c:v>
                </c:pt>
                <c:pt idx="75">
                  <c:v>115.5</c:v>
                </c:pt>
                <c:pt idx="76">
                  <c:v>116.5</c:v>
                </c:pt>
                <c:pt idx="77">
                  <c:v>117.5</c:v>
                </c:pt>
                <c:pt idx="78">
                  <c:v>119</c:v>
                </c:pt>
                <c:pt idx="79">
                  <c:v>121</c:v>
                </c:pt>
                <c:pt idx="80">
                  <c:v>122</c:v>
                </c:pt>
                <c:pt idx="81">
                  <c:v>124</c:v>
                </c:pt>
                <c:pt idx="82">
                  <c:v>125.5</c:v>
                </c:pt>
                <c:pt idx="83">
                  <c:v>127</c:v>
                </c:pt>
              </c:numCache>
            </c:numRef>
          </c:xVal>
          <c:yVal>
            <c:numRef>
              <c:f>Sheet3!$AD$176:$AD$259</c:f>
              <c:numCache>
                <c:formatCode>General</c:formatCode>
                <c:ptCount val="84"/>
                <c:pt idx="2">
                  <c:v>311.13253664194741</c:v>
                </c:pt>
                <c:pt idx="3">
                  <c:v>277.18710418069043</c:v>
                </c:pt>
                <c:pt idx="4">
                  <c:v>246.94521361646048</c:v>
                </c:pt>
                <c:pt idx="7">
                  <c:v>293.66975814369101</c:v>
                </c:pt>
                <c:pt idx="8">
                  <c:v>261.62956379894968</c:v>
                </c:pt>
                <c:pt idx="9">
                  <c:v>195.99987576438383</c:v>
                </c:pt>
                <c:pt idx="13">
                  <c:v>311.13253664194741</c:v>
                </c:pt>
                <c:pt idx="14">
                  <c:v>311.13253664194741</c:v>
                </c:pt>
                <c:pt idx="20">
                  <c:v>195.99987576438383</c:v>
                </c:pt>
                <c:pt idx="24">
                  <c:v>392.00377257605692</c:v>
                </c:pt>
                <c:pt idx="25">
                  <c:v>392.00377257605692</c:v>
                </c:pt>
                <c:pt idx="26">
                  <c:v>392.00377257605692</c:v>
                </c:pt>
                <c:pt idx="27">
                  <c:v>392.00377257605692</c:v>
                </c:pt>
                <c:pt idx="28">
                  <c:v>392.00377257605692</c:v>
                </c:pt>
                <c:pt idx="29">
                  <c:v>392.00377257605692</c:v>
                </c:pt>
                <c:pt idx="30">
                  <c:v>311.13253664194741</c:v>
                </c:pt>
                <c:pt idx="31">
                  <c:v>392.00377257605692</c:v>
                </c:pt>
                <c:pt idx="32">
                  <c:v>311.13253664194741</c:v>
                </c:pt>
                <c:pt idx="33">
                  <c:v>261.62956379894968</c:v>
                </c:pt>
                <c:pt idx="34">
                  <c:v>207.65481237683719</c:v>
                </c:pt>
                <c:pt idx="49">
                  <c:v>293.66975814369101</c:v>
                </c:pt>
                <c:pt idx="50">
                  <c:v>261.62956379894968</c:v>
                </c:pt>
                <c:pt idx="51">
                  <c:v>195.99987576438383</c:v>
                </c:pt>
                <c:pt idx="53">
                  <c:v>311.13253664194741</c:v>
                </c:pt>
                <c:pt idx="54">
                  <c:v>277.18710418069043</c:v>
                </c:pt>
                <c:pt idx="55">
                  <c:v>246.94521361646048</c:v>
                </c:pt>
                <c:pt idx="61">
                  <c:v>195.99987576438383</c:v>
                </c:pt>
                <c:pt idx="65">
                  <c:v>311.13253664194741</c:v>
                </c:pt>
                <c:pt idx="66">
                  <c:v>311.13253664194741</c:v>
                </c:pt>
                <c:pt idx="81">
                  <c:v>195.99987576438383</c:v>
                </c:pt>
                <c:pt idx="82">
                  <c:v>195.99987576438383</c:v>
                </c:pt>
                <c:pt idx="83">
                  <c:v>784.01558732918636</c:v>
                </c:pt>
              </c:numCache>
            </c:numRef>
          </c:yVal>
          <c:smooth val="0"/>
        </c:ser>
        <c:ser>
          <c:idx val="2"/>
          <c:order val="2"/>
          <c:tx>
            <c:v>Right Hand Harmony 3rd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Sheet3!$V$176:$V$259</c:f>
              <c:numCache>
                <c:formatCode>General</c:formatCode>
                <c:ptCount val="84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17.5</c:v>
                </c:pt>
                <c:pt idx="11">
                  <c:v>18.5</c:v>
                </c:pt>
                <c:pt idx="12">
                  <c:v>19.5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33.5</c:v>
                </c:pt>
                <c:pt idx="22">
                  <c:v>34.5</c:v>
                </c:pt>
                <c:pt idx="23">
                  <c:v>35.5</c:v>
                </c:pt>
                <c:pt idx="24">
                  <c:v>39</c:v>
                </c:pt>
                <c:pt idx="25">
                  <c:v>41.5</c:v>
                </c:pt>
                <c:pt idx="26">
                  <c:v>43.5</c:v>
                </c:pt>
                <c:pt idx="27">
                  <c:v>44.5</c:v>
                </c:pt>
                <c:pt idx="28">
                  <c:v>45.5</c:v>
                </c:pt>
                <c:pt idx="29">
                  <c:v>47</c:v>
                </c:pt>
                <c:pt idx="30">
                  <c:v>48.5</c:v>
                </c:pt>
                <c:pt idx="31">
                  <c:v>49.5</c:v>
                </c:pt>
                <c:pt idx="32">
                  <c:v>50.5</c:v>
                </c:pt>
                <c:pt idx="33">
                  <c:v>51.5</c:v>
                </c:pt>
                <c:pt idx="34">
                  <c:v>53</c:v>
                </c:pt>
                <c:pt idx="35">
                  <c:v>55</c:v>
                </c:pt>
                <c:pt idx="36">
                  <c:v>57.5</c:v>
                </c:pt>
                <c:pt idx="37">
                  <c:v>59.5</c:v>
                </c:pt>
                <c:pt idx="38">
                  <c:v>60.5</c:v>
                </c:pt>
                <c:pt idx="39">
                  <c:v>61.5</c:v>
                </c:pt>
                <c:pt idx="40">
                  <c:v>63</c:v>
                </c:pt>
                <c:pt idx="41">
                  <c:v>64.5</c:v>
                </c:pt>
                <c:pt idx="42">
                  <c:v>65.5</c:v>
                </c:pt>
                <c:pt idx="43">
                  <c:v>66.5</c:v>
                </c:pt>
                <c:pt idx="44">
                  <c:v>67.5</c:v>
                </c:pt>
                <c:pt idx="45">
                  <c:v>69</c:v>
                </c:pt>
                <c:pt idx="46">
                  <c:v>71</c:v>
                </c:pt>
                <c:pt idx="47">
                  <c:v>73</c:v>
                </c:pt>
                <c:pt idx="48">
                  <c:v>74</c:v>
                </c:pt>
                <c:pt idx="49">
                  <c:v>76</c:v>
                </c:pt>
                <c:pt idx="50">
                  <c:v>78</c:v>
                </c:pt>
                <c:pt idx="51">
                  <c:v>80</c:v>
                </c:pt>
                <c:pt idx="52">
                  <c:v>81.5</c:v>
                </c:pt>
                <c:pt idx="53">
                  <c:v>83</c:v>
                </c:pt>
                <c:pt idx="54">
                  <c:v>85</c:v>
                </c:pt>
                <c:pt idx="55">
                  <c:v>87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94</c:v>
                </c:pt>
                <c:pt idx="61">
                  <c:v>96</c:v>
                </c:pt>
                <c:pt idx="62">
                  <c:v>97.5</c:v>
                </c:pt>
                <c:pt idx="63">
                  <c:v>98.5</c:v>
                </c:pt>
                <c:pt idx="64">
                  <c:v>99.5</c:v>
                </c:pt>
                <c:pt idx="65">
                  <c:v>101</c:v>
                </c:pt>
                <c:pt idx="66">
                  <c:v>103</c:v>
                </c:pt>
                <c:pt idx="67">
                  <c:v>105</c:v>
                </c:pt>
                <c:pt idx="68">
                  <c:v>106</c:v>
                </c:pt>
                <c:pt idx="69">
                  <c:v>107</c:v>
                </c:pt>
                <c:pt idx="70">
                  <c:v>108</c:v>
                </c:pt>
                <c:pt idx="71">
                  <c:v>111.5</c:v>
                </c:pt>
                <c:pt idx="72">
                  <c:v>112.5</c:v>
                </c:pt>
                <c:pt idx="73">
                  <c:v>113.5</c:v>
                </c:pt>
                <c:pt idx="74">
                  <c:v>114.5</c:v>
                </c:pt>
                <c:pt idx="75">
                  <c:v>115.5</c:v>
                </c:pt>
                <c:pt idx="76">
                  <c:v>116.5</c:v>
                </c:pt>
                <c:pt idx="77">
                  <c:v>117.5</c:v>
                </c:pt>
                <c:pt idx="78">
                  <c:v>119</c:v>
                </c:pt>
                <c:pt idx="79">
                  <c:v>121</c:v>
                </c:pt>
                <c:pt idx="80">
                  <c:v>122</c:v>
                </c:pt>
                <c:pt idx="81">
                  <c:v>124</c:v>
                </c:pt>
                <c:pt idx="82">
                  <c:v>125.5</c:v>
                </c:pt>
                <c:pt idx="83">
                  <c:v>127</c:v>
                </c:pt>
              </c:numCache>
            </c:numRef>
          </c:xVal>
          <c:yVal>
            <c:numRef>
              <c:f>Sheet3!$AI$176:$AI$259</c:f>
              <c:numCache>
                <c:formatCode>General</c:formatCode>
                <c:ptCount val="84"/>
                <c:pt idx="2">
                  <c:v>207.65481237683719</c:v>
                </c:pt>
                <c:pt idx="3">
                  <c:v>195.99987576438383</c:v>
                </c:pt>
                <c:pt idx="4">
                  <c:v>195.99987576438383</c:v>
                </c:pt>
                <c:pt idx="7">
                  <c:v>207.65481237683719</c:v>
                </c:pt>
                <c:pt idx="8">
                  <c:v>207.65481237683719</c:v>
                </c:pt>
                <c:pt idx="9">
                  <c:v>155.56467257275574</c:v>
                </c:pt>
                <c:pt idx="13">
                  <c:v>207.65481237683719</c:v>
                </c:pt>
                <c:pt idx="14">
                  <c:v>233.08504452861115</c:v>
                </c:pt>
                <c:pt idx="20">
                  <c:v>155.56467257275574</c:v>
                </c:pt>
                <c:pt idx="49">
                  <c:v>207.65481237683719</c:v>
                </c:pt>
                <c:pt idx="50">
                  <c:v>207.65481237683719</c:v>
                </c:pt>
                <c:pt idx="51">
                  <c:v>155.56467257275574</c:v>
                </c:pt>
                <c:pt idx="53">
                  <c:v>207.65481237683719</c:v>
                </c:pt>
                <c:pt idx="54">
                  <c:v>195.99987576438383</c:v>
                </c:pt>
                <c:pt idx="55">
                  <c:v>195.99987576438383</c:v>
                </c:pt>
                <c:pt idx="61">
                  <c:v>155.56467257275574</c:v>
                </c:pt>
                <c:pt idx="65">
                  <c:v>207.65481237683719</c:v>
                </c:pt>
                <c:pt idx="66">
                  <c:v>233.08504452861115</c:v>
                </c:pt>
                <c:pt idx="81">
                  <c:v>130.81344004395982</c:v>
                </c:pt>
                <c:pt idx="82">
                  <c:v>116.54132680899107</c:v>
                </c:pt>
                <c:pt idx="83">
                  <c:v>523.26449507501752</c:v>
                </c:pt>
              </c:numCache>
            </c:numRef>
          </c:yVal>
          <c:smooth val="0"/>
        </c:ser>
        <c:ser>
          <c:idx val="3"/>
          <c:order val="3"/>
          <c:tx>
            <c:v>Left Hand</c:v>
          </c:tx>
          <c:spPr>
            <a:ln>
              <a:solidFill>
                <a:schemeClr val="accent6"/>
              </a:solidFill>
            </a:ln>
          </c:spPr>
          <c:marker>
            <c:symbol val="x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Sheet3!$AK$176:$AK$257</c:f>
              <c:numCache>
                <c:formatCode>General</c:formatCode>
                <c:ptCount val="82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17.5</c:v>
                </c:pt>
                <c:pt idx="11">
                  <c:v>18.5</c:v>
                </c:pt>
                <c:pt idx="12">
                  <c:v>19.5</c:v>
                </c:pt>
                <c:pt idx="13">
                  <c:v>21</c:v>
                </c:pt>
                <c:pt idx="14">
                  <c:v>24</c:v>
                </c:pt>
                <c:pt idx="15">
                  <c:v>25.5</c:v>
                </c:pt>
                <c:pt idx="16">
                  <c:v>26.5</c:v>
                </c:pt>
                <c:pt idx="17">
                  <c:v>27.5</c:v>
                </c:pt>
                <c:pt idx="18">
                  <c:v>29</c:v>
                </c:pt>
                <c:pt idx="19">
                  <c:v>32</c:v>
                </c:pt>
                <c:pt idx="20">
                  <c:v>33.5</c:v>
                </c:pt>
                <c:pt idx="21">
                  <c:v>34.5</c:v>
                </c:pt>
                <c:pt idx="22">
                  <c:v>35.5</c:v>
                </c:pt>
                <c:pt idx="23">
                  <c:v>39</c:v>
                </c:pt>
                <c:pt idx="24">
                  <c:v>41.5</c:v>
                </c:pt>
                <c:pt idx="25">
                  <c:v>43.5</c:v>
                </c:pt>
                <c:pt idx="26">
                  <c:v>44.5</c:v>
                </c:pt>
                <c:pt idx="27">
                  <c:v>45.5</c:v>
                </c:pt>
                <c:pt idx="28">
                  <c:v>47</c:v>
                </c:pt>
                <c:pt idx="29">
                  <c:v>48.5</c:v>
                </c:pt>
                <c:pt idx="30">
                  <c:v>49.5</c:v>
                </c:pt>
                <c:pt idx="31">
                  <c:v>50.5</c:v>
                </c:pt>
                <c:pt idx="32">
                  <c:v>51.5</c:v>
                </c:pt>
                <c:pt idx="33">
                  <c:v>53</c:v>
                </c:pt>
                <c:pt idx="34">
                  <c:v>55</c:v>
                </c:pt>
                <c:pt idx="35">
                  <c:v>57.5</c:v>
                </c:pt>
                <c:pt idx="36">
                  <c:v>59.5</c:v>
                </c:pt>
                <c:pt idx="37">
                  <c:v>60.5</c:v>
                </c:pt>
                <c:pt idx="38">
                  <c:v>61.5</c:v>
                </c:pt>
                <c:pt idx="39">
                  <c:v>63</c:v>
                </c:pt>
                <c:pt idx="40">
                  <c:v>64.5</c:v>
                </c:pt>
                <c:pt idx="41">
                  <c:v>65.5</c:v>
                </c:pt>
                <c:pt idx="42">
                  <c:v>66.5</c:v>
                </c:pt>
                <c:pt idx="43">
                  <c:v>67.5</c:v>
                </c:pt>
                <c:pt idx="44">
                  <c:v>69</c:v>
                </c:pt>
                <c:pt idx="45">
                  <c:v>72</c:v>
                </c:pt>
                <c:pt idx="46">
                  <c:v>73.5</c:v>
                </c:pt>
                <c:pt idx="47">
                  <c:v>75</c:v>
                </c:pt>
                <c:pt idx="48">
                  <c:v>77</c:v>
                </c:pt>
                <c:pt idx="49">
                  <c:v>79</c:v>
                </c:pt>
                <c:pt idx="50">
                  <c:v>81</c:v>
                </c:pt>
                <c:pt idx="51">
                  <c:v>82</c:v>
                </c:pt>
                <c:pt idx="52">
                  <c:v>84</c:v>
                </c:pt>
                <c:pt idx="53">
                  <c:v>86</c:v>
                </c:pt>
                <c:pt idx="54">
                  <c:v>88</c:v>
                </c:pt>
                <c:pt idx="55">
                  <c:v>89.5</c:v>
                </c:pt>
                <c:pt idx="56">
                  <c:v>90.5</c:v>
                </c:pt>
                <c:pt idx="57">
                  <c:v>91.5</c:v>
                </c:pt>
                <c:pt idx="58">
                  <c:v>93</c:v>
                </c:pt>
                <c:pt idx="59">
                  <c:v>96</c:v>
                </c:pt>
                <c:pt idx="60">
                  <c:v>97.5</c:v>
                </c:pt>
                <c:pt idx="61">
                  <c:v>98.5</c:v>
                </c:pt>
                <c:pt idx="62">
                  <c:v>99.5</c:v>
                </c:pt>
                <c:pt idx="63">
                  <c:v>101</c:v>
                </c:pt>
                <c:pt idx="64">
                  <c:v>104</c:v>
                </c:pt>
                <c:pt idx="65">
                  <c:v>105.5</c:v>
                </c:pt>
                <c:pt idx="66">
                  <c:v>106.5</c:v>
                </c:pt>
                <c:pt idx="67">
                  <c:v>107.5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120</c:v>
                </c:pt>
                <c:pt idx="77">
                  <c:v>121.5</c:v>
                </c:pt>
                <c:pt idx="78">
                  <c:v>123</c:v>
                </c:pt>
                <c:pt idx="79">
                  <c:v>125</c:v>
                </c:pt>
                <c:pt idx="80">
                  <c:v>126</c:v>
                </c:pt>
                <c:pt idx="81">
                  <c:v>128</c:v>
                </c:pt>
              </c:numCache>
            </c:numRef>
          </c:xVal>
          <c:yVal>
            <c:numRef>
              <c:f>Sheet3!$AN$176:$AN$257</c:f>
              <c:numCache>
                <c:formatCode>General</c:formatCode>
                <c:ptCount val="82"/>
                <c:pt idx="0">
                  <c:v>130.81344004395982</c:v>
                </c:pt>
                <c:pt idx="1">
                  <c:v>116.54132680899107</c:v>
                </c:pt>
                <c:pt idx="2">
                  <c:v>155.56467257275574</c:v>
                </c:pt>
                <c:pt idx="3">
                  <c:v>138.5921304427338</c:v>
                </c:pt>
                <c:pt idx="4">
                  <c:v>123.4713402663609</c:v>
                </c:pt>
                <c:pt idx="5">
                  <c:v>130.81344004395982</c:v>
                </c:pt>
                <c:pt idx="6">
                  <c:v>130.81344004395982</c:v>
                </c:pt>
                <c:pt idx="7">
                  <c:v>146.83337288738056</c:v>
                </c:pt>
                <c:pt idx="8">
                  <c:v>130.81344004395982</c:v>
                </c:pt>
                <c:pt idx="9">
                  <c:v>130.81344004395982</c:v>
                </c:pt>
                <c:pt idx="10">
                  <c:v>116.54132680899107</c:v>
                </c:pt>
                <c:pt idx="11">
                  <c:v>116.54132680899107</c:v>
                </c:pt>
                <c:pt idx="12">
                  <c:v>146.83337288738056</c:v>
                </c:pt>
                <c:pt idx="13">
                  <c:v>155.56467257275574</c:v>
                </c:pt>
                <c:pt idx="14">
                  <c:v>130.81344004395982</c:v>
                </c:pt>
                <c:pt idx="15">
                  <c:v>116.54132680899107</c:v>
                </c:pt>
                <c:pt idx="16">
                  <c:v>116.54132680899107</c:v>
                </c:pt>
                <c:pt idx="17">
                  <c:v>146.83337288738056</c:v>
                </c:pt>
                <c:pt idx="18">
                  <c:v>155.56467257275574</c:v>
                </c:pt>
                <c:pt idx="19">
                  <c:v>130.81344004395982</c:v>
                </c:pt>
                <c:pt idx="20">
                  <c:v>116.54132680899107</c:v>
                </c:pt>
                <c:pt idx="21">
                  <c:v>116.54132680899107</c:v>
                </c:pt>
                <c:pt idx="22">
                  <c:v>146.83337288738056</c:v>
                </c:pt>
                <c:pt idx="23">
                  <c:v>349.23506143398839</c:v>
                </c:pt>
                <c:pt idx="24">
                  <c:v>349.23506143398839</c:v>
                </c:pt>
                <c:pt idx="25">
                  <c:v>349.23506143398839</c:v>
                </c:pt>
                <c:pt idx="26">
                  <c:v>349.23506143398839</c:v>
                </c:pt>
                <c:pt idx="27">
                  <c:v>349.23506143398839</c:v>
                </c:pt>
                <c:pt idx="28">
                  <c:v>349.23506143398839</c:v>
                </c:pt>
                <c:pt idx="29">
                  <c:v>293.66975814369101</c:v>
                </c:pt>
                <c:pt idx="30">
                  <c:v>349.23506143398839</c:v>
                </c:pt>
                <c:pt idx="31">
                  <c:v>293.66975814369101</c:v>
                </c:pt>
                <c:pt idx="32">
                  <c:v>233.08504452861115</c:v>
                </c:pt>
                <c:pt idx="33">
                  <c:v>195.99987576438383</c:v>
                </c:pt>
                <c:pt idx="34">
                  <c:v>349.23506143398839</c:v>
                </c:pt>
                <c:pt idx="35">
                  <c:v>349.23506143398839</c:v>
                </c:pt>
                <c:pt idx="36">
                  <c:v>349.23506143398839</c:v>
                </c:pt>
                <c:pt idx="37">
                  <c:v>349.23506143398839</c:v>
                </c:pt>
                <c:pt idx="38">
                  <c:v>349.23506143398839</c:v>
                </c:pt>
                <c:pt idx="39">
                  <c:v>349.23506143398839</c:v>
                </c:pt>
                <c:pt idx="40">
                  <c:v>293.66975814369101</c:v>
                </c:pt>
                <c:pt idx="41">
                  <c:v>349.23506143398839</c:v>
                </c:pt>
                <c:pt idx="42">
                  <c:v>293.66975814369101</c:v>
                </c:pt>
                <c:pt idx="43">
                  <c:v>233.08504452861115</c:v>
                </c:pt>
                <c:pt idx="44">
                  <c:v>195.99987576438383</c:v>
                </c:pt>
                <c:pt idx="45">
                  <c:v>130.81344004395982</c:v>
                </c:pt>
                <c:pt idx="46">
                  <c:v>116.54132680899107</c:v>
                </c:pt>
                <c:pt idx="47">
                  <c:v>155.56467257275574</c:v>
                </c:pt>
                <c:pt idx="48">
                  <c:v>138.5921304427338</c:v>
                </c:pt>
                <c:pt idx="49">
                  <c:v>123.4713402663609</c:v>
                </c:pt>
                <c:pt idx="50">
                  <c:v>130.81344004395982</c:v>
                </c:pt>
                <c:pt idx="51">
                  <c:v>130.81344004395982</c:v>
                </c:pt>
                <c:pt idx="52">
                  <c:v>146.83337288738056</c:v>
                </c:pt>
                <c:pt idx="53">
                  <c:v>130.81344004395982</c:v>
                </c:pt>
                <c:pt idx="54">
                  <c:v>130.81344004395982</c:v>
                </c:pt>
                <c:pt idx="55">
                  <c:v>116.54132680899107</c:v>
                </c:pt>
                <c:pt idx="56">
                  <c:v>116.54132680899107</c:v>
                </c:pt>
                <c:pt idx="57">
                  <c:v>146.83337288738056</c:v>
                </c:pt>
                <c:pt idx="58">
                  <c:v>155.56467257275574</c:v>
                </c:pt>
                <c:pt idx="59">
                  <c:v>130.81344004395982</c:v>
                </c:pt>
                <c:pt idx="60">
                  <c:v>116.54132680899107</c:v>
                </c:pt>
                <c:pt idx="61">
                  <c:v>116.54132680899107</c:v>
                </c:pt>
                <c:pt idx="62">
                  <c:v>146.83337288738056</c:v>
                </c:pt>
                <c:pt idx="63">
                  <c:v>155.56467257275574</c:v>
                </c:pt>
                <c:pt idx="64">
                  <c:v>130.81344004395982</c:v>
                </c:pt>
                <c:pt idx="65">
                  <c:v>116.54132680899107</c:v>
                </c:pt>
                <c:pt idx="66">
                  <c:v>116.54132680899107</c:v>
                </c:pt>
                <c:pt idx="67">
                  <c:v>155.56467257275574</c:v>
                </c:pt>
                <c:pt idx="68">
                  <c:v>195.99987576438383</c:v>
                </c:pt>
                <c:pt idx="69">
                  <c:v>130.81344004395982</c:v>
                </c:pt>
                <c:pt idx="70">
                  <c:v>233.08504452861115</c:v>
                </c:pt>
                <c:pt idx="71">
                  <c:v>311.13253664194741</c:v>
                </c:pt>
                <c:pt idx="72">
                  <c:v>523.26449507501752</c:v>
                </c:pt>
                <c:pt idx="73">
                  <c:v>932.35930569378297</c:v>
                </c:pt>
                <c:pt idx="74">
                  <c:v>1244.5556789321308</c:v>
                </c:pt>
                <c:pt idx="75">
                  <c:v>2093.100920777717</c:v>
                </c:pt>
                <c:pt idx="76">
                  <c:v>261.62956379894968</c:v>
                </c:pt>
                <c:pt idx="77">
                  <c:v>233.08504452861115</c:v>
                </c:pt>
                <c:pt idx="78">
                  <c:v>97.998932630681253</c:v>
                </c:pt>
                <c:pt idx="79">
                  <c:v>97.998932630681253</c:v>
                </c:pt>
                <c:pt idx="80">
                  <c:v>97.998932630681253</c:v>
                </c:pt>
                <c:pt idx="81">
                  <c:v>65.406049101104529</c:v>
                </c:pt>
              </c:numCache>
            </c:numRef>
          </c:yVal>
          <c:smooth val="0"/>
        </c:ser>
        <c:ser>
          <c:idx val="4"/>
          <c:order val="4"/>
          <c:tx>
            <c:v>Left Hand Harmony</c:v>
          </c:tx>
          <c:spPr>
            <a:ln>
              <a:solidFill>
                <a:schemeClr val="accent6"/>
              </a:solidFill>
            </a:ln>
          </c:spPr>
          <c:marker>
            <c:symbol val="square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Sheet3!$AK$176:$AK$257</c:f>
              <c:numCache>
                <c:formatCode>General</c:formatCode>
                <c:ptCount val="82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17.5</c:v>
                </c:pt>
                <c:pt idx="11">
                  <c:v>18.5</c:v>
                </c:pt>
                <c:pt idx="12">
                  <c:v>19.5</c:v>
                </c:pt>
                <c:pt idx="13">
                  <c:v>21</c:v>
                </c:pt>
                <c:pt idx="14">
                  <c:v>24</c:v>
                </c:pt>
                <c:pt idx="15">
                  <c:v>25.5</c:v>
                </c:pt>
                <c:pt idx="16">
                  <c:v>26.5</c:v>
                </c:pt>
                <c:pt idx="17">
                  <c:v>27.5</c:v>
                </c:pt>
                <c:pt idx="18">
                  <c:v>29</c:v>
                </c:pt>
                <c:pt idx="19">
                  <c:v>32</c:v>
                </c:pt>
                <c:pt idx="20">
                  <c:v>33.5</c:v>
                </c:pt>
                <c:pt idx="21">
                  <c:v>34.5</c:v>
                </c:pt>
                <c:pt idx="22">
                  <c:v>35.5</c:v>
                </c:pt>
                <c:pt idx="23">
                  <c:v>39</c:v>
                </c:pt>
                <c:pt idx="24">
                  <c:v>41.5</c:v>
                </c:pt>
                <c:pt idx="25">
                  <c:v>43.5</c:v>
                </c:pt>
                <c:pt idx="26">
                  <c:v>44.5</c:v>
                </c:pt>
                <c:pt idx="27">
                  <c:v>45.5</c:v>
                </c:pt>
                <c:pt idx="28">
                  <c:v>47</c:v>
                </c:pt>
                <c:pt idx="29">
                  <c:v>48.5</c:v>
                </c:pt>
                <c:pt idx="30">
                  <c:v>49.5</c:v>
                </c:pt>
                <c:pt idx="31">
                  <c:v>50.5</c:v>
                </c:pt>
                <c:pt idx="32">
                  <c:v>51.5</c:v>
                </c:pt>
                <c:pt idx="33">
                  <c:v>53</c:v>
                </c:pt>
                <c:pt idx="34">
                  <c:v>55</c:v>
                </c:pt>
                <c:pt idx="35">
                  <c:v>57.5</c:v>
                </c:pt>
                <c:pt idx="36">
                  <c:v>59.5</c:v>
                </c:pt>
                <c:pt idx="37">
                  <c:v>60.5</c:v>
                </c:pt>
                <c:pt idx="38">
                  <c:v>61.5</c:v>
                </c:pt>
                <c:pt idx="39">
                  <c:v>63</c:v>
                </c:pt>
                <c:pt idx="40">
                  <c:v>64.5</c:v>
                </c:pt>
                <c:pt idx="41">
                  <c:v>65.5</c:v>
                </c:pt>
                <c:pt idx="42">
                  <c:v>66.5</c:v>
                </c:pt>
                <c:pt idx="43">
                  <c:v>67.5</c:v>
                </c:pt>
                <c:pt idx="44">
                  <c:v>69</c:v>
                </c:pt>
                <c:pt idx="45">
                  <c:v>72</c:v>
                </c:pt>
                <c:pt idx="46">
                  <c:v>73.5</c:v>
                </c:pt>
                <c:pt idx="47">
                  <c:v>75</c:v>
                </c:pt>
                <c:pt idx="48">
                  <c:v>77</c:v>
                </c:pt>
                <c:pt idx="49">
                  <c:v>79</c:v>
                </c:pt>
                <c:pt idx="50">
                  <c:v>81</c:v>
                </c:pt>
                <c:pt idx="51">
                  <c:v>82</c:v>
                </c:pt>
                <c:pt idx="52">
                  <c:v>84</c:v>
                </c:pt>
                <c:pt idx="53">
                  <c:v>86</c:v>
                </c:pt>
                <c:pt idx="54">
                  <c:v>88</c:v>
                </c:pt>
                <c:pt idx="55">
                  <c:v>89.5</c:v>
                </c:pt>
                <c:pt idx="56">
                  <c:v>90.5</c:v>
                </c:pt>
                <c:pt idx="57">
                  <c:v>91.5</c:v>
                </c:pt>
                <c:pt idx="58">
                  <c:v>93</c:v>
                </c:pt>
                <c:pt idx="59">
                  <c:v>96</c:v>
                </c:pt>
                <c:pt idx="60">
                  <c:v>97.5</c:v>
                </c:pt>
                <c:pt idx="61">
                  <c:v>98.5</c:v>
                </c:pt>
                <c:pt idx="62">
                  <c:v>99.5</c:v>
                </c:pt>
                <c:pt idx="63">
                  <c:v>101</c:v>
                </c:pt>
                <c:pt idx="64">
                  <c:v>104</c:v>
                </c:pt>
                <c:pt idx="65">
                  <c:v>105.5</c:v>
                </c:pt>
                <c:pt idx="66">
                  <c:v>106.5</c:v>
                </c:pt>
                <c:pt idx="67">
                  <c:v>107.5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120</c:v>
                </c:pt>
                <c:pt idx="77">
                  <c:v>121.5</c:v>
                </c:pt>
                <c:pt idx="78">
                  <c:v>123</c:v>
                </c:pt>
                <c:pt idx="79">
                  <c:v>125</c:v>
                </c:pt>
                <c:pt idx="80">
                  <c:v>126</c:v>
                </c:pt>
                <c:pt idx="81">
                  <c:v>128</c:v>
                </c:pt>
              </c:numCache>
            </c:numRef>
          </c:xVal>
          <c:yVal>
            <c:numRef>
              <c:f>Sheet3!$AS$176:$AS$257</c:f>
              <c:numCache>
                <c:formatCode>General</c:formatCode>
                <c:ptCount val="82"/>
                <c:pt idx="2">
                  <c:v>87.306974197808145</c:v>
                </c:pt>
                <c:pt idx="3">
                  <c:v>77.781538420453217</c:v>
                </c:pt>
                <c:pt idx="4">
                  <c:v>97.998932630681253</c:v>
                </c:pt>
                <c:pt idx="7">
                  <c:v>116.54132680899107</c:v>
                </c:pt>
                <c:pt idx="8">
                  <c:v>103.82634116063208</c:v>
                </c:pt>
                <c:pt idx="9">
                  <c:v>65.406049101104529</c:v>
                </c:pt>
                <c:pt idx="13">
                  <c:v>87.306974197808145</c:v>
                </c:pt>
                <c:pt idx="14">
                  <c:v>69.295354404852617</c:v>
                </c:pt>
                <c:pt idx="18">
                  <c:v>87.306974197808145</c:v>
                </c:pt>
                <c:pt idx="19">
                  <c:v>65.406049101104529</c:v>
                </c:pt>
                <c:pt idx="23">
                  <c:v>174.61573954711864</c:v>
                </c:pt>
                <c:pt idx="24">
                  <c:v>174.61573954711864</c:v>
                </c:pt>
                <c:pt idx="25">
                  <c:v>174.61573954711864</c:v>
                </c:pt>
                <c:pt idx="26">
                  <c:v>174.61573954711864</c:v>
                </c:pt>
                <c:pt idx="27">
                  <c:v>174.61573954711864</c:v>
                </c:pt>
                <c:pt idx="28">
                  <c:v>174.61573954711864</c:v>
                </c:pt>
                <c:pt idx="29">
                  <c:v>146.83337288738056</c:v>
                </c:pt>
                <c:pt idx="30">
                  <c:v>174.61573954711864</c:v>
                </c:pt>
                <c:pt idx="31">
                  <c:v>146.83337288738056</c:v>
                </c:pt>
                <c:pt idx="32">
                  <c:v>116.54132680899107</c:v>
                </c:pt>
                <c:pt idx="47">
                  <c:v>87.306974197808145</c:v>
                </c:pt>
                <c:pt idx="48">
                  <c:v>77.781538420453217</c:v>
                </c:pt>
                <c:pt idx="49">
                  <c:v>97.998932630681253</c:v>
                </c:pt>
                <c:pt idx="52">
                  <c:v>116.54132680899107</c:v>
                </c:pt>
                <c:pt idx="53">
                  <c:v>103.82634116063208</c:v>
                </c:pt>
                <c:pt idx="54">
                  <c:v>65.406049101104529</c:v>
                </c:pt>
                <c:pt idx="58">
                  <c:v>87.306974197808145</c:v>
                </c:pt>
                <c:pt idx="59">
                  <c:v>69.295354404852617</c:v>
                </c:pt>
                <c:pt idx="63">
                  <c:v>87.306974197808145</c:v>
                </c:pt>
                <c:pt idx="64">
                  <c:v>65.406049101104529</c:v>
                </c:pt>
                <c:pt idx="76">
                  <c:v>130.81344004395982</c:v>
                </c:pt>
                <c:pt idx="77">
                  <c:v>116.54132680899107</c:v>
                </c:pt>
                <c:pt idx="78">
                  <c:v>65.406049101104529</c:v>
                </c:pt>
                <c:pt idx="79">
                  <c:v>65.406049101104529</c:v>
                </c:pt>
                <c:pt idx="80">
                  <c:v>65.406049101104529</c:v>
                </c:pt>
                <c:pt idx="81">
                  <c:v>32.702689093555627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5712"/>
        <c:axId val="57556288"/>
      </c:scatterChart>
      <c:valAx>
        <c:axId val="5755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56288"/>
        <c:crosses val="autoZero"/>
        <c:crossBetween val="midCat"/>
      </c:valAx>
      <c:valAx>
        <c:axId val="57556288"/>
        <c:scaling>
          <c:logBase val="10"/>
          <c:orientation val="minMax"/>
          <c:max val="4000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55712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9586369718491099"/>
          <c:y val="0.29912060872198698"/>
          <c:w val="9.4332381246461802E-2"/>
          <c:h val="0.44791262870987297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1/4 of All Notes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755611990964596E-2"/>
          <c:y val="0.168421052631579"/>
          <c:w val="0.78397797317474704"/>
          <c:h val="0.61588734100545095"/>
        </c:manualLayout>
      </c:layout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Sheet3!$V$264:$V$305</c:f>
              <c:numCache>
                <c:formatCode>General</c:formatCode>
                <c:ptCount val="42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17.5</c:v>
                </c:pt>
                <c:pt idx="6">
                  <c:v>19.5</c:v>
                </c:pt>
                <c:pt idx="7">
                  <c:v>23</c:v>
                </c:pt>
                <c:pt idx="8">
                  <c:v>26</c:v>
                </c:pt>
                <c:pt idx="9">
                  <c:v>28</c:v>
                </c:pt>
                <c:pt idx="10">
                  <c:v>32</c:v>
                </c:pt>
                <c:pt idx="11">
                  <c:v>34.5</c:v>
                </c:pt>
                <c:pt idx="12">
                  <c:v>39</c:v>
                </c:pt>
                <c:pt idx="13">
                  <c:v>43.5</c:v>
                </c:pt>
                <c:pt idx="14">
                  <c:v>45.5</c:v>
                </c:pt>
                <c:pt idx="15">
                  <c:v>48.5</c:v>
                </c:pt>
                <c:pt idx="16">
                  <c:v>50.5</c:v>
                </c:pt>
                <c:pt idx="17">
                  <c:v>53</c:v>
                </c:pt>
                <c:pt idx="18">
                  <c:v>57.5</c:v>
                </c:pt>
                <c:pt idx="19">
                  <c:v>60.5</c:v>
                </c:pt>
                <c:pt idx="20">
                  <c:v>63</c:v>
                </c:pt>
                <c:pt idx="21">
                  <c:v>65.5</c:v>
                </c:pt>
                <c:pt idx="22">
                  <c:v>67.5</c:v>
                </c:pt>
                <c:pt idx="23">
                  <c:v>71</c:v>
                </c:pt>
                <c:pt idx="24">
                  <c:v>74</c:v>
                </c:pt>
                <c:pt idx="25">
                  <c:v>78</c:v>
                </c:pt>
                <c:pt idx="26">
                  <c:v>81.5</c:v>
                </c:pt>
                <c:pt idx="27">
                  <c:v>85</c:v>
                </c:pt>
                <c:pt idx="28">
                  <c:v>89</c:v>
                </c:pt>
                <c:pt idx="29">
                  <c:v>91</c:v>
                </c:pt>
                <c:pt idx="30">
                  <c:v>94</c:v>
                </c:pt>
                <c:pt idx="31">
                  <c:v>97.5</c:v>
                </c:pt>
                <c:pt idx="32">
                  <c:v>99.5</c:v>
                </c:pt>
                <c:pt idx="33">
                  <c:v>103</c:v>
                </c:pt>
                <c:pt idx="34">
                  <c:v>106</c:v>
                </c:pt>
                <c:pt idx="35">
                  <c:v>108</c:v>
                </c:pt>
                <c:pt idx="36">
                  <c:v>112.5</c:v>
                </c:pt>
                <c:pt idx="37">
                  <c:v>114.5</c:v>
                </c:pt>
                <c:pt idx="38">
                  <c:v>116.5</c:v>
                </c:pt>
                <c:pt idx="39">
                  <c:v>119</c:v>
                </c:pt>
                <c:pt idx="40">
                  <c:v>122</c:v>
                </c:pt>
                <c:pt idx="41">
                  <c:v>125.5</c:v>
                </c:pt>
              </c:numCache>
            </c:numRef>
          </c:xVal>
          <c:yVal>
            <c:numRef>
              <c:f>Sheet3!$Y$264:$Y$305</c:f>
              <c:numCache>
                <c:formatCode>General</c:formatCode>
                <c:ptCount val="42"/>
                <c:pt idx="0">
                  <c:v>261.62956379894968</c:v>
                </c:pt>
                <c:pt idx="1">
                  <c:v>392.00377257605692</c:v>
                </c:pt>
                <c:pt idx="2">
                  <c:v>293.66975814369101</c:v>
                </c:pt>
                <c:pt idx="3">
                  <c:v>261.62956379894968</c:v>
                </c:pt>
                <c:pt idx="4">
                  <c:v>311.13253664194741</c:v>
                </c:pt>
                <c:pt idx="5">
                  <c:v>233.08504452861115</c:v>
                </c:pt>
                <c:pt idx="6">
                  <c:v>293.66975814369101</c:v>
                </c:pt>
                <c:pt idx="7">
                  <c:v>392.00377257605692</c:v>
                </c:pt>
                <c:pt idx="8">
                  <c:v>261.62956379894968</c:v>
                </c:pt>
                <c:pt idx="9">
                  <c:v>311.13253664194741</c:v>
                </c:pt>
                <c:pt idx="10">
                  <c:v>261.62956379894968</c:v>
                </c:pt>
                <c:pt idx="11">
                  <c:v>233.08504452861115</c:v>
                </c:pt>
                <c:pt idx="12">
                  <c:v>784.01558732918636</c:v>
                </c:pt>
                <c:pt idx="13">
                  <c:v>784.01558732918636</c:v>
                </c:pt>
                <c:pt idx="14">
                  <c:v>784.01558732918636</c:v>
                </c:pt>
                <c:pt idx="15">
                  <c:v>622.27145634224212</c:v>
                </c:pt>
                <c:pt idx="16">
                  <c:v>622.27145634224212</c:v>
                </c:pt>
                <c:pt idx="17">
                  <c:v>415.31388490851958</c:v>
                </c:pt>
                <c:pt idx="18">
                  <c:v>392.00377257605692</c:v>
                </c:pt>
                <c:pt idx="19">
                  <c:v>392.00377257605692</c:v>
                </c:pt>
                <c:pt idx="20">
                  <c:v>392.00377257605692</c:v>
                </c:pt>
                <c:pt idx="21">
                  <c:v>392.00377257605692</c:v>
                </c:pt>
                <c:pt idx="22">
                  <c:v>261.62956379894968</c:v>
                </c:pt>
                <c:pt idx="23">
                  <c:v>293.66975814369101</c:v>
                </c:pt>
                <c:pt idx="24">
                  <c:v>261.62956379894968</c:v>
                </c:pt>
                <c:pt idx="25">
                  <c:v>311.13253664194741</c:v>
                </c:pt>
                <c:pt idx="26">
                  <c:v>233.08504452861115</c:v>
                </c:pt>
                <c:pt idx="27">
                  <c:v>349.23506143398839</c:v>
                </c:pt>
                <c:pt idx="28">
                  <c:v>261.62956379894968</c:v>
                </c:pt>
                <c:pt idx="29">
                  <c:v>261.62956379894968</c:v>
                </c:pt>
                <c:pt idx="30">
                  <c:v>220.00279814001337</c:v>
                </c:pt>
                <c:pt idx="31">
                  <c:v>233.08504452861115</c:v>
                </c:pt>
                <c:pt idx="32">
                  <c:v>293.66975814369101</c:v>
                </c:pt>
                <c:pt idx="33">
                  <c:v>392.00377257605692</c:v>
                </c:pt>
                <c:pt idx="34">
                  <c:v>261.62956379894968</c:v>
                </c:pt>
                <c:pt idx="35">
                  <c:v>466.17487092753117</c:v>
                </c:pt>
                <c:pt idx="36">
                  <c:v>311.13253664194741</c:v>
                </c:pt>
                <c:pt idx="37">
                  <c:v>932.35930569378297</c:v>
                </c:pt>
                <c:pt idx="38">
                  <c:v>2093.100920777717</c:v>
                </c:pt>
                <c:pt idx="39">
                  <c:v>523.26449507501752</c:v>
                </c:pt>
                <c:pt idx="40">
                  <c:v>523.26449507501752</c:v>
                </c:pt>
                <c:pt idx="41">
                  <c:v>233.08504452861115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Sheet3!$V$264:$V$305</c:f>
              <c:numCache>
                <c:formatCode>General</c:formatCode>
                <c:ptCount val="42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17.5</c:v>
                </c:pt>
                <c:pt idx="6">
                  <c:v>19.5</c:v>
                </c:pt>
                <c:pt idx="7">
                  <c:v>23</c:v>
                </c:pt>
                <c:pt idx="8">
                  <c:v>26</c:v>
                </c:pt>
                <c:pt idx="9">
                  <c:v>28</c:v>
                </c:pt>
                <c:pt idx="10">
                  <c:v>32</c:v>
                </c:pt>
                <c:pt idx="11">
                  <c:v>34.5</c:v>
                </c:pt>
                <c:pt idx="12">
                  <c:v>39</c:v>
                </c:pt>
                <c:pt idx="13">
                  <c:v>43.5</c:v>
                </c:pt>
                <c:pt idx="14">
                  <c:v>45.5</c:v>
                </c:pt>
                <c:pt idx="15">
                  <c:v>48.5</c:v>
                </c:pt>
                <c:pt idx="16">
                  <c:v>50.5</c:v>
                </c:pt>
                <c:pt idx="17">
                  <c:v>53</c:v>
                </c:pt>
                <c:pt idx="18">
                  <c:v>57.5</c:v>
                </c:pt>
                <c:pt idx="19">
                  <c:v>60.5</c:v>
                </c:pt>
                <c:pt idx="20">
                  <c:v>63</c:v>
                </c:pt>
                <c:pt idx="21">
                  <c:v>65.5</c:v>
                </c:pt>
                <c:pt idx="22">
                  <c:v>67.5</c:v>
                </c:pt>
                <c:pt idx="23">
                  <c:v>71</c:v>
                </c:pt>
                <c:pt idx="24">
                  <c:v>74</c:v>
                </c:pt>
                <c:pt idx="25">
                  <c:v>78</c:v>
                </c:pt>
                <c:pt idx="26">
                  <c:v>81.5</c:v>
                </c:pt>
                <c:pt idx="27">
                  <c:v>85</c:v>
                </c:pt>
                <c:pt idx="28">
                  <c:v>89</c:v>
                </c:pt>
                <c:pt idx="29">
                  <c:v>91</c:v>
                </c:pt>
                <c:pt idx="30">
                  <c:v>94</c:v>
                </c:pt>
                <c:pt idx="31">
                  <c:v>97.5</c:v>
                </c:pt>
                <c:pt idx="32">
                  <c:v>99.5</c:v>
                </c:pt>
                <c:pt idx="33">
                  <c:v>103</c:v>
                </c:pt>
                <c:pt idx="34">
                  <c:v>106</c:v>
                </c:pt>
                <c:pt idx="35">
                  <c:v>108</c:v>
                </c:pt>
                <c:pt idx="36">
                  <c:v>112.5</c:v>
                </c:pt>
                <c:pt idx="37">
                  <c:v>114.5</c:v>
                </c:pt>
                <c:pt idx="38">
                  <c:v>116.5</c:v>
                </c:pt>
                <c:pt idx="39">
                  <c:v>119</c:v>
                </c:pt>
                <c:pt idx="40">
                  <c:v>122</c:v>
                </c:pt>
                <c:pt idx="41">
                  <c:v>125.5</c:v>
                </c:pt>
              </c:numCache>
            </c:numRef>
          </c:xVal>
          <c:yVal>
            <c:numRef>
              <c:f>Sheet3!$AD$264:$AD$305</c:f>
              <c:numCache>
                <c:formatCode>General</c:formatCode>
                <c:ptCount val="42"/>
                <c:pt idx="1">
                  <c:v>311.13253664194741</c:v>
                </c:pt>
                <c:pt idx="2">
                  <c:v>246.94521361646048</c:v>
                </c:pt>
                <c:pt idx="4">
                  <c:v>261.62956379894968</c:v>
                </c:pt>
                <c:pt idx="7">
                  <c:v>311.13253664194741</c:v>
                </c:pt>
                <c:pt idx="10">
                  <c:v>195.99987576438383</c:v>
                </c:pt>
                <c:pt idx="12">
                  <c:v>392.00377257605692</c:v>
                </c:pt>
                <c:pt idx="13">
                  <c:v>392.00377257605692</c:v>
                </c:pt>
                <c:pt idx="14">
                  <c:v>392.00377257605692</c:v>
                </c:pt>
                <c:pt idx="15">
                  <c:v>311.13253664194741</c:v>
                </c:pt>
                <c:pt idx="16">
                  <c:v>311.13253664194741</c:v>
                </c:pt>
                <c:pt idx="17">
                  <c:v>207.65481237683719</c:v>
                </c:pt>
                <c:pt idx="25">
                  <c:v>261.62956379894968</c:v>
                </c:pt>
                <c:pt idx="27">
                  <c:v>277.18710418069043</c:v>
                </c:pt>
                <c:pt idx="33">
                  <c:v>311.13253664194741</c:v>
                </c:pt>
                <c:pt idx="41">
                  <c:v>195.99987576438383</c:v>
                </c:pt>
              </c:numCache>
            </c:numRef>
          </c:yVal>
          <c:smooth val="0"/>
        </c:ser>
        <c:ser>
          <c:idx val="2"/>
          <c:order val="2"/>
          <c:tx>
            <c:v>Right Hand Harmony 3rd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Sheet3!$V$264:$V$305</c:f>
              <c:numCache>
                <c:formatCode>General</c:formatCode>
                <c:ptCount val="42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17.5</c:v>
                </c:pt>
                <c:pt idx="6">
                  <c:v>19.5</c:v>
                </c:pt>
                <c:pt idx="7">
                  <c:v>23</c:v>
                </c:pt>
                <c:pt idx="8">
                  <c:v>26</c:v>
                </c:pt>
                <c:pt idx="9">
                  <c:v>28</c:v>
                </c:pt>
                <c:pt idx="10">
                  <c:v>32</c:v>
                </c:pt>
                <c:pt idx="11">
                  <c:v>34.5</c:v>
                </c:pt>
                <c:pt idx="12">
                  <c:v>39</c:v>
                </c:pt>
                <c:pt idx="13">
                  <c:v>43.5</c:v>
                </c:pt>
                <c:pt idx="14">
                  <c:v>45.5</c:v>
                </c:pt>
                <c:pt idx="15">
                  <c:v>48.5</c:v>
                </c:pt>
                <c:pt idx="16">
                  <c:v>50.5</c:v>
                </c:pt>
                <c:pt idx="17">
                  <c:v>53</c:v>
                </c:pt>
                <c:pt idx="18">
                  <c:v>57.5</c:v>
                </c:pt>
                <c:pt idx="19">
                  <c:v>60.5</c:v>
                </c:pt>
                <c:pt idx="20">
                  <c:v>63</c:v>
                </c:pt>
                <c:pt idx="21">
                  <c:v>65.5</c:v>
                </c:pt>
                <c:pt idx="22">
                  <c:v>67.5</c:v>
                </c:pt>
                <c:pt idx="23">
                  <c:v>71</c:v>
                </c:pt>
                <c:pt idx="24">
                  <c:v>74</c:v>
                </c:pt>
                <c:pt idx="25">
                  <c:v>78</c:v>
                </c:pt>
                <c:pt idx="26">
                  <c:v>81.5</c:v>
                </c:pt>
                <c:pt idx="27">
                  <c:v>85</c:v>
                </c:pt>
                <c:pt idx="28">
                  <c:v>89</c:v>
                </c:pt>
                <c:pt idx="29">
                  <c:v>91</c:v>
                </c:pt>
                <c:pt idx="30">
                  <c:v>94</c:v>
                </c:pt>
                <c:pt idx="31">
                  <c:v>97.5</c:v>
                </c:pt>
                <c:pt idx="32">
                  <c:v>99.5</c:v>
                </c:pt>
                <c:pt idx="33">
                  <c:v>103</c:v>
                </c:pt>
                <c:pt idx="34">
                  <c:v>106</c:v>
                </c:pt>
                <c:pt idx="35">
                  <c:v>108</c:v>
                </c:pt>
                <c:pt idx="36">
                  <c:v>112.5</c:v>
                </c:pt>
                <c:pt idx="37">
                  <c:v>114.5</c:v>
                </c:pt>
                <c:pt idx="38">
                  <c:v>116.5</c:v>
                </c:pt>
                <c:pt idx="39">
                  <c:v>119</c:v>
                </c:pt>
                <c:pt idx="40">
                  <c:v>122</c:v>
                </c:pt>
                <c:pt idx="41">
                  <c:v>125.5</c:v>
                </c:pt>
              </c:numCache>
            </c:numRef>
          </c:xVal>
          <c:yVal>
            <c:numRef>
              <c:f>Sheet3!$AI$264:$AI$305</c:f>
              <c:numCache>
                <c:formatCode>General</c:formatCode>
                <c:ptCount val="42"/>
                <c:pt idx="1">
                  <c:v>207.65481237683719</c:v>
                </c:pt>
                <c:pt idx="2">
                  <c:v>195.99987576438383</c:v>
                </c:pt>
                <c:pt idx="4">
                  <c:v>207.65481237683719</c:v>
                </c:pt>
                <c:pt idx="7">
                  <c:v>233.08504452861115</c:v>
                </c:pt>
                <c:pt idx="10">
                  <c:v>155.56467257275574</c:v>
                </c:pt>
                <c:pt idx="25">
                  <c:v>207.65481237683719</c:v>
                </c:pt>
                <c:pt idx="27">
                  <c:v>195.99987576438383</c:v>
                </c:pt>
                <c:pt idx="33">
                  <c:v>233.08504452861115</c:v>
                </c:pt>
                <c:pt idx="41">
                  <c:v>116.54132680899107</c:v>
                </c:pt>
              </c:numCache>
            </c:numRef>
          </c:yVal>
          <c:smooth val="0"/>
        </c:ser>
        <c:ser>
          <c:idx val="3"/>
          <c:order val="3"/>
          <c:tx>
            <c:v>Left Hand</c:v>
          </c:tx>
          <c:spPr>
            <a:ln>
              <a:solidFill>
                <a:schemeClr val="accent6"/>
              </a:solidFill>
            </a:ln>
          </c:spPr>
          <c:marker>
            <c:symbol val="x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Sheet3!$AK$264:$AK$304</c:f>
              <c:numCache>
                <c:formatCode>General</c:formatCode>
                <c:ptCount val="41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17.5</c:v>
                </c:pt>
                <c:pt idx="6">
                  <c:v>19.5</c:v>
                </c:pt>
                <c:pt idx="7">
                  <c:v>24</c:v>
                </c:pt>
                <c:pt idx="8">
                  <c:v>26.5</c:v>
                </c:pt>
                <c:pt idx="9">
                  <c:v>29</c:v>
                </c:pt>
                <c:pt idx="10">
                  <c:v>33.5</c:v>
                </c:pt>
                <c:pt idx="11">
                  <c:v>35.5</c:v>
                </c:pt>
                <c:pt idx="12">
                  <c:v>41.5</c:v>
                </c:pt>
                <c:pt idx="13">
                  <c:v>44.5</c:v>
                </c:pt>
                <c:pt idx="14">
                  <c:v>47</c:v>
                </c:pt>
                <c:pt idx="15">
                  <c:v>49.5</c:v>
                </c:pt>
                <c:pt idx="16">
                  <c:v>51.5</c:v>
                </c:pt>
                <c:pt idx="17">
                  <c:v>55</c:v>
                </c:pt>
                <c:pt idx="18">
                  <c:v>59.5</c:v>
                </c:pt>
                <c:pt idx="19">
                  <c:v>61.5</c:v>
                </c:pt>
                <c:pt idx="20">
                  <c:v>64.5</c:v>
                </c:pt>
                <c:pt idx="21">
                  <c:v>66.5</c:v>
                </c:pt>
                <c:pt idx="22">
                  <c:v>69</c:v>
                </c:pt>
                <c:pt idx="23">
                  <c:v>73.5</c:v>
                </c:pt>
                <c:pt idx="24">
                  <c:v>77</c:v>
                </c:pt>
                <c:pt idx="25">
                  <c:v>81</c:v>
                </c:pt>
                <c:pt idx="26">
                  <c:v>84</c:v>
                </c:pt>
                <c:pt idx="27">
                  <c:v>88</c:v>
                </c:pt>
                <c:pt idx="28">
                  <c:v>90.5</c:v>
                </c:pt>
                <c:pt idx="29">
                  <c:v>93</c:v>
                </c:pt>
                <c:pt idx="30">
                  <c:v>97.5</c:v>
                </c:pt>
                <c:pt idx="31">
                  <c:v>99.5</c:v>
                </c:pt>
                <c:pt idx="32">
                  <c:v>104</c:v>
                </c:pt>
                <c:pt idx="33">
                  <c:v>106.5</c:v>
                </c:pt>
                <c:pt idx="34">
                  <c:v>111</c:v>
                </c:pt>
                <c:pt idx="35">
                  <c:v>113</c:v>
                </c:pt>
                <c:pt idx="36">
                  <c:v>115</c:v>
                </c:pt>
                <c:pt idx="37">
                  <c:v>117</c:v>
                </c:pt>
                <c:pt idx="38">
                  <c:v>120</c:v>
                </c:pt>
                <c:pt idx="39">
                  <c:v>123</c:v>
                </c:pt>
                <c:pt idx="40">
                  <c:v>126</c:v>
                </c:pt>
              </c:numCache>
            </c:numRef>
          </c:xVal>
          <c:yVal>
            <c:numRef>
              <c:f>Sheet3!$AN$264:$AN$304</c:f>
              <c:numCache>
                <c:formatCode>General</c:formatCode>
                <c:ptCount val="41"/>
                <c:pt idx="0">
                  <c:v>130.81344004395982</c:v>
                </c:pt>
                <c:pt idx="1">
                  <c:v>155.56467257275574</c:v>
                </c:pt>
                <c:pt idx="2">
                  <c:v>123.4713402663609</c:v>
                </c:pt>
                <c:pt idx="3">
                  <c:v>130.81344004395982</c:v>
                </c:pt>
                <c:pt idx="4">
                  <c:v>130.81344004395982</c:v>
                </c:pt>
                <c:pt idx="5">
                  <c:v>116.54132680899107</c:v>
                </c:pt>
                <c:pt idx="6">
                  <c:v>146.83337288738056</c:v>
                </c:pt>
                <c:pt idx="7">
                  <c:v>130.81344004395982</c:v>
                </c:pt>
                <c:pt idx="8">
                  <c:v>116.54132680899107</c:v>
                </c:pt>
                <c:pt idx="9">
                  <c:v>155.56467257275574</c:v>
                </c:pt>
                <c:pt idx="10">
                  <c:v>116.54132680899107</c:v>
                </c:pt>
                <c:pt idx="11">
                  <c:v>146.83337288738056</c:v>
                </c:pt>
                <c:pt idx="12">
                  <c:v>349.23506143398839</c:v>
                </c:pt>
                <c:pt idx="13">
                  <c:v>349.23506143398839</c:v>
                </c:pt>
                <c:pt idx="14">
                  <c:v>349.23506143398839</c:v>
                </c:pt>
                <c:pt idx="15">
                  <c:v>349.23506143398839</c:v>
                </c:pt>
                <c:pt idx="16">
                  <c:v>233.08504452861115</c:v>
                </c:pt>
                <c:pt idx="17">
                  <c:v>349.23506143398839</c:v>
                </c:pt>
                <c:pt idx="18">
                  <c:v>349.23506143398839</c:v>
                </c:pt>
                <c:pt idx="19">
                  <c:v>349.23506143398839</c:v>
                </c:pt>
                <c:pt idx="20">
                  <c:v>293.66975814369101</c:v>
                </c:pt>
                <c:pt idx="21">
                  <c:v>293.66975814369101</c:v>
                </c:pt>
                <c:pt idx="22">
                  <c:v>195.99987576438383</c:v>
                </c:pt>
                <c:pt idx="23">
                  <c:v>116.54132680899107</c:v>
                </c:pt>
                <c:pt idx="24">
                  <c:v>138.5921304427338</c:v>
                </c:pt>
                <c:pt idx="25">
                  <c:v>130.81344004395982</c:v>
                </c:pt>
                <c:pt idx="26">
                  <c:v>146.83337288738056</c:v>
                </c:pt>
                <c:pt idx="27">
                  <c:v>130.81344004395982</c:v>
                </c:pt>
                <c:pt idx="28">
                  <c:v>116.54132680899107</c:v>
                </c:pt>
                <c:pt idx="29">
                  <c:v>155.56467257275574</c:v>
                </c:pt>
                <c:pt idx="30">
                  <c:v>116.54132680899107</c:v>
                </c:pt>
                <c:pt idx="31">
                  <c:v>146.83337288738056</c:v>
                </c:pt>
                <c:pt idx="32">
                  <c:v>130.81344004395982</c:v>
                </c:pt>
                <c:pt idx="33">
                  <c:v>116.54132680899107</c:v>
                </c:pt>
                <c:pt idx="34">
                  <c:v>195.99987576438383</c:v>
                </c:pt>
                <c:pt idx="35">
                  <c:v>233.08504452861115</c:v>
                </c:pt>
                <c:pt idx="36">
                  <c:v>523.26449507501752</c:v>
                </c:pt>
                <c:pt idx="37">
                  <c:v>1244.5556789321308</c:v>
                </c:pt>
                <c:pt idx="38">
                  <c:v>261.62956379894968</c:v>
                </c:pt>
                <c:pt idx="39">
                  <c:v>97.998932630681253</c:v>
                </c:pt>
                <c:pt idx="40">
                  <c:v>97.998932630681253</c:v>
                </c:pt>
              </c:numCache>
            </c:numRef>
          </c:yVal>
          <c:smooth val="0"/>
        </c:ser>
        <c:ser>
          <c:idx val="4"/>
          <c:order val="4"/>
          <c:tx>
            <c:v>Left Hand Harmony</c:v>
          </c:tx>
          <c:spPr>
            <a:ln>
              <a:solidFill>
                <a:schemeClr val="accent6"/>
              </a:solidFill>
            </a:ln>
          </c:spPr>
          <c:marker>
            <c:symbol val="square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Sheet3!$AK$176:$AK$257</c:f>
              <c:numCache>
                <c:formatCode>General</c:formatCode>
                <c:ptCount val="82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17.5</c:v>
                </c:pt>
                <c:pt idx="11">
                  <c:v>18.5</c:v>
                </c:pt>
                <c:pt idx="12">
                  <c:v>19.5</c:v>
                </c:pt>
                <c:pt idx="13">
                  <c:v>21</c:v>
                </c:pt>
                <c:pt idx="14">
                  <c:v>24</c:v>
                </c:pt>
                <c:pt idx="15">
                  <c:v>25.5</c:v>
                </c:pt>
                <c:pt idx="16">
                  <c:v>26.5</c:v>
                </c:pt>
                <c:pt idx="17">
                  <c:v>27.5</c:v>
                </c:pt>
                <c:pt idx="18">
                  <c:v>29</c:v>
                </c:pt>
                <c:pt idx="19">
                  <c:v>32</c:v>
                </c:pt>
                <c:pt idx="20">
                  <c:v>33.5</c:v>
                </c:pt>
                <c:pt idx="21">
                  <c:v>34.5</c:v>
                </c:pt>
                <c:pt idx="22">
                  <c:v>35.5</c:v>
                </c:pt>
                <c:pt idx="23">
                  <c:v>39</c:v>
                </c:pt>
                <c:pt idx="24">
                  <c:v>41.5</c:v>
                </c:pt>
                <c:pt idx="25">
                  <c:v>43.5</c:v>
                </c:pt>
                <c:pt idx="26">
                  <c:v>44.5</c:v>
                </c:pt>
                <c:pt idx="27">
                  <c:v>45.5</c:v>
                </c:pt>
                <c:pt idx="28">
                  <c:v>47</c:v>
                </c:pt>
                <c:pt idx="29">
                  <c:v>48.5</c:v>
                </c:pt>
                <c:pt idx="30">
                  <c:v>49.5</c:v>
                </c:pt>
                <c:pt idx="31">
                  <c:v>50.5</c:v>
                </c:pt>
                <c:pt idx="32">
                  <c:v>51.5</c:v>
                </c:pt>
                <c:pt idx="33">
                  <c:v>53</c:v>
                </c:pt>
                <c:pt idx="34">
                  <c:v>55</c:v>
                </c:pt>
                <c:pt idx="35">
                  <c:v>57.5</c:v>
                </c:pt>
                <c:pt idx="36">
                  <c:v>59.5</c:v>
                </c:pt>
                <c:pt idx="37">
                  <c:v>60.5</c:v>
                </c:pt>
                <c:pt idx="38">
                  <c:v>61.5</c:v>
                </c:pt>
                <c:pt idx="39">
                  <c:v>63</c:v>
                </c:pt>
                <c:pt idx="40">
                  <c:v>64.5</c:v>
                </c:pt>
                <c:pt idx="41">
                  <c:v>65.5</c:v>
                </c:pt>
                <c:pt idx="42">
                  <c:v>66.5</c:v>
                </c:pt>
                <c:pt idx="43">
                  <c:v>67.5</c:v>
                </c:pt>
                <c:pt idx="44">
                  <c:v>69</c:v>
                </c:pt>
                <c:pt idx="45">
                  <c:v>72</c:v>
                </c:pt>
                <c:pt idx="46">
                  <c:v>73.5</c:v>
                </c:pt>
                <c:pt idx="47">
                  <c:v>75</c:v>
                </c:pt>
                <c:pt idx="48">
                  <c:v>77</c:v>
                </c:pt>
                <c:pt idx="49">
                  <c:v>79</c:v>
                </c:pt>
                <c:pt idx="50">
                  <c:v>81</c:v>
                </c:pt>
                <c:pt idx="51">
                  <c:v>82</c:v>
                </c:pt>
                <c:pt idx="52">
                  <c:v>84</c:v>
                </c:pt>
                <c:pt idx="53">
                  <c:v>86</c:v>
                </c:pt>
                <c:pt idx="54">
                  <c:v>88</c:v>
                </c:pt>
                <c:pt idx="55">
                  <c:v>89.5</c:v>
                </c:pt>
                <c:pt idx="56">
                  <c:v>90.5</c:v>
                </c:pt>
                <c:pt idx="57">
                  <c:v>91.5</c:v>
                </c:pt>
                <c:pt idx="58">
                  <c:v>93</c:v>
                </c:pt>
                <c:pt idx="59">
                  <c:v>96</c:v>
                </c:pt>
                <c:pt idx="60">
                  <c:v>97.5</c:v>
                </c:pt>
                <c:pt idx="61">
                  <c:v>98.5</c:v>
                </c:pt>
                <c:pt idx="62">
                  <c:v>99.5</c:v>
                </c:pt>
                <c:pt idx="63">
                  <c:v>101</c:v>
                </c:pt>
                <c:pt idx="64">
                  <c:v>104</c:v>
                </c:pt>
                <c:pt idx="65">
                  <c:v>105.5</c:v>
                </c:pt>
                <c:pt idx="66">
                  <c:v>106.5</c:v>
                </c:pt>
                <c:pt idx="67">
                  <c:v>107.5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120</c:v>
                </c:pt>
                <c:pt idx="77">
                  <c:v>121.5</c:v>
                </c:pt>
                <c:pt idx="78">
                  <c:v>123</c:v>
                </c:pt>
                <c:pt idx="79">
                  <c:v>125</c:v>
                </c:pt>
                <c:pt idx="80">
                  <c:v>126</c:v>
                </c:pt>
                <c:pt idx="81">
                  <c:v>128</c:v>
                </c:pt>
              </c:numCache>
            </c:numRef>
          </c:xVal>
          <c:yVal>
            <c:numRef>
              <c:f>Sheet3!$AS$264:$AS$304</c:f>
              <c:numCache>
                <c:formatCode>General</c:formatCode>
                <c:ptCount val="41"/>
                <c:pt idx="1">
                  <c:v>87.306974197808145</c:v>
                </c:pt>
                <c:pt idx="2">
                  <c:v>97.998932630681253</c:v>
                </c:pt>
                <c:pt idx="4">
                  <c:v>103.82634116063208</c:v>
                </c:pt>
                <c:pt idx="7">
                  <c:v>69.295354404852617</c:v>
                </c:pt>
                <c:pt idx="9">
                  <c:v>87.306974197808145</c:v>
                </c:pt>
                <c:pt idx="12">
                  <c:v>174.61573954711864</c:v>
                </c:pt>
                <c:pt idx="13">
                  <c:v>174.61573954711864</c:v>
                </c:pt>
                <c:pt idx="14">
                  <c:v>174.61573954711864</c:v>
                </c:pt>
                <c:pt idx="15">
                  <c:v>174.61573954711864</c:v>
                </c:pt>
                <c:pt idx="16">
                  <c:v>116.54132680899107</c:v>
                </c:pt>
                <c:pt idx="24">
                  <c:v>77.781538420453217</c:v>
                </c:pt>
                <c:pt idx="26">
                  <c:v>116.54132680899107</c:v>
                </c:pt>
                <c:pt idx="27">
                  <c:v>65.406049101104529</c:v>
                </c:pt>
                <c:pt idx="29">
                  <c:v>87.306974197808145</c:v>
                </c:pt>
                <c:pt idx="32">
                  <c:v>65.406049101104529</c:v>
                </c:pt>
                <c:pt idx="38">
                  <c:v>130.81344004395982</c:v>
                </c:pt>
                <c:pt idx="39">
                  <c:v>65.406049101104529</c:v>
                </c:pt>
                <c:pt idx="40">
                  <c:v>65.406049101104529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09504"/>
        <c:axId val="114510080"/>
      </c:scatterChart>
      <c:valAx>
        <c:axId val="11450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510080"/>
        <c:crosses val="autoZero"/>
        <c:crossBetween val="midCat"/>
      </c:valAx>
      <c:valAx>
        <c:axId val="114510080"/>
        <c:scaling>
          <c:logBase val="10"/>
          <c:orientation val="minMax"/>
          <c:max val="4000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509504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91845352799295"/>
          <c:y val="0.36322707131244197"/>
          <c:w val="9.8430173943005905E-2"/>
          <c:h val="0.36504383308361799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1/8 of All Notes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594195143083097E-2"/>
          <c:y val="0.211167512690355"/>
          <c:w val="0.78109127742527495"/>
          <c:h val="0.518396818418002"/>
        </c:manualLayout>
      </c:layout>
      <c:scatterChart>
        <c:scatterStyle val="lineMarker"/>
        <c:varyColors val="0"/>
        <c:ser>
          <c:idx val="0"/>
          <c:order val="0"/>
          <c:tx>
            <c:v>Right Hand</c:v>
          </c:tx>
          <c:xVal>
            <c:numRef>
              <c:f>Sheet3!$V$310:$V$330</c:f>
              <c:numCache>
                <c:formatCode>General</c:formatCode>
                <c:ptCount val="21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19.5</c:v>
                </c:pt>
                <c:pt idx="4">
                  <c:v>26</c:v>
                </c:pt>
                <c:pt idx="5">
                  <c:v>32</c:v>
                </c:pt>
                <c:pt idx="6">
                  <c:v>39</c:v>
                </c:pt>
                <c:pt idx="7">
                  <c:v>45.5</c:v>
                </c:pt>
                <c:pt idx="8">
                  <c:v>50.5</c:v>
                </c:pt>
                <c:pt idx="9">
                  <c:v>57.5</c:v>
                </c:pt>
                <c:pt idx="10">
                  <c:v>63</c:v>
                </c:pt>
                <c:pt idx="11">
                  <c:v>67.5</c:v>
                </c:pt>
                <c:pt idx="12">
                  <c:v>74</c:v>
                </c:pt>
                <c:pt idx="13">
                  <c:v>81.5</c:v>
                </c:pt>
                <c:pt idx="14">
                  <c:v>89</c:v>
                </c:pt>
                <c:pt idx="15">
                  <c:v>94</c:v>
                </c:pt>
                <c:pt idx="16">
                  <c:v>99.5</c:v>
                </c:pt>
                <c:pt idx="17">
                  <c:v>106</c:v>
                </c:pt>
                <c:pt idx="18">
                  <c:v>112.5</c:v>
                </c:pt>
                <c:pt idx="19">
                  <c:v>116.5</c:v>
                </c:pt>
                <c:pt idx="20">
                  <c:v>122</c:v>
                </c:pt>
              </c:numCache>
            </c:numRef>
          </c:xVal>
          <c:yVal>
            <c:numRef>
              <c:f>Sheet3!$Y$310:$Y$330</c:f>
              <c:numCache>
                <c:formatCode>General</c:formatCode>
                <c:ptCount val="21"/>
                <c:pt idx="0">
                  <c:v>261.62956379894968</c:v>
                </c:pt>
                <c:pt idx="1">
                  <c:v>293.66975814369101</c:v>
                </c:pt>
                <c:pt idx="2">
                  <c:v>311.13253664194741</c:v>
                </c:pt>
                <c:pt idx="3">
                  <c:v>293.66975814369101</c:v>
                </c:pt>
                <c:pt idx="4">
                  <c:v>261.62956379894968</c:v>
                </c:pt>
                <c:pt idx="5">
                  <c:v>261.62956379894968</c:v>
                </c:pt>
                <c:pt idx="6">
                  <c:v>784.01558732918636</c:v>
                </c:pt>
                <c:pt idx="7">
                  <c:v>784.01558732918636</c:v>
                </c:pt>
                <c:pt idx="8">
                  <c:v>622.27145634224212</c:v>
                </c:pt>
                <c:pt idx="9">
                  <c:v>392.00377257605692</c:v>
                </c:pt>
                <c:pt idx="10">
                  <c:v>392.00377257605692</c:v>
                </c:pt>
                <c:pt idx="11">
                  <c:v>261.62956379894968</c:v>
                </c:pt>
                <c:pt idx="12">
                  <c:v>261.62956379894968</c:v>
                </c:pt>
                <c:pt idx="13">
                  <c:v>233.08504452861115</c:v>
                </c:pt>
                <c:pt idx="14">
                  <c:v>261.62956379894968</c:v>
                </c:pt>
                <c:pt idx="15">
                  <c:v>220.00279814001337</c:v>
                </c:pt>
                <c:pt idx="16">
                  <c:v>293.66975814369101</c:v>
                </c:pt>
                <c:pt idx="17">
                  <c:v>261.62956379894968</c:v>
                </c:pt>
                <c:pt idx="18">
                  <c:v>311.13253664194741</c:v>
                </c:pt>
                <c:pt idx="19">
                  <c:v>2093.100920777717</c:v>
                </c:pt>
                <c:pt idx="20">
                  <c:v>523.26449507501752</c:v>
                </c:pt>
              </c:numCache>
            </c:numRef>
          </c:yVal>
          <c:smooth val="0"/>
        </c:ser>
        <c:ser>
          <c:idx val="1"/>
          <c:order val="1"/>
          <c:tx>
            <c:v>Right Hand Harmony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Sheet3!$V$310:$V$330</c:f>
              <c:numCache>
                <c:formatCode>General</c:formatCode>
                <c:ptCount val="21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19.5</c:v>
                </c:pt>
                <c:pt idx="4">
                  <c:v>26</c:v>
                </c:pt>
                <c:pt idx="5">
                  <c:v>32</c:v>
                </c:pt>
                <c:pt idx="6">
                  <c:v>39</c:v>
                </c:pt>
                <c:pt idx="7">
                  <c:v>45.5</c:v>
                </c:pt>
                <c:pt idx="8">
                  <c:v>50.5</c:v>
                </c:pt>
                <c:pt idx="9">
                  <c:v>57.5</c:v>
                </c:pt>
                <c:pt idx="10">
                  <c:v>63</c:v>
                </c:pt>
                <c:pt idx="11">
                  <c:v>67.5</c:v>
                </c:pt>
                <c:pt idx="12">
                  <c:v>74</c:v>
                </c:pt>
                <c:pt idx="13">
                  <c:v>81.5</c:v>
                </c:pt>
                <c:pt idx="14">
                  <c:v>89</c:v>
                </c:pt>
                <c:pt idx="15">
                  <c:v>94</c:v>
                </c:pt>
                <c:pt idx="16">
                  <c:v>99.5</c:v>
                </c:pt>
                <c:pt idx="17">
                  <c:v>106</c:v>
                </c:pt>
                <c:pt idx="18">
                  <c:v>112.5</c:v>
                </c:pt>
                <c:pt idx="19">
                  <c:v>116.5</c:v>
                </c:pt>
                <c:pt idx="20">
                  <c:v>122</c:v>
                </c:pt>
              </c:numCache>
            </c:numRef>
          </c:xVal>
          <c:yVal>
            <c:numRef>
              <c:f>Sheet3!$AD$310:$AD$330</c:f>
              <c:numCache>
                <c:formatCode>General</c:formatCode>
                <c:ptCount val="21"/>
                <c:pt idx="1">
                  <c:v>246.94521361646048</c:v>
                </c:pt>
                <c:pt idx="2">
                  <c:v>261.62956379894968</c:v>
                </c:pt>
                <c:pt idx="5">
                  <c:v>195.99987576438383</c:v>
                </c:pt>
                <c:pt idx="6">
                  <c:v>392.00377257605692</c:v>
                </c:pt>
                <c:pt idx="7">
                  <c:v>392.00377257605692</c:v>
                </c:pt>
                <c:pt idx="8">
                  <c:v>311.13253664194741</c:v>
                </c:pt>
              </c:numCache>
            </c:numRef>
          </c:yVal>
          <c:smooth val="0"/>
        </c:ser>
        <c:ser>
          <c:idx val="2"/>
          <c:order val="2"/>
          <c:tx>
            <c:v>Right Hand Harmony 3rd</c:v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Sheet3!$V$310:$V$330</c:f>
              <c:numCache>
                <c:formatCode>General</c:formatCode>
                <c:ptCount val="21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19.5</c:v>
                </c:pt>
                <c:pt idx="4">
                  <c:v>26</c:v>
                </c:pt>
                <c:pt idx="5">
                  <c:v>32</c:v>
                </c:pt>
                <c:pt idx="6">
                  <c:v>39</c:v>
                </c:pt>
                <c:pt idx="7">
                  <c:v>45.5</c:v>
                </c:pt>
                <c:pt idx="8">
                  <c:v>50.5</c:v>
                </c:pt>
                <c:pt idx="9">
                  <c:v>57.5</c:v>
                </c:pt>
                <c:pt idx="10">
                  <c:v>63</c:v>
                </c:pt>
                <c:pt idx="11">
                  <c:v>67.5</c:v>
                </c:pt>
                <c:pt idx="12">
                  <c:v>74</c:v>
                </c:pt>
                <c:pt idx="13">
                  <c:v>81.5</c:v>
                </c:pt>
                <c:pt idx="14">
                  <c:v>89</c:v>
                </c:pt>
                <c:pt idx="15">
                  <c:v>94</c:v>
                </c:pt>
                <c:pt idx="16">
                  <c:v>99.5</c:v>
                </c:pt>
                <c:pt idx="17">
                  <c:v>106</c:v>
                </c:pt>
                <c:pt idx="18">
                  <c:v>112.5</c:v>
                </c:pt>
                <c:pt idx="19">
                  <c:v>116.5</c:v>
                </c:pt>
                <c:pt idx="20">
                  <c:v>122</c:v>
                </c:pt>
              </c:numCache>
            </c:numRef>
          </c:xVal>
          <c:yVal>
            <c:numRef>
              <c:f>Sheet3!$AI$310:$AI$330</c:f>
              <c:numCache>
                <c:formatCode>General</c:formatCode>
                <c:ptCount val="21"/>
                <c:pt idx="1">
                  <c:v>195.99987576438383</c:v>
                </c:pt>
                <c:pt idx="2">
                  <c:v>207.65481237683719</c:v>
                </c:pt>
                <c:pt idx="5">
                  <c:v>155.56467257275574</c:v>
                </c:pt>
              </c:numCache>
            </c:numRef>
          </c:yVal>
          <c:smooth val="0"/>
        </c:ser>
        <c:ser>
          <c:idx val="3"/>
          <c:order val="3"/>
          <c:tx>
            <c:v>Left Hand</c:v>
          </c:tx>
          <c:spPr>
            <a:ln>
              <a:solidFill>
                <a:schemeClr val="accent6"/>
              </a:solidFill>
            </a:ln>
          </c:spPr>
          <c:marker>
            <c:symbol val="x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Sheet3!$AK$310:$AK$330</c:f>
              <c:numCache>
                <c:formatCode>General</c:formatCode>
                <c:ptCount val="21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19.5</c:v>
                </c:pt>
                <c:pt idx="4">
                  <c:v>26.5</c:v>
                </c:pt>
                <c:pt idx="5">
                  <c:v>33.5</c:v>
                </c:pt>
                <c:pt idx="6">
                  <c:v>41.5</c:v>
                </c:pt>
                <c:pt idx="7">
                  <c:v>47</c:v>
                </c:pt>
                <c:pt idx="8">
                  <c:v>51.5</c:v>
                </c:pt>
                <c:pt idx="9">
                  <c:v>59.5</c:v>
                </c:pt>
                <c:pt idx="10">
                  <c:v>64.5</c:v>
                </c:pt>
                <c:pt idx="11">
                  <c:v>69</c:v>
                </c:pt>
                <c:pt idx="12">
                  <c:v>77</c:v>
                </c:pt>
                <c:pt idx="13">
                  <c:v>84</c:v>
                </c:pt>
                <c:pt idx="14">
                  <c:v>90.5</c:v>
                </c:pt>
                <c:pt idx="15">
                  <c:v>97.5</c:v>
                </c:pt>
                <c:pt idx="16">
                  <c:v>104</c:v>
                </c:pt>
                <c:pt idx="17">
                  <c:v>111</c:v>
                </c:pt>
                <c:pt idx="18">
                  <c:v>115</c:v>
                </c:pt>
                <c:pt idx="19">
                  <c:v>120</c:v>
                </c:pt>
                <c:pt idx="20">
                  <c:v>126</c:v>
                </c:pt>
              </c:numCache>
            </c:numRef>
          </c:xVal>
          <c:yVal>
            <c:numRef>
              <c:f>Sheet3!$AN$310:$AN$330</c:f>
              <c:numCache>
                <c:formatCode>General</c:formatCode>
                <c:ptCount val="21"/>
                <c:pt idx="0">
                  <c:v>130.81344004395982</c:v>
                </c:pt>
                <c:pt idx="1">
                  <c:v>123.4713402663609</c:v>
                </c:pt>
                <c:pt idx="2">
                  <c:v>130.81344004395982</c:v>
                </c:pt>
                <c:pt idx="3">
                  <c:v>146.83337288738056</c:v>
                </c:pt>
                <c:pt idx="4">
                  <c:v>116.54132680899107</c:v>
                </c:pt>
                <c:pt idx="5">
                  <c:v>116.54132680899107</c:v>
                </c:pt>
                <c:pt idx="6">
                  <c:v>349.23506143398839</c:v>
                </c:pt>
                <c:pt idx="7">
                  <c:v>349.23506143398839</c:v>
                </c:pt>
                <c:pt idx="8">
                  <c:v>233.08504452861115</c:v>
                </c:pt>
                <c:pt idx="9">
                  <c:v>349.23506143398839</c:v>
                </c:pt>
                <c:pt idx="10">
                  <c:v>293.66975814369101</c:v>
                </c:pt>
                <c:pt idx="11">
                  <c:v>195.99987576438383</c:v>
                </c:pt>
                <c:pt idx="12">
                  <c:v>138.5921304427338</c:v>
                </c:pt>
                <c:pt idx="13">
                  <c:v>146.83337288738056</c:v>
                </c:pt>
                <c:pt idx="14">
                  <c:v>116.54132680899107</c:v>
                </c:pt>
                <c:pt idx="15">
                  <c:v>116.54132680899107</c:v>
                </c:pt>
                <c:pt idx="16">
                  <c:v>130.81344004395982</c:v>
                </c:pt>
                <c:pt idx="17">
                  <c:v>195.99987576438383</c:v>
                </c:pt>
                <c:pt idx="18">
                  <c:v>523.26449507501752</c:v>
                </c:pt>
                <c:pt idx="19">
                  <c:v>261.62956379894968</c:v>
                </c:pt>
                <c:pt idx="20">
                  <c:v>97.998932630681253</c:v>
                </c:pt>
              </c:numCache>
            </c:numRef>
          </c:yVal>
          <c:smooth val="0"/>
        </c:ser>
        <c:ser>
          <c:idx val="4"/>
          <c:order val="4"/>
          <c:tx>
            <c:v>Left Hand Harmony</c:v>
          </c:tx>
          <c:spPr>
            <a:ln>
              <a:solidFill>
                <a:schemeClr val="accent6"/>
              </a:solidFill>
            </a:ln>
          </c:spPr>
          <c:marker>
            <c:symbol val="square"/>
            <c:size val="7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Sheet3!$AK$310:$AK$330</c:f>
              <c:numCache>
                <c:formatCode>General</c:formatCode>
                <c:ptCount val="21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19.5</c:v>
                </c:pt>
                <c:pt idx="4">
                  <c:v>26.5</c:v>
                </c:pt>
                <c:pt idx="5">
                  <c:v>33.5</c:v>
                </c:pt>
                <c:pt idx="6">
                  <c:v>41.5</c:v>
                </c:pt>
                <c:pt idx="7">
                  <c:v>47</c:v>
                </c:pt>
                <c:pt idx="8">
                  <c:v>51.5</c:v>
                </c:pt>
                <c:pt idx="9">
                  <c:v>59.5</c:v>
                </c:pt>
                <c:pt idx="10">
                  <c:v>64.5</c:v>
                </c:pt>
                <c:pt idx="11">
                  <c:v>69</c:v>
                </c:pt>
                <c:pt idx="12">
                  <c:v>77</c:v>
                </c:pt>
                <c:pt idx="13">
                  <c:v>84</c:v>
                </c:pt>
                <c:pt idx="14">
                  <c:v>90.5</c:v>
                </c:pt>
                <c:pt idx="15">
                  <c:v>97.5</c:v>
                </c:pt>
                <c:pt idx="16">
                  <c:v>104</c:v>
                </c:pt>
                <c:pt idx="17">
                  <c:v>111</c:v>
                </c:pt>
                <c:pt idx="18">
                  <c:v>115</c:v>
                </c:pt>
                <c:pt idx="19">
                  <c:v>120</c:v>
                </c:pt>
                <c:pt idx="20">
                  <c:v>126</c:v>
                </c:pt>
              </c:numCache>
            </c:numRef>
          </c:xVal>
          <c:yVal>
            <c:numRef>
              <c:f>Sheet3!$AS$310:$AS$330</c:f>
              <c:numCache>
                <c:formatCode>General</c:formatCode>
                <c:ptCount val="21"/>
                <c:pt idx="1">
                  <c:v>97.998932630681253</c:v>
                </c:pt>
                <c:pt idx="2">
                  <c:v>103.82634116063208</c:v>
                </c:pt>
                <c:pt idx="6">
                  <c:v>174.61573954711864</c:v>
                </c:pt>
                <c:pt idx="7">
                  <c:v>174.61573954711864</c:v>
                </c:pt>
                <c:pt idx="8">
                  <c:v>116.54132680899107</c:v>
                </c:pt>
                <c:pt idx="12">
                  <c:v>77.781538420453217</c:v>
                </c:pt>
                <c:pt idx="13">
                  <c:v>116.54132680899107</c:v>
                </c:pt>
                <c:pt idx="16">
                  <c:v>65.406049101104529</c:v>
                </c:pt>
                <c:pt idx="19">
                  <c:v>130.81344004395982</c:v>
                </c:pt>
                <c:pt idx="20">
                  <c:v>65.406049101104529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12384"/>
        <c:axId val="114512960"/>
      </c:scatterChart>
      <c:valAx>
        <c:axId val="11451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512960"/>
        <c:crosses val="autoZero"/>
        <c:crossBetween val="midCat"/>
      </c:valAx>
      <c:valAx>
        <c:axId val="114512960"/>
        <c:scaling>
          <c:logBase val="10"/>
          <c:orientation val="minMax"/>
          <c:max val="4000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512384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9040223734169099"/>
          <c:y val="0.30313241936128499"/>
          <c:w val="9.9889024794230799E-2"/>
          <c:h val="0.42723769934849498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Right Hand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(Sheet3!$AU$6,Sheet3!$AU$178,Sheet3!$AU$266,Sheet3!$AU$312)</c:f>
              <c:numCache>
                <c:formatCode>General</c:formatCode>
                <c:ptCount val="4"/>
                <c:pt idx="0">
                  <c:v>996</c:v>
                </c:pt>
                <c:pt idx="1">
                  <c:v>562</c:v>
                </c:pt>
                <c:pt idx="2">
                  <c:v>275</c:v>
                </c:pt>
                <c:pt idx="3">
                  <c:v>137</c:v>
                </c:pt>
              </c:numCache>
            </c:numRef>
          </c:val>
          <c:smooth val="0"/>
        </c:ser>
        <c:ser>
          <c:idx val="1"/>
          <c:order val="1"/>
          <c:tx>
            <c:v>Left Hand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(Sheet3!$AU$15,Sheet3!$AU$187,Sheet3!$AU$275,Sheet3!$AU$321)</c:f>
              <c:numCache>
                <c:formatCode>General</c:formatCode>
                <c:ptCount val="4"/>
                <c:pt idx="0">
                  <c:v>887</c:v>
                </c:pt>
                <c:pt idx="1">
                  <c:v>456</c:v>
                </c:pt>
                <c:pt idx="2">
                  <c:v>323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v>Right Regression</c:v>
          </c:tx>
          <c:val>
            <c:numRef>
              <c:f>Sheet3!$BV$15:$BV$18</c:f>
              <c:numCache>
                <c:formatCode>General</c:formatCode>
                <c:ptCount val="4"/>
                <c:pt idx="0">
                  <c:v>922.1</c:v>
                </c:pt>
                <c:pt idx="1">
                  <c:v>635.70000000000005</c:v>
                </c:pt>
                <c:pt idx="2">
                  <c:v>349.30000000000007</c:v>
                </c:pt>
                <c:pt idx="3">
                  <c:v>62.900000000000091</c:v>
                </c:pt>
              </c:numCache>
            </c:numRef>
          </c:val>
          <c:smooth val="0"/>
        </c:ser>
        <c:ser>
          <c:idx val="3"/>
          <c:order val="3"/>
          <c:tx>
            <c:v>Left Regression</c:v>
          </c:tx>
          <c:val>
            <c:numRef>
              <c:f>Sheet3!$BV$20:$BV$23</c:f>
              <c:numCache>
                <c:formatCode>General</c:formatCode>
                <c:ptCount val="4"/>
                <c:pt idx="0">
                  <c:v>794.8</c:v>
                </c:pt>
                <c:pt idx="1">
                  <c:v>576.59999999999991</c:v>
                </c:pt>
                <c:pt idx="2">
                  <c:v>358.4</c:v>
                </c:pt>
                <c:pt idx="3">
                  <c:v>140.20000000000005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00288"/>
        <c:axId val="114515264"/>
      </c:lineChart>
      <c:catAx>
        <c:axId val="114700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4515264"/>
        <c:crosses val="autoZero"/>
        <c:auto val="1"/>
        <c:lblAlgn val="ctr"/>
        <c:lblOffset val="100"/>
        <c:noMultiLvlLbl val="0"/>
      </c:catAx>
      <c:valAx>
        <c:axId val="114515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00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Average of Right and Left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Sheet3!$BY$15:$BY$18</c:f>
              <c:numCache>
                <c:formatCode>General</c:formatCode>
                <c:ptCount val="4"/>
                <c:pt idx="0">
                  <c:v>941.5</c:v>
                </c:pt>
                <c:pt idx="1">
                  <c:v>509</c:v>
                </c:pt>
                <c:pt idx="2">
                  <c:v>299</c:v>
                </c:pt>
                <c:pt idx="3">
                  <c:v>170.5</c:v>
                </c:pt>
              </c:numCache>
            </c:numRef>
          </c:val>
          <c:smooth val="0"/>
        </c:ser>
        <c:ser>
          <c:idx val="1"/>
          <c:order val="1"/>
          <c:tx>
            <c:v>Average Regression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Sheet3!$BY$20:$BY$23</c:f>
              <c:numCache>
                <c:formatCode>General</c:formatCode>
                <c:ptCount val="4"/>
                <c:pt idx="0">
                  <c:v>858.1</c:v>
                </c:pt>
                <c:pt idx="1">
                  <c:v>605.95000000000005</c:v>
                </c:pt>
                <c:pt idx="2">
                  <c:v>353.8</c:v>
                </c:pt>
                <c:pt idx="3">
                  <c:v>101.64999999999998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00800"/>
        <c:axId val="114836608"/>
      </c:lineChart>
      <c:catAx>
        <c:axId val="114700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14836608"/>
        <c:crosses val="autoZero"/>
        <c:auto val="1"/>
        <c:lblAlgn val="ctr"/>
        <c:lblOffset val="100"/>
        <c:noMultiLvlLbl val="0"/>
      </c:catAx>
      <c:valAx>
        <c:axId val="11483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0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 Written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9175155553108298E-2"/>
          <c:y val="0.154069622876088"/>
          <c:w val="0.83697955197460805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1st Guitar</c:v>
          </c:tx>
          <c:xVal>
            <c:numRef>
              <c:f>Sheet4!$A$130:$A$288</c:f>
              <c:numCache>
                <c:formatCode>General</c:formatCode>
                <c:ptCount val="159"/>
                <c:pt idx="0">
                  <c:v>52</c:v>
                </c:pt>
                <c:pt idx="1">
                  <c:v>52.25</c:v>
                </c:pt>
                <c:pt idx="2">
                  <c:v>52.5</c:v>
                </c:pt>
                <c:pt idx="3">
                  <c:v>52.75</c:v>
                </c:pt>
                <c:pt idx="4">
                  <c:v>53</c:v>
                </c:pt>
                <c:pt idx="5">
                  <c:v>53.5</c:v>
                </c:pt>
                <c:pt idx="6">
                  <c:v>53.75</c:v>
                </c:pt>
                <c:pt idx="7">
                  <c:v>54</c:v>
                </c:pt>
                <c:pt idx="8">
                  <c:v>54.5</c:v>
                </c:pt>
                <c:pt idx="9">
                  <c:v>55</c:v>
                </c:pt>
                <c:pt idx="10">
                  <c:v>55.5</c:v>
                </c:pt>
                <c:pt idx="11">
                  <c:v>56</c:v>
                </c:pt>
                <c:pt idx="12">
                  <c:v>56.25</c:v>
                </c:pt>
                <c:pt idx="13">
                  <c:v>56.5</c:v>
                </c:pt>
                <c:pt idx="14">
                  <c:v>56.75</c:v>
                </c:pt>
                <c:pt idx="15">
                  <c:v>57</c:v>
                </c:pt>
                <c:pt idx="16">
                  <c:v>57.5</c:v>
                </c:pt>
                <c:pt idx="17">
                  <c:v>57.75</c:v>
                </c:pt>
                <c:pt idx="18">
                  <c:v>58</c:v>
                </c:pt>
                <c:pt idx="19">
                  <c:v>58.5</c:v>
                </c:pt>
                <c:pt idx="20">
                  <c:v>59</c:v>
                </c:pt>
                <c:pt idx="21">
                  <c:v>59.5</c:v>
                </c:pt>
                <c:pt idx="22">
                  <c:v>60</c:v>
                </c:pt>
                <c:pt idx="23">
                  <c:v>60.25</c:v>
                </c:pt>
                <c:pt idx="24">
                  <c:v>60.5</c:v>
                </c:pt>
                <c:pt idx="25">
                  <c:v>60.75</c:v>
                </c:pt>
                <c:pt idx="26">
                  <c:v>61</c:v>
                </c:pt>
                <c:pt idx="27">
                  <c:v>61.5</c:v>
                </c:pt>
                <c:pt idx="28">
                  <c:v>61.75</c:v>
                </c:pt>
                <c:pt idx="29">
                  <c:v>62</c:v>
                </c:pt>
                <c:pt idx="30">
                  <c:v>62.5</c:v>
                </c:pt>
                <c:pt idx="31">
                  <c:v>63</c:v>
                </c:pt>
                <c:pt idx="32">
                  <c:v>63.5</c:v>
                </c:pt>
                <c:pt idx="33">
                  <c:v>64</c:v>
                </c:pt>
                <c:pt idx="34">
                  <c:v>64.25</c:v>
                </c:pt>
                <c:pt idx="35">
                  <c:v>64.5</c:v>
                </c:pt>
                <c:pt idx="36">
                  <c:v>64.75</c:v>
                </c:pt>
                <c:pt idx="37">
                  <c:v>65</c:v>
                </c:pt>
                <c:pt idx="38">
                  <c:v>65.5</c:v>
                </c:pt>
                <c:pt idx="39">
                  <c:v>66</c:v>
                </c:pt>
                <c:pt idx="40">
                  <c:v>66.5</c:v>
                </c:pt>
                <c:pt idx="41">
                  <c:v>67</c:v>
                </c:pt>
                <c:pt idx="42">
                  <c:v>67.5</c:v>
                </c:pt>
                <c:pt idx="43">
                  <c:v>68</c:v>
                </c:pt>
                <c:pt idx="44">
                  <c:v>68.25</c:v>
                </c:pt>
                <c:pt idx="45">
                  <c:v>68.5</c:v>
                </c:pt>
                <c:pt idx="46">
                  <c:v>68.75</c:v>
                </c:pt>
                <c:pt idx="47">
                  <c:v>69</c:v>
                </c:pt>
                <c:pt idx="48">
                  <c:v>69.5</c:v>
                </c:pt>
                <c:pt idx="49">
                  <c:v>69.75</c:v>
                </c:pt>
                <c:pt idx="50">
                  <c:v>70</c:v>
                </c:pt>
                <c:pt idx="51">
                  <c:v>70.5</c:v>
                </c:pt>
                <c:pt idx="52">
                  <c:v>71</c:v>
                </c:pt>
                <c:pt idx="53">
                  <c:v>71.5</c:v>
                </c:pt>
                <c:pt idx="54">
                  <c:v>72</c:v>
                </c:pt>
                <c:pt idx="55">
                  <c:v>72.25</c:v>
                </c:pt>
                <c:pt idx="56">
                  <c:v>72.5</c:v>
                </c:pt>
                <c:pt idx="57">
                  <c:v>72.75</c:v>
                </c:pt>
                <c:pt idx="58">
                  <c:v>73</c:v>
                </c:pt>
                <c:pt idx="59">
                  <c:v>73.5</c:v>
                </c:pt>
                <c:pt idx="60">
                  <c:v>73.75</c:v>
                </c:pt>
                <c:pt idx="61">
                  <c:v>74</c:v>
                </c:pt>
                <c:pt idx="62">
                  <c:v>74.5</c:v>
                </c:pt>
                <c:pt idx="63">
                  <c:v>75</c:v>
                </c:pt>
                <c:pt idx="64">
                  <c:v>75.5</c:v>
                </c:pt>
                <c:pt idx="65">
                  <c:v>76</c:v>
                </c:pt>
                <c:pt idx="66">
                  <c:v>76.25</c:v>
                </c:pt>
                <c:pt idx="67">
                  <c:v>76.5</c:v>
                </c:pt>
                <c:pt idx="68">
                  <c:v>76.75</c:v>
                </c:pt>
                <c:pt idx="69">
                  <c:v>77</c:v>
                </c:pt>
                <c:pt idx="70">
                  <c:v>77.5</c:v>
                </c:pt>
                <c:pt idx="71">
                  <c:v>77.75</c:v>
                </c:pt>
                <c:pt idx="72">
                  <c:v>78</c:v>
                </c:pt>
                <c:pt idx="73">
                  <c:v>78.5</c:v>
                </c:pt>
                <c:pt idx="74">
                  <c:v>79</c:v>
                </c:pt>
                <c:pt idx="75">
                  <c:v>79.5</c:v>
                </c:pt>
                <c:pt idx="76">
                  <c:v>80</c:v>
                </c:pt>
                <c:pt idx="77">
                  <c:v>80.25</c:v>
                </c:pt>
                <c:pt idx="78">
                  <c:v>80.5</c:v>
                </c:pt>
                <c:pt idx="79">
                  <c:v>80.75</c:v>
                </c:pt>
                <c:pt idx="80">
                  <c:v>81</c:v>
                </c:pt>
                <c:pt idx="81">
                  <c:v>81.5</c:v>
                </c:pt>
                <c:pt idx="82">
                  <c:v>82</c:v>
                </c:pt>
                <c:pt idx="83">
                  <c:v>82.5</c:v>
                </c:pt>
                <c:pt idx="84">
                  <c:v>83</c:v>
                </c:pt>
                <c:pt idx="85">
                  <c:v>83.5</c:v>
                </c:pt>
                <c:pt idx="86">
                  <c:v>84</c:v>
                </c:pt>
                <c:pt idx="87">
                  <c:v>84.25</c:v>
                </c:pt>
                <c:pt idx="88">
                  <c:v>84.5</c:v>
                </c:pt>
                <c:pt idx="89">
                  <c:v>84.75</c:v>
                </c:pt>
                <c:pt idx="90">
                  <c:v>85</c:v>
                </c:pt>
                <c:pt idx="91">
                  <c:v>85.5</c:v>
                </c:pt>
                <c:pt idx="92">
                  <c:v>86</c:v>
                </c:pt>
                <c:pt idx="93">
                  <c:v>86.25</c:v>
                </c:pt>
                <c:pt idx="94">
                  <c:v>86.5</c:v>
                </c:pt>
                <c:pt idx="95">
                  <c:v>86.75</c:v>
                </c:pt>
                <c:pt idx="96">
                  <c:v>87</c:v>
                </c:pt>
                <c:pt idx="97">
                  <c:v>87.5</c:v>
                </c:pt>
                <c:pt idx="98">
                  <c:v>88</c:v>
                </c:pt>
                <c:pt idx="99">
                  <c:v>88.25</c:v>
                </c:pt>
                <c:pt idx="100">
                  <c:v>88.5</c:v>
                </c:pt>
                <c:pt idx="101">
                  <c:v>88.75</c:v>
                </c:pt>
                <c:pt idx="102">
                  <c:v>89</c:v>
                </c:pt>
                <c:pt idx="103">
                  <c:v>89.5</c:v>
                </c:pt>
                <c:pt idx="104">
                  <c:v>90</c:v>
                </c:pt>
                <c:pt idx="105">
                  <c:v>90.25</c:v>
                </c:pt>
                <c:pt idx="106">
                  <c:v>90.5</c:v>
                </c:pt>
                <c:pt idx="107">
                  <c:v>90.75</c:v>
                </c:pt>
                <c:pt idx="108">
                  <c:v>91</c:v>
                </c:pt>
                <c:pt idx="109">
                  <c:v>91.5</c:v>
                </c:pt>
                <c:pt idx="110">
                  <c:v>92</c:v>
                </c:pt>
                <c:pt idx="111">
                  <c:v>92.25</c:v>
                </c:pt>
                <c:pt idx="112">
                  <c:v>92.5</c:v>
                </c:pt>
                <c:pt idx="113">
                  <c:v>92.75</c:v>
                </c:pt>
                <c:pt idx="114">
                  <c:v>93</c:v>
                </c:pt>
                <c:pt idx="115">
                  <c:v>93.25</c:v>
                </c:pt>
                <c:pt idx="116">
                  <c:v>93.5</c:v>
                </c:pt>
                <c:pt idx="117">
                  <c:v>93.75</c:v>
                </c:pt>
                <c:pt idx="118">
                  <c:v>94</c:v>
                </c:pt>
                <c:pt idx="119">
                  <c:v>94.25</c:v>
                </c:pt>
                <c:pt idx="120">
                  <c:v>94.5</c:v>
                </c:pt>
                <c:pt idx="121">
                  <c:v>94.75</c:v>
                </c:pt>
                <c:pt idx="122">
                  <c:v>95</c:v>
                </c:pt>
                <c:pt idx="123">
                  <c:v>95.25</c:v>
                </c:pt>
                <c:pt idx="124">
                  <c:v>95.5</c:v>
                </c:pt>
                <c:pt idx="125">
                  <c:v>95.75</c:v>
                </c:pt>
                <c:pt idx="126">
                  <c:v>96</c:v>
                </c:pt>
                <c:pt idx="127">
                  <c:v>96.5</c:v>
                </c:pt>
                <c:pt idx="128">
                  <c:v>97</c:v>
                </c:pt>
                <c:pt idx="129">
                  <c:v>97.5</c:v>
                </c:pt>
                <c:pt idx="130">
                  <c:v>98</c:v>
                </c:pt>
                <c:pt idx="131">
                  <c:v>98.5</c:v>
                </c:pt>
                <c:pt idx="132">
                  <c:v>99</c:v>
                </c:pt>
                <c:pt idx="133">
                  <c:v>99.5</c:v>
                </c:pt>
                <c:pt idx="134">
                  <c:v>100</c:v>
                </c:pt>
                <c:pt idx="135">
                  <c:v>100.25</c:v>
                </c:pt>
                <c:pt idx="136">
                  <c:v>100.5</c:v>
                </c:pt>
                <c:pt idx="137">
                  <c:v>100.75</c:v>
                </c:pt>
                <c:pt idx="138">
                  <c:v>101</c:v>
                </c:pt>
                <c:pt idx="139">
                  <c:v>101.25</c:v>
                </c:pt>
                <c:pt idx="140">
                  <c:v>101.5</c:v>
                </c:pt>
                <c:pt idx="141">
                  <c:v>101.75</c:v>
                </c:pt>
                <c:pt idx="142">
                  <c:v>102</c:v>
                </c:pt>
                <c:pt idx="143">
                  <c:v>102.25</c:v>
                </c:pt>
                <c:pt idx="144">
                  <c:v>102.5</c:v>
                </c:pt>
                <c:pt idx="145">
                  <c:v>102.75</c:v>
                </c:pt>
                <c:pt idx="146">
                  <c:v>103</c:v>
                </c:pt>
                <c:pt idx="147">
                  <c:v>103.25</c:v>
                </c:pt>
                <c:pt idx="148">
                  <c:v>103.5</c:v>
                </c:pt>
                <c:pt idx="149">
                  <c:v>103.75</c:v>
                </c:pt>
                <c:pt idx="150">
                  <c:v>104</c:v>
                </c:pt>
                <c:pt idx="151">
                  <c:v>104.5</c:v>
                </c:pt>
                <c:pt idx="152">
                  <c:v>105</c:v>
                </c:pt>
                <c:pt idx="153">
                  <c:v>105.5</c:v>
                </c:pt>
                <c:pt idx="154">
                  <c:v>106</c:v>
                </c:pt>
                <c:pt idx="155">
                  <c:v>106.5</c:v>
                </c:pt>
                <c:pt idx="156">
                  <c:v>107</c:v>
                </c:pt>
                <c:pt idx="157">
                  <c:v>107.5</c:v>
                </c:pt>
                <c:pt idx="158">
                  <c:v>108</c:v>
                </c:pt>
              </c:numCache>
            </c:numRef>
          </c:xVal>
          <c:yVal>
            <c:numRef>
              <c:f>Sheet4!$D$130:$D$288</c:f>
              <c:numCache>
                <c:formatCode>General</c:formatCode>
                <c:ptCount val="159"/>
                <c:pt idx="0">
                  <c:v>293.66975814369101</c:v>
                </c:pt>
                <c:pt idx="1">
                  <c:v>440.01010976071973</c:v>
                </c:pt>
                <c:pt idx="2">
                  <c:v>493.89549345236594</c:v>
                </c:pt>
                <c:pt idx="3">
                  <c:v>392.00377257605692</c:v>
                </c:pt>
                <c:pt idx="4">
                  <c:v>493.89549345236594</c:v>
                </c:pt>
                <c:pt idx="5">
                  <c:v>392.00377257605692</c:v>
                </c:pt>
                <c:pt idx="6">
                  <c:v>293.66975814369101</c:v>
                </c:pt>
                <c:pt idx="7">
                  <c:v>493.89549345236594</c:v>
                </c:pt>
                <c:pt idx="8">
                  <c:v>392.00377257605692</c:v>
                </c:pt>
                <c:pt idx="9">
                  <c:v>587.34554108704231</c:v>
                </c:pt>
                <c:pt idx="10">
                  <c:v>392.00377257605692</c:v>
                </c:pt>
                <c:pt idx="11">
                  <c:v>293.66975814369101</c:v>
                </c:pt>
                <c:pt idx="12">
                  <c:v>440.01010976071973</c:v>
                </c:pt>
                <c:pt idx="13">
                  <c:v>493.89549345236594</c:v>
                </c:pt>
                <c:pt idx="14">
                  <c:v>392.00377257605692</c:v>
                </c:pt>
                <c:pt idx="15">
                  <c:v>493.89549345236594</c:v>
                </c:pt>
                <c:pt idx="16">
                  <c:v>392.00377257605692</c:v>
                </c:pt>
                <c:pt idx="17">
                  <c:v>293.66975814369101</c:v>
                </c:pt>
                <c:pt idx="18">
                  <c:v>493.89549345236594</c:v>
                </c:pt>
                <c:pt idx="19">
                  <c:v>392.00377257605692</c:v>
                </c:pt>
                <c:pt idx="20">
                  <c:v>587.34554108704231</c:v>
                </c:pt>
                <c:pt idx="21">
                  <c:v>392.00377257605692</c:v>
                </c:pt>
                <c:pt idx="22">
                  <c:v>293.66975814369101</c:v>
                </c:pt>
                <c:pt idx="23">
                  <c:v>392.00377257605692</c:v>
                </c:pt>
                <c:pt idx="24">
                  <c:v>440.01010976071973</c:v>
                </c:pt>
                <c:pt idx="25">
                  <c:v>392.00377257605692</c:v>
                </c:pt>
                <c:pt idx="26">
                  <c:v>440.01010976071973</c:v>
                </c:pt>
                <c:pt idx="27">
                  <c:v>392.00377257605692</c:v>
                </c:pt>
                <c:pt idx="28">
                  <c:v>293.66975814369101</c:v>
                </c:pt>
                <c:pt idx="29">
                  <c:v>440.01010976071973</c:v>
                </c:pt>
                <c:pt idx="30">
                  <c:v>392.00377257605692</c:v>
                </c:pt>
                <c:pt idx="31">
                  <c:v>523.26449507501752</c:v>
                </c:pt>
                <c:pt idx="32">
                  <c:v>392.00377257605692</c:v>
                </c:pt>
                <c:pt idx="33">
                  <c:v>293.66975814369101</c:v>
                </c:pt>
                <c:pt idx="34">
                  <c:v>329.63372180082422</c:v>
                </c:pt>
                <c:pt idx="35">
                  <c:v>349.23506143398839</c:v>
                </c:pt>
                <c:pt idx="36">
                  <c:v>392.00377257605692</c:v>
                </c:pt>
                <c:pt idx="37">
                  <c:v>329.63372180082422</c:v>
                </c:pt>
                <c:pt idx="38">
                  <c:v>392.00377257605692</c:v>
                </c:pt>
                <c:pt idx="39">
                  <c:v>329.63372180082422</c:v>
                </c:pt>
                <c:pt idx="40">
                  <c:v>392.00377257605692</c:v>
                </c:pt>
                <c:pt idx="41">
                  <c:v>329.63372180082422</c:v>
                </c:pt>
                <c:pt idx="42">
                  <c:v>392.00377257605692</c:v>
                </c:pt>
                <c:pt idx="43">
                  <c:v>293.66975814369101</c:v>
                </c:pt>
                <c:pt idx="44">
                  <c:v>440.01010976071973</c:v>
                </c:pt>
                <c:pt idx="45">
                  <c:v>493.89549345236594</c:v>
                </c:pt>
                <c:pt idx="46">
                  <c:v>392.00377257605692</c:v>
                </c:pt>
                <c:pt idx="47">
                  <c:v>493.89549345236594</c:v>
                </c:pt>
                <c:pt idx="48">
                  <c:v>392.00377257605692</c:v>
                </c:pt>
                <c:pt idx="49">
                  <c:v>293.66975814369101</c:v>
                </c:pt>
                <c:pt idx="50">
                  <c:v>493.89549345236594</c:v>
                </c:pt>
                <c:pt idx="51">
                  <c:v>392.00377257605692</c:v>
                </c:pt>
                <c:pt idx="52">
                  <c:v>587.34554108704231</c:v>
                </c:pt>
                <c:pt idx="53">
                  <c:v>392.00377257605692</c:v>
                </c:pt>
                <c:pt idx="54">
                  <c:v>293.66975814369101</c:v>
                </c:pt>
                <c:pt idx="55">
                  <c:v>440.01010976071973</c:v>
                </c:pt>
                <c:pt idx="56">
                  <c:v>493.89549345236594</c:v>
                </c:pt>
                <c:pt idx="57">
                  <c:v>392.00377257605692</c:v>
                </c:pt>
                <c:pt idx="58">
                  <c:v>493.89549345236594</c:v>
                </c:pt>
                <c:pt idx="59">
                  <c:v>392.00377257605692</c:v>
                </c:pt>
                <c:pt idx="60">
                  <c:v>293.66975814369101</c:v>
                </c:pt>
                <c:pt idx="61">
                  <c:v>493.89549345236594</c:v>
                </c:pt>
                <c:pt idx="62">
                  <c:v>392.00377257605692</c:v>
                </c:pt>
                <c:pt idx="63">
                  <c:v>587.34554108704231</c:v>
                </c:pt>
                <c:pt idx="64">
                  <c:v>392.00377257605692</c:v>
                </c:pt>
                <c:pt idx="65">
                  <c:v>293.66975814369101</c:v>
                </c:pt>
                <c:pt idx="66">
                  <c:v>392.00377257605692</c:v>
                </c:pt>
                <c:pt idx="67">
                  <c:v>440.01010976071973</c:v>
                </c:pt>
                <c:pt idx="68">
                  <c:v>392.00377257605692</c:v>
                </c:pt>
                <c:pt idx="69">
                  <c:v>440.01010976071973</c:v>
                </c:pt>
                <c:pt idx="70">
                  <c:v>392.00377257605692</c:v>
                </c:pt>
                <c:pt idx="71">
                  <c:v>293.66975814369101</c:v>
                </c:pt>
                <c:pt idx="72">
                  <c:v>440.01010976071973</c:v>
                </c:pt>
                <c:pt idx="73">
                  <c:v>392.00377257605692</c:v>
                </c:pt>
                <c:pt idx="74">
                  <c:v>523.26449507501752</c:v>
                </c:pt>
                <c:pt idx="75">
                  <c:v>392.00377257605692</c:v>
                </c:pt>
                <c:pt idx="76">
                  <c:v>293.66975814369101</c:v>
                </c:pt>
                <c:pt idx="77">
                  <c:v>329.63372180082422</c:v>
                </c:pt>
                <c:pt idx="78">
                  <c:v>349.23506143398839</c:v>
                </c:pt>
                <c:pt idx="79">
                  <c:v>392.00377257605692</c:v>
                </c:pt>
                <c:pt idx="80">
                  <c:v>329.63372180082422</c:v>
                </c:pt>
                <c:pt idx="81">
                  <c:v>392.00377257605692</c:v>
                </c:pt>
                <c:pt idx="82">
                  <c:v>329.63372180082422</c:v>
                </c:pt>
                <c:pt idx="83">
                  <c:v>392.00377257605692</c:v>
                </c:pt>
                <c:pt idx="84">
                  <c:v>329.63372180082422</c:v>
                </c:pt>
                <c:pt idx="85">
                  <c:v>392.00377257605692</c:v>
                </c:pt>
                <c:pt idx="86">
                  <c:v>349.23506143398839</c:v>
                </c:pt>
                <c:pt idx="87">
                  <c:v>370.00197512709912</c:v>
                </c:pt>
                <c:pt idx="88">
                  <c:v>392.00377257605692</c:v>
                </c:pt>
                <c:pt idx="89">
                  <c:v>392.00377257605692</c:v>
                </c:pt>
                <c:pt idx="90">
                  <c:v>392.00377257605692</c:v>
                </c:pt>
                <c:pt idx="91">
                  <c:v>392.00377257605692</c:v>
                </c:pt>
                <c:pt idx="92">
                  <c:v>349.23506143398839</c:v>
                </c:pt>
                <c:pt idx="93">
                  <c:v>370.00197512709912</c:v>
                </c:pt>
                <c:pt idx="94">
                  <c:v>392.00377257605692</c:v>
                </c:pt>
                <c:pt idx="95">
                  <c:v>392.00377257605692</c:v>
                </c:pt>
                <c:pt idx="96">
                  <c:v>392.00377257605692</c:v>
                </c:pt>
                <c:pt idx="97">
                  <c:v>392.00377257605692</c:v>
                </c:pt>
                <c:pt idx="98">
                  <c:v>349.23506143398839</c:v>
                </c:pt>
                <c:pt idx="99">
                  <c:v>370.00197512709912</c:v>
                </c:pt>
                <c:pt idx="100">
                  <c:v>392.00377257605692</c:v>
                </c:pt>
                <c:pt idx="101">
                  <c:v>392.00377257605692</c:v>
                </c:pt>
                <c:pt idx="102">
                  <c:v>392.00377257605692</c:v>
                </c:pt>
                <c:pt idx="103">
                  <c:v>392.00377257605692</c:v>
                </c:pt>
                <c:pt idx="104">
                  <c:v>349.23506143398839</c:v>
                </c:pt>
                <c:pt idx="105">
                  <c:v>370.00197512709912</c:v>
                </c:pt>
                <c:pt idx="106">
                  <c:v>392.00377257605692</c:v>
                </c:pt>
                <c:pt idx="107">
                  <c:v>392.00377257605692</c:v>
                </c:pt>
                <c:pt idx="108">
                  <c:v>392.00377257605692</c:v>
                </c:pt>
                <c:pt idx="109">
                  <c:v>392.00377257605692</c:v>
                </c:pt>
                <c:pt idx="110">
                  <c:v>293.66975814369101</c:v>
                </c:pt>
                <c:pt idx="111">
                  <c:v>329.63372180082422</c:v>
                </c:pt>
                <c:pt idx="112">
                  <c:v>349.23506143398839</c:v>
                </c:pt>
                <c:pt idx="113">
                  <c:v>392.00377257605692</c:v>
                </c:pt>
                <c:pt idx="114">
                  <c:v>293.66975814369101</c:v>
                </c:pt>
                <c:pt idx="115">
                  <c:v>349.23506143398839</c:v>
                </c:pt>
                <c:pt idx="116">
                  <c:v>392.00377257605692</c:v>
                </c:pt>
                <c:pt idx="117">
                  <c:v>392.00377257605692</c:v>
                </c:pt>
                <c:pt idx="118">
                  <c:v>293.66975814369101</c:v>
                </c:pt>
                <c:pt idx="119">
                  <c:v>392.00377257605692</c:v>
                </c:pt>
                <c:pt idx="120">
                  <c:v>440.01010976071973</c:v>
                </c:pt>
                <c:pt idx="121">
                  <c:v>392.00377257605692</c:v>
                </c:pt>
                <c:pt idx="122">
                  <c:v>293.66975814369101</c:v>
                </c:pt>
                <c:pt idx="123">
                  <c:v>440.01010976071973</c:v>
                </c:pt>
                <c:pt idx="124">
                  <c:v>493.89549345236594</c:v>
                </c:pt>
                <c:pt idx="125">
                  <c:v>392.00377257605692</c:v>
                </c:pt>
                <c:pt idx="126">
                  <c:v>587.34554108704231</c:v>
                </c:pt>
                <c:pt idx="127">
                  <c:v>784.01558732918636</c:v>
                </c:pt>
                <c:pt idx="128">
                  <c:v>587.34554108704231</c:v>
                </c:pt>
                <c:pt idx="129">
                  <c:v>784.01558732918636</c:v>
                </c:pt>
                <c:pt idx="130">
                  <c:v>587.34554108704231</c:v>
                </c:pt>
                <c:pt idx="131">
                  <c:v>784.01558732918636</c:v>
                </c:pt>
                <c:pt idx="132">
                  <c:v>587.34554108704231</c:v>
                </c:pt>
                <c:pt idx="133">
                  <c:v>392.00377257605692</c:v>
                </c:pt>
                <c:pt idx="134">
                  <c:v>293.66975814369101</c:v>
                </c:pt>
                <c:pt idx="135">
                  <c:v>329.63372180082422</c:v>
                </c:pt>
                <c:pt idx="136">
                  <c:v>349.23506143398839</c:v>
                </c:pt>
                <c:pt idx="137">
                  <c:v>392.00377257605692</c:v>
                </c:pt>
                <c:pt idx="138">
                  <c:v>293.66975814369101</c:v>
                </c:pt>
                <c:pt idx="139">
                  <c:v>349.23506143398839</c:v>
                </c:pt>
                <c:pt idx="140">
                  <c:v>392.00377257605692</c:v>
                </c:pt>
                <c:pt idx="141">
                  <c:v>392.00377257605692</c:v>
                </c:pt>
                <c:pt idx="142">
                  <c:v>293.66975814369101</c:v>
                </c:pt>
                <c:pt idx="143">
                  <c:v>392.00377257605692</c:v>
                </c:pt>
                <c:pt idx="144">
                  <c:v>440.01010976071973</c:v>
                </c:pt>
                <c:pt idx="145">
                  <c:v>392.00377257605692</c:v>
                </c:pt>
                <c:pt idx="146">
                  <c:v>293.66975814369101</c:v>
                </c:pt>
                <c:pt idx="147">
                  <c:v>440.01010976071973</c:v>
                </c:pt>
                <c:pt idx="148">
                  <c:v>493.89549345236594</c:v>
                </c:pt>
                <c:pt idx="149">
                  <c:v>392.00377257605692</c:v>
                </c:pt>
                <c:pt idx="150">
                  <c:v>587.34554108704231</c:v>
                </c:pt>
                <c:pt idx="151">
                  <c:v>784.01558732918636</c:v>
                </c:pt>
                <c:pt idx="152">
                  <c:v>587.34554108704231</c:v>
                </c:pt>
                <c:pt idx="153">
                  <c:v>784.01558732918636</c:v>
                </c:pt>
                <c:pt idx="154">
                  <c:v>587.34554108704231</c:v>
                </c:pt>
                <c:pt idx="155">
                  <c:v>784.01558732918636</c:v>
                </c:pt>
                <c:pt idx="156">
                  <c:v>587.34554108704231</c:v>
                </c:pt>
                <c:pt idx="157">
                  <c:v>392.00377257605692</c:v>
                </c:pt>
                <c:pt idx="158">
                  <c:v>293.66975814369101</c:v>
                </c:pt>
              </c:numCache>
            </c:numRef>
          </c:yVal>
          <c:smooth val="0"/>
        </c:ser>
        <c:ser>
          <c:idx val="1"/>
          <c:order val="1"/>
          <c:tx>
            <c:v>2nd Guitar</c:v>
          </c:tx>
          <c:xVal>
            <c:numRef>
              <c:f>Sheet4!$F$132:$F$296</c:f>
              <c:numCache>
                <c:formatCode>General</c:formatCode>
                <c:ptCount val="165"/>
                <c:pt idx="0">
                  <c:v>52</c:v>
                </c:pt>
                <c:pt idx="1">
                  <c:v>52.25</c:v>
                </c:pt>
                <c:pt idx="2">
                  <c:v>52.5</c:v>
                </c:pt>
                <c:pt idx="3">
                  <c:v>52.75</c:v>
                </c:pt>
                <c:pt idx="4">
                  <c:v>53</c:v>
                </c:pt>
                <c:pt idx="5">
                  <c:v>53.5</c:v>
                </c:pt>
                <c:pt idx="6">
                  <c:v>53.75</c:v>
                </c:pt>
                <c:pt idx="7">
                  <c:v>54</c:v>
                </c:pt>
                <c:pt idx="8">
                  <c:v>54.5</c:v>
                </c:pt>
                <c:pt idx="9">
                  <c:v>55</c:v>
                </c:pt>
                <c:pt idx="10">
                  <c:v>55.5</c:v>
                </c:pt>
                <c:pt idx="11">
                  <c:v>56</c:v>
                </c:pt>
                <c:pt idx="12">
                  <c:v>56.25</c:v>
                </c:pt>
                <c:pt idx="13">
                  <c:v>56.5</c:v>
                </c:pt>
                <c:pt idx="14">
                  <c:v>56.75</c:v>
                </c:pt>
                <c:pt idx="15">
                  <c:v>57</c:v>
                </c:pt>
                <c:pt idx="16">
                  <c:v>57.5</c:v>
                </c:pt>
                <c:pt idx="17">
                  <c:v>57.75</c:v>
                </c:pt>
                <c:pt idx="18">
                  <c:v>58</c:v>
                </c:pt>
                <c:pt idx="19">
                  <c:v>58.5</c:v>
                </c:pt>
                <c:pt idx="20">
                  <c:v>59</c:v>
                </c:pt>
                <c:pt idx="21">
                  <c:v>59.5</c:v>
                </c:pt>
                <c:pt idx="22">
                  <c:v>60</c:v>
                </c:pt>
                <c:pt idx="23">
                  <c:v>60.25</c:v>
                </c:pt>
                <c:pt idx="24">
                  <c:v>60.5</c:v>
                </c:pt>
                <c:pt idx="25">
                  <c:v>60.75</c:v>
                </c:pt>
                <c:pt idx="26">
                  <c:v>61</c:v>
                </c:pt>
                <c:pt idx="27">
                  <c:v>61.5</c:v>
                </c:pt>
                <c:pt idx="28">
                  <c:v>61.75</c:v>
                </c:pt>
                <c:pt idx="29">
                  <c:v>62</c:v>
                </c:pt>
                <c:pt idx="30">
                  <c:v>62.5</c:v>
                </c:pt>
                <c:pt idx="31">
                  <c:v>63</c:v>
                </c:pt>
                <c:pt idx="32">
                  <c:v>63.5</c:v>
                </c:pt>
                <c:pt idx="33">
                  <c:v>64</c:v>
                </c:pt>
                <c:pt idx="34">
                  <c:v>64.25</c:v>
                </c:pt>
                <c:pt idx="35">
                  <c:v>64.5</c:v>
                </c:pt>
                <c:pt idx="36">
                  <c:v>64.75</c:v>
                </c:pt>
                <c:pt idx="37">
                  <c:v>65</c:v>
                </c:pt>
                <c:pt idx="38">
                  <c:v>65.5</c:v>
                </c:pt>
                <c:pt idx="39">
                  <c:v>65.75</c:v>
                </c:pt>
                <c:pt idx="40">
                  <c:v>66</c:v>
                </c:pt>
                <c:pt idx="41">
                  <c:v>66.5</c:v>
                </c:pt>
                <c:pt idx="42">
                  <c:v>67</c:v>
                </c:pt>
                <c:pt idx="43">
                  <c:v>67.5</c:v>
                </c:pt>
                <c:pt idx="44">
                  <c:v>68</c:v>
                </c:pt>
                <c:pt idx="45">
                  <c:v>68.25</c:v>
                </c:pt>
                <c:pt idx="46">
                  <c:v>68.5</c:v>
                </c:pt>
                <c:pt idx="47">
                  <c:v>68.75</c:v>
                </c:pt>
                <c:pt idx="48">
                  <c:v>69</c:v>
                </c:pt>
                <c:pt idx="49">
                  <c:v>69.5</c:v>
                </c:pt>
                <c:pt idx="50">
                  <c:v>69.75</c:v>
                </c:pt>
                <c:pt idx="51">
                  <c:v>70</c:v>
                </c:pt>
                <c:pt idx="52">
                  <c:v>70.5</c:v>
                </c:pt>
                <c:pt idx="53">
                  <c:v>71</c:v>
                </c:pt>
                <c:pt idx="54">
                  <c:v>71.5</c:v>
                </c:pt>
                <c:pt idx="55">
                  <c:v>72</c:v>
                </c:pt>
                <c:pt idx="56">
                  <c:v>72.25</c:v>
                </c:pt>
                <c:pt idx="57">
                  <c:v>72.5</c:v>
                </c:pt>
                <c:pt idx="58">
                  <c:v>72.75</c:v>
                </c:pt>
                <c:pt idx="59">
                  <c:v>73</c:v>
                </c:pt>
                <c:pt idx="60">
                  <c:v>73.5</c:v>
                </c:pt>
                <c:pt idx="61">
                  <c:v>73.75</c:v>
                </c:pt>
                <c:pt idx="62">
                  <c:v>74</c:v>
                </c:pt>
                <c:pt idx="63">
                  <c:v>74.5</c:v>
                </c:pt>
                <c:pt idx="64">
                  <c:v>75</c:v>
                </c:pt>
                <c:pt idx="65">
                  <c:v>75.5</c:v>
                </c:pt>
                <c:pt idx="66">
                  <c:v>76</c:v>
                </c:pt>
                <c:pt idx="67">
                  <c:v>76.25</c:v>
                </c:pt>
                <c:pt idx="68">
                  <c:v>76.5</c:v>
                </c:pt>
                <c:pt idx="69">
                  <c:v>76.75</c:v>
                </c:pt>
                <c:pt idx="70">
                  <c:v>77</c:v>
                </c:pt>
                <c:pt idx="71">
                  <c:v>77.5</c:v>
                </c:pt>
                <c:pt idx="72">
                  <c:v>77.75</c:v>
                </c:pt>
                <c:pt idx="73">
                  <c:v>78</c:v>
                </c:pt>
                <c:pt idx="74">
                  <c:v>78.5</c:v>
                </c:pt>
                <c:pt idx="75">
                  <c:v>79</c:v>
                </c:pt>
                <c:pt idx="76">
                  <c:v>79.5</c:v>
                </c:pt>
                <c:pt idx="77">
                  <c:v>80</c:v>
                </c:pt>
                <c:pt idx="78">
                  <c:v>80.25</c:v>
                </c:pt>
                <c:pt idx="79">
                  <c:v>80.5</c:v>
                </c:pt>
                <c:pt idx="80">
                  <c:v>80.75</c:v>
                </c:pt>
                <c:pt idx="81">
                  <c:v>81</c:v>
                </c:pt>
                <c:pt idx="82">
                  <c:v>81.5</c:v>
                </c:pt>
                <c:pt idx="83">
                  <c:v>81.75</c:v>
                </c:pt>
                <c:pt idx="84">
                  <c:v>82</c:v>
                </c:pt>
                <c:pt idx="85">
                  <c:v>82.5</c:v>
                </c:pt>
                <c:pt idx="86">
                  <c:v>83</c:v>
                </c:pt>
                <c:pt idx="87">
                  <c:v>83.5</c:v>
                </c:pt>
                <c:pt idx="88">
                  <c:v>84</c:v>
                </c:pt>
                <c:pt idx="89">
                  <c:v>84.25</c:v>
                </c:pt>
                <c:pt idx="90">
                  <c:v>84.5</c:v>
                </c:pt>
                <c:pt idx="91">
                  <c:v>84.75</c:v>
                </c:pt>
                <c:pt idx="92">
                  <c:v>85</c:v>
                </c:pt>
                <c:pt idx="93">
                  <c:v>85.5</c:v>
                </c:pt>
                <c:pt idx="94">
                  <c:v>86</c:v>
                </c:pt>
                <c:pt idx="95">
                  <c:v>86.25</c:v>
                </c:pt>
                <c:pt idx="96">
                  <c:v>86.5</c:v>
                </c:pt>
                <c:pt idx="97">
                  <c:v>86.75</c:v>
                </c:pt>
                <c:pt idx="98">
                  <c:v>87</c:v>
                </c:pt>
                <c:pt idx="99">
                  <c:v>87.5</c:v>
                </c:pt>
                <c:pt idx="100">
                  <c:v>88</c:v>
                </c:pt>
                <c:pt idx="101">
                  <c:v>88.25</c:v>
                </c:pt>
                <c:pt idx="102">
                  <c:v>88.5</c:v>
                </c:pt>
                <c:pt idx="103">
                  <c:v>88.75</c:v>
                </c:pt>
                <c:pt idx="104">
                  <c:v>89</c:v>
                </c:pt>
                <c:pt idx="105">
                  <c:v>89.5</c:v>
                </c:pt>
                <c:pt idx="106">
                  <c:v>90</c:v>
                </c:pt>
                <c:pt idx="107">
                  <c:v>90.25</c:v>
                </c:pt>
                <c:pt idx="108">
                  <c:v>90.5</c:v>
                </c:pt>
                <c:pt idx="109">
                  <c:v>90.75</c:v>
                </c:pt>
                <c:pt idx="110">
                  <c:v>91</c:v>
                </c:pt>
                <c:pt idx="111">
                  <c:v>91.5</c:v>
                </c:pt>
                <c:pt idx="112">
                  <c:v>92</c:v>
                </c:pt>
                <c:pt idx="113">
                  <c:v>92.25</c:v>
                </c:pt>
                <c:pt idx="114">
                  <c:v>92.5</c:v>
                </c:pt>
                <c:pt idx="115">
                  <c:v>92.75</c:v>
                </c:pt>
                <c:pt idx="116">
                  <c:v>93</c:v>
                </c:pt>
                <c:pt idx="117">
                  <c:v>93.25</c:v>
                </c:pt>
                <c:pt idx="118">
                  <c:v>93.5</c:v>
                </c:pt>
                <c:pt idx="119">
                  <c:v>93.75</c:v>
                </c:pt>
                <c:pt idx="120">
                  <c:v>94</c:v>
                </c:pt>
                <c:pt idx="121">
                  <c:v>94.25</c:v>
                </c:pt>
                <c:pt idx="122">
                  <c:v>94.5</c:v>
                </c:pt>
                <c:pt idx="123">
                  <c:v>94.75</c:v>
                </c:pt>
                <c:pt idx="124">
                  <c:v>95</c:v>
                </c:pt>
                <c:pt idx="125">
                  <c:v>95.25</c:v>
                </c:pt>
                <c:pt idx="126">
                  <c:v>95.5</c:v>
                </c:pt>
                <c:pt idx="127">
                  <c:v>95.75</c:v>
                </c:pt>
                <c:pt idx="128">
                  <c:v>96</c:v>
                </c:pt>
                <c:pt idx="129">
                  <c:v>96.25</c:v>
                </c:pt>
                <c:pt idx="130">
                  <c:v>96.5</c:v>
                </c:pt>
                <c:pt idx="131">
                  <c:v>96.75</c:v>
                </c:pt>
                <c:pt idx="132">
                  <c:v>97</c:v>
                </c:pt>
                <c:pt idx="133">
                  <c:v>97.5</c:v>
                </c:pt>
                <c:pt idx="134">
                  <c:v>98</c:v>
                </c:pt>
                <c:pt idx="135">
                  <c:v>98.5</c:v>
                </c:pt>
                <c:pt idx="136">
                  <c:v>99</c:v>
                </c:pt>
                <c:pt idx="137">
                  <c:v>99.5</c:v>
                </c:pt>
                <c:pt idx="138">
                  <c:v>100</c:v>
                </c:pt>
                <c:pt idx="139">
                  <c:v>100.25</c:v>
                </c:pt>
                <c:pt idx="140">
                  <c:v>100.5</c:v>
                </c:pt>
                <c:pt idx="141">
                  <c:v>100.75</c:v>
                </c:pt>
                <c:pt idx="142">
                  <c:v>101</c:v>
                </c:pt>
                <c:pt idx="143">
                  <c:v>101.25</c:v>
                </c:pt>
                <c:pt idx="144">
                  <c:v>101.5</c:v>
                </c:pt>
                <c:pt idx="145">
                  <c:v>101.75</c:v>
                </c:pt>
                <c:pt idx="146">
                  <c:v>102</c:v>
                </c:pt>
                <c:pt idx="147">
                  <c:v>102.25</c:v>
                </c:pt>
                <c:pt idx="148">
                  <c:v>102.5</c:v>
                </c:pt>
                <c:pt idx="149">
                  <c:v>102.75</c:v>
                </c:pt>
                <c:pt idx="150">
                  <c:v>103</c:v>
                </c:pt>
                <c:pt idx="151">
                  <c:v>103.25</c:v>
                </c:pt>
                <c:pt idx="152">
                  <c:v>103.5</c:v>
                </c:pt>
                <c:pt idx="153">
                  <c:v>103.75</c:v>
                </c:pt>
                <c:pt idx="154">
                  <c:v>104</c:v>
                </c:pt>
                <c:pt idx="155">
                  <c:v>104.25</c:v>
                </c:pt>
                <c:pt idx="156">
                  <c:v>104.5</c:v>
                </c:pt>
                <c:pt idx="157">
                  <c:v>104.75</c:v>
                </c:pt>
                <c:pt idx="158">
                  <c:v>105</c:v>
                </c:pt>
                <c:pt idx="159">
                  <c:v>105.5</c:v>
                </c:pt>
                <c:pt idx="160">
                  <c:v>106</c:v>
                </c:pt>
                <c:pt idx="161">
                  <c:v>106.5</c:v>
                </c:pt>
                <c:pt idx="162">
                  <c:v>107</c:v>
                </c:pt>
                <c:pt idx="163">
                  <c:v>107.5</c:v>
                </c:pt>
                <c:pt idx="164">
                  <c:v>108</c:v>
                </c:pt>
              </c:numCache>
            </c:numRef>
          </c:xVal>
          <c:yVal>
            <c:numRef>
              <c:f>Sheet4!$I$132:$I$296</c:f>
              <c:numCache>
                <c:formatCode>General</c:formatCode>
                <c:ptCount val="165"/>
                <c:pt idx="0">
                  <c:v>220.00279814001337</c:v>
                </c:pt>
                <c:pt idx="1">
                  <c:v>349.23506143398839</c:v>
                </c:pt>
                <c:pt idx="2">
                  <c:v>392.00377257605692</c:v>
                </c:pt>
                <c:pt idx="3">
                  <c:v>293.66975814369101</c:v>
                </c:pt>
                <c:pt idx="4">
                  <c:v>392.00377257605692</c:v>
                </c:pt>
                <c:pt idx="5">
                  <c:v>493.89549345236594</c:v>
                </c:pt>
                <c:pt idx="6">
                  <c:v>293.66975814369101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493.89549345236594</c:v>
                </c:pt>
                <c:pt idx="10">
                  <c:v>293.66975814369101</c:v>
                </c:pt>
                <c:pt idx="11">
                  <c:v>220.00279814001337</c:v>
                </c:pt>
                <c:pt idx="12">
                  <c:v>349.23506143398839</c:v>
                </c:pt>
                <c:pt idx="13">
                  <c:v>392.00377257605692</c:v>
                </c:pt>
                <c:pt idx="14">
                  <c:v>293.66975814369101</c:v>
                </c:pt>
                <c:pt idx="15">
                  <c:v>392.00377257605692</c:v>
                </c:pt>
                <c:pt idx="16">
                  <c:v>493.89549345236594</c:v>
                </c:pt>
                <c:pt idx="17">
                  <c:v>293.66975814369101</c:v>
                </c:pt>
                <c:pt idx="18">
                  <c:v>392.00377257605692</c:v>
                </c:pt>
                <c:pt idx="19">
                  <c:v>392.00377257605692</c:v>
                </c:pt>
                <c:pt idx="20">
                  <c:v>493.89549345236594</c:v>
                </c:pt>
                <c:pt idx="21">
                  <c:v>293.66975814369101</c:v>
                </c:pt>
                <c:pt idx="22">
                  <c:v>220.00279814001337</c:v>
                </c:pt>
                <c:pt idx="23">
                  <c:v>329.63372180082422</c:v>
                </c:pt>
                <c:pt idx="24">
                  <c:v>349.23506143398839</c:v>
                </c:pt>
                <c:pt idx="25">
                  <c:v>293.66975814369101</c:v>
                </c:pt>
                <c:pt idx="26">
                  <c:v>349.23506143398839</c:v>
                </c:pt>
                <c:pt idx="27">
                  <c:v>440.01010976071973</c:v>
                </c:pt>
                <c:pt idx="28">
                  <c:v>293.66975814369101</c:v>
                </c:pt>
                <c:pt idx="29">
                  <c:v>349.23506143398839</c:v>
                </c:pt>
                <c:pt idx="30">
                  <c:v>392.00377257605692</c:v>
                </c:pt>
                <c:pt idx="31">
                  <c:v>440.01010976071973</c:v>
                </c:pt>
                <c:pt idx="32">
                  <c:v>293.66975814369101</c:v>
                </c:pt>
                <c:pt idx="33">
                  <c:v>220.00279814001337</c:v>
                </c:pt>
                <c:pt idx="34">
                  <c:v>246.94521361646048</c:v>
                </c:pt>
                <c:pt idx="35">
                  <c:v>261.62956379894968</c:v>
                </c:pt>
                <c:pt idx="36">
                  <c:v>293.66975814369101</c:v>
                </c:pt>
                <c:pt idx="37">
                  <c:v>261.62956379894968</c:v>
                </c:pt>
                <c:pt idx="38">
                  <c:v>329.63372180082422</c:v>
                </c:pt>
                <c:pt idx="39">
                  <c:v>293.66975814369101</c:v>
                </c:pt>
                <c:pt idx="40">
                  <c:v>261.62956379894968</c:v>
                </c:pt>
                <c:pt idx="41">
                  <c:v>392.00377257605692</c:v>
                </c:pt>
                <c:pt idx="42">
                  <c:v>329.63372180082422</c:v>
                </c:pt>
                <c:pt idx="43">
                  <c:v>293.66975814369101</c:v>
                </c:pt>
                <c:pt idx="44">
                  <c:v>220.00279814001337</c:v>
                </c:pt>
                <c:pt idx="45">
                  <c:v>349.23506143398839</c:v>
                </c:pt>
                <c:pt idx="46">
                  <c:v>392.00377257605692</c:v>
                </c:pt>
                <c:pt idx="47">
                  <c:v>293.66975814369101</c:v>
                </c:pt>
                <c:pt idx="48">
                  <c:v>392.00377257605692</c:v>
                </c:pt>
                <c:pt idx="49">
                  <c:v>493.89549345236594</c:v>
                </c:pt>
                <c:pt idx="50">
                  <c:v>293.66975814369101</c:v>
                </c:pt>
                <c:pt idx="51">
                  <c:v>392.00377257605692</c:v>
                </c:pt>
                <c:pt idx="52">
                  <c:v>392.00377257605692</c:v>
                </c:pt>
                <c:pt idx="53">
                  <c:v>493.89549345236594</c:v>
                </c:pt>
                <c:pt idx="54">
                  <c:v>293.66975814369101</c:v>
                </c:pt>
                <c:pt idx="55">
                  <c:v>220.00279814001337</c:v>
                </c:pt>
                <c:pt idx="56">
                  <c:v>349.23506143398839</c:v>
                </c:pt>
                <c:pt idx="57">
                  <c:v>392.00377257605692</c:v>
                </c:pt>
                <c:pt idx="58">
                  <c:v>293.66975814369101</c:v>
                </c:pt>
                <c:pt idx="59">
                  <c:v>392.00377257605692</c:v>
                </c:pt>
                <c:pt idx="60">
                  <c:v>493.89549345236594</c:v>
                </c:pt>
                <c:pt idx="61">
                  <c:v>293.66975814369101</c:v>
                </c:pt>
                <c:pt idx="62">
                  <c:v>392.00377257605692</c:v>
                </c:pt>
                <c:pt idx="63">
                  <c:v>392.00377257605692</c:v>
                </c:pt>
                <c:pt idx="64">
                  <c:v>493.89549345236594</c:v>
                </c:pt>
                <c:pt idx="65">
                  <c:v>293.66975814369101</c:v>
                </c:pt>
                <c:pt idx="66">
                  <c:v>220.00279814001337</c:v>
                </c:pt>
                <c:pt idx="67">
                  <c:v>329.63372180082422</c:v>
                </c:pt>
                <c:pt idx="68">
                  <c:v>349.23506143398839</c:v>
                </c:pt>
                <c:pt idx="69">
                  <c:v>293.66975814369101</c:v>
                </c:pt>
                <c:pt idx="70">
                  <c:v>349.23506143398839</c:v>
                </c:pt>
                <c:pt idx="71">
                  <c:v>440.01010976071973</c:v>
                </c:pt>
                <c:pt idx="72">
                  <c:v>293.66975814369101</c:v>
                </c:pt>
                <c:pt idx="73">
                  <c:v>349.23506143398839</c:v>
                </c:pt>
                <c:pt idx="74">
                  <c:v>392.00377257605692</c:v>
                </c:pt>
                <c:pt idx="75">
                  <c:v>440.01010976071973</c:v>
                </c:pt>
                <c:pt idx="76">
                  <c:v>293.66975814369101</c:v>
                </c:pt>
                <c:pt idx="77">
                  <c:v>220.00279814001337</c:v>
                </c:pt>
                <c:pt idx="78">
                  <c:v>246.94521361646048</c:v>
                </c:pt>
                <c:pt idx="79">
                  <c:v>261.62956379894968</c:v>
                </c:pt>
                <c:pt idx="80">
                  <c:v>293.66975814369101</c:v>
                </c:pt>
                <c:pt idx="81">
                  <c:v>261.62956379894968</c:v>
                </c:pt>
                <c:pt idx="82">
                  <c:v>329.63372180082422</c:v>
                </c:pt>
                <c:pt idx="83">
                  <c:v>293.66975814369101</c:v>
                </c:pt>
                <c:pt idx="84">
                  <c:v>261.62956379894968</c:v>
                </c:pt>
                <c:pt idx="85">
                  <c:v>392.00377257605692</c:v>
                </c:pt>
                <c:pt idx="86">
                  <c:v>329.63372180082422</c:v>
                </c:pt>
                <c:pt idx="87">
                  <c:v>293.66975814369101</c:v>
                </c:pt>
                <c:pt idx="88">
                  <c:v>220.00279814001337</c:v>
                </c:pt>
                <c:pt idx="89">
                  <c:v>233.08504452861115</c:v>
                </c:pt>
                <c:pt idx="90">
                  <c:v>246.94521361646048</c:v>
                </c:pt>
                <c:pt idx="91">
                  <c:v>293.66975814369101</c:v>
                </c:pt>
                <c:pt idx="92">
                  <c:v>493.89549345236594</c:v>
                </c:pt>
                <c:pt idx="93">
                  <c:v>392.00377257605692</c:v>
                </c:pt>
                <c:pt idx="94">
                  <c:v>220.00279814001337</c:v>
                </c:pt>
                <c:pt idx="95">
                  <c:v>233.08504452861115</c:v>
                </c:pt>
                <c:pt idx="96">
                  <c:v>246.94521361646048</c:v>
                </c:pt>
                <c:pt idx="97">
                  <c:v>293.66975814369101</c:v>
                </c:pt>
                <c:pt idx="98">
                  <c:v>493.89549345236594</c:v>
                </c:pt>
                <c:pt idx="99">
                  <c:v>392.00377257605692</c:v>
                </c:pt>
                <c:pt idx="100">
                  <c:v>220.00279814001337</c:v>
                </c:pt>
                <c:pt idx="101">
                  <c:v>233.08504452861115</c:v>
                </c:pt>
                <c:pt idx="102">
                  <c:v>246.94521361646048</c:v>
                </c:pt>
                <c:pt idx="103">
                  <c:v>293.66975814369101</c:v>
                </c:pt>
                <c:pt idx="104">
                  <c:v>493.89549345236594</c:v>
                </c:pt>
                <c:pt idx="105">
                  <c:v>392.00377257605692</c:v>
                </c:pt>
                <c:pt idx="106">
                  <c:v>220.00279814001337</c:v>
                </c:pt>
                <c:pt idx="107">
                  <c:v>233.08504452861115</c:v>
                </c:pt>
                <c:pt idx="108">
                  <c:v>246.94521361646048</c:v>
                </c:pt>
                <c:pt idx="109">
                  <c:v>293.66975814369101</c:v>
                </c:pt>
                <c:pt idx="110">
                  <c:v>493.89549345236594</c:v>
                </c:pt>
                <c:pt idx="111">
                  <c:v>392.00377257605692</c:v>
                </c:pt>
                <c:pt idx="112">
                  <c:v>164.8151702626221</c:v>
                </c:pt>
                <c:pt idx="113">
                  <c:v>174.61573954711864</c:v>
                </c:pt>
                <c:pt idx="114">
                  <c:v>195.99987576438383</c:v>
                </c:pt>
                <c:pt idx="115">
                  <c:v>293.66975814369101</c:v>
                </c:pt>
                <c:pt idx="116">
                  <c:v>164.8151702626221</c:v>
                </c:pt>
                <c:pt idx="117">
                  <c:v>195.99987576438383</c:v>
                </c:pt>
                <c:pt idx="118">
                  <c:v>220.00279814001337</c:v>
                </c:pt>
                <c:pt idx="119">
                  <c:v>293.66975814369101</c:v>
                </c:pt>
                <c:pt idx="120">
                  <c:v>164.8151702626221</c:v>
                </c:pt>
                <c:pt idx="121">
                  <c:v>220.00279814001337</c:v>
                </c:pt>
                <c:pt idx="122">
                  <c:v>246.94521361646048</c:v>
                </c:pt>
                <c:pt idx="123">
                  <c:v>293.66975814369101</c:v>
                </c:pt>
                <c:pt idx="124">
                  <c:v>164.8151702626221</c:v>
                </c:pt>
                <c:pt idx="125">
                  <c:v>195.99987576438383</c:v>
                </c:pt>
                <c:pt idx="126">
                  <c:v>246.94521361646048</c:v>
                </c:pt>
                <c:pt idx="127">
                  <c:v>293.66975814369101</c:v>
                </c:pt>
                <c:pt idx="128">
                  <c:v>164.8151702626221</c:v>
                </c:pt>
                <c:pt idx="129">
                  <c:v>174.61573954711864</c:v>
                </c:pt>
                <c:pt idx="130">
                  <c:v>195.99987576438383</c:v>
                </c:pt>
                <c:pt idx="131">
                  <c:v>293.66975814369101</c:v>
                </c:pt>
                <c:pt idx="132">
                  <c:v>195.99987576438383</c:v>
                </c:pt>
                <c:pt idx="133">
                  <c:v>392.00377257605692</c:v>
                </c:pt>
                <c:pt idx="134">
                  <c:v>195.99987576438383</c:v>
                </c:pt>
                <c:pt idx="135">
                  <c:v>293.66975814369101</c:v>
                </c:pt>
                <c:pt idx="136">
                  <c:v>195.99987576438383</c:v>
                </c:pt>
                <c:pt idx="137">
                  <c:v>293.66975814369101</c:v>
                </c:pt>
                <c:pt idx="138">
                  <c:v>164.8151702626221</c:v>
                </c:pt>
                <c:pt idx="139">
                  <c:v>174.61573954711864</c:v>
                </c:pt>
                <c:pt idx="140">
                  <c:v>195.99987576438383</c:v>
                </c:pt>
                <c:pt idx="141">
                  <c:v>293.66975814369101</c:v>
                </c:pt>
                <c:pt idx="142">
                  <c:v>164.8151702626221</c:v>
                </c:pt>
                <c:pt idx="143">
                  <c:v>195.99987576438383</c:v>
                </c:pt>
                <c:pt idx="144">
                  <c:v>220.00279814001337</c:v>
                </c:pt>
                <c:pt idx="145">
                  <c:v>293.66975814369101</c:v>
                </c:pt>
                <c:pt idx="146">
                  <c:v>164.8151702626221</c:v>
                </c:pt>
                <c:pt idx="147">
                  <c:v>220.00279814001337</c:v>
                </c:pt>
                <c:pt idx="148">
                  <c:v>246.94521361646048</c:v>
                </c:pt>
                <c:pt idx="149">
                  <c:v>293.66975814369101</c:v>
                </c:pt>
                <c:pt idx="150">
                  <c:v>164.8151702626221</c:v>
                </c:pt>
                <c:pt idx="151">
                  <c:v>195.99987576438383</c:v>
                </c:pt>
                <c:pt idx="152">
                  <c:v>246.94521361646048</c:v>
                </c:pt>
                <c:pt idx="153">
                  <c:v>293.66975814369101</c:v>
                </c:pt>
                <c:pt idx="154">
                  <c:v>164.8151702626221</c:v>
                </c:pt>
                <c:pt idx="155">
                  <c:v>174.61573954711864</c:v>
                </c:pt>
                <c:pt idx="156">
                  <c:v>195.99987576438383</c:v>
                </c:pt>
                <c:pt idx="157">
                  <c:v>293.66975814369101</c:v>
                </c:pt>
                <c:pt idx="158">
                  <c:v>195.99987576438383</c:v>
                </c:pt>
                <c:pt idx="159">
                  <c:v>392.00377257605692</c:v>
                </c:pt>
                <c:pt idx="160">
                  <c:v>195.99987576438383</c:v>
                </c:pt>
                <c:pt idx="161">
                  <c:v>293.66975814369101</c:v>
                </c:pt>
                <c:pt idx="162">
                  <c:v>195.99987576438383</c:v>
                </c:pt>
                <c:pt idx="163">
                  <c:v>293.66975814369101</c:v>
                </c:pt>
                <c:pt idx="164">
                  <c:v>164.8151702626221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8336"/>
        <c:axId val="114838912"/>
      </c:scatterChart>
      <c:valAx>
        <c:axId val="114838336"/>
        <c:scaling>
          <c:orientation val="minMax"/>
          <c:max val="11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838912"/>
        <c:crosses val="autoZero"/>
        <c:crossBetween val="midCat"/>
        <c:majorUnit val="21"/>
        <c:minorUnit val="1"/>
      </c:valAx>
      <c:valAx>
        <c:axId val="114838912"/>
        <c:scaling>
          <c:logBase val="10"/>
          <c:orientation val="minMax"/>
          <c:max val="20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148383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1244741500335702"/>
          <c:y val="0.20766600784213701"/>
          <c:w val="7.7119575169382906E-2"/>
          <c:h val="0.51248143071184904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1st Guitar</c:v>
          </c:tx>
          <c:cat>
            <c:strLit>
              <c:ptCount val="4"/>
              <c:pt idx="0">
                <c:v>_x0003_1/1</c:v>
              </c:pt>
              <c:pt idx="1">
                <c:v>_x0003_1/2</c:v>
              </c:pt>
              <c:pt idx="2">
                <c:v>_x0003_1/4</c:v>
              </c:pt>
              <c:pt idx="3">
                <c:v>_x0003_1/8</c:v>
              </c:pt>
            </c:strLit>
          </c:cat>
          <c:val>
            <c:numRef>
              <c:f>(Sheet4!$K$6,Sheet4!$K$872,Sheet4!$K$1306,Sheet4!$K$1524)</c:f>
              <c:numCache>
                <c:formatCode>General</c:formatCode>
                <c:ptCount val="4"/>
                <c:pt idx="0">
                  <c:v>3257</c:v>
                </c:pt>
                <c:pt idx="1">
                  <c:v>1651</c:v>
                </c:pt>
                <c:pt idx="2">
                  <c:v>889</c:v>
                </c:pt>
                <c:pt idx="3">
                  <c:v>520</c:v>
                </c:pt>
              </c:numCache>
            </c:numRef>
          </c:val>
          <c:smooth val="0"/>
        </c:ser>
        <c:ser>
          <c:idx val="1"/>
          <c:order val="1"/>
          <c:tx>
            <c:v>2nd Guitar</c:v>
          </c:tx>
          <c:val>
            <c:numRef>
              <c:f>(Sheet4!$K$15,Sheet4!$K$881,Sheet4!$K$1315,Sheet4!$K$1533)</c:f>
              <c:numCache>
                <c:formatCode>General</c:formatCode>
                <c:ptCount val="4"/>
                <c:pt idx="0">
                  <c:v>4208</c:v>
                </c:pt>
                <c:pt idx="1">
                  <c:v>2200</c:v>
                </c:pt>
                <c:pt idx="2">
                  <c:v>834</c:v>
                </c:pt>
                <c:pt idx="3">
                  <c:v>515</c:v>
                </c:pt>
              </c:numCache>
            </c:numRef>
          </c:val>
          <c:smooth val="0"/>
        </c:ser>
        <c:ser>
          <c:idx val="2"/>
          <c:order val="2"/>
          <c:tx>
            <c:v>1st Regression</c:v>
          </c:tx>
          <c:val>
            <c:numRef>
              <c:f>Sheet4!$U$1004:$U$1007</c:f>
              <c:numCache>
                <c:formatCode>General</c:formatCode>
                <c:ptCount val="4"/>
                <c:pt idx="0">
                  <c:v>2925.2</c:v>
                </c:pt>
                <c:pt idx="1">
                  <c:v>2027.8999999999999</c:v>
                </c:pt>
                <c:pt idx="2">
                  <c:v>1130.5999999999999</c:v>
                </c:pt>
                <c:pt idx="3">
                  <c:v>233.30000000000018</c:v>
                </c:pt>
              </c:numCache>
            </c:numRef>
          </c:val>
          <c:smooth val="0"/>
        </c:ser>
        <c:ser>
          <c:idx val="3"/>
          <c:order val="3"/>
          <c:tx>
            <c:v>2nd Regreesion</c:v>
          </c:tx>
          <c:val>
            <c:numRef>
              <c:f>Sheet4!$U$1010:$U$1013</c:f>
              <c:numCache>
                <c:formatCode>General</c:formatCode>
                <c:ptCount val="4"/>
                <c:pt idx="0">
                  <c:v>3806</c:v>
                </c:pt>
                <c:pt idx="1">
                  <c:v>2561.5</c:v>
                </c:pt>
                <c:pt idx="2">
                  <c:v>1317</c:v>
                </c:pt>
                <c:pt idx="3">
                  <c:v>72.5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03360"/>
        <c:axId val="114840640"/>
      </c:lineChart>
      <c:catAx>
        <c:axId val="114703360"/>
        <c:scaling>
          <c:orientation val="minMax"/>
        </c:scaling>
        <c:delete val="0"/>
        <c:axPos val="b"/>
        <c:majorTickMark val="out"/>
        <c:minorTickMark val="none"/>
        <c:tickLblPos val="nextTo"/>
        <c:crossAx val="114840640"/>
        <c:crosses val="autoZero"/>
        <c:auto val="1"/>
        <c:lblAlgn val="ctr"/>
        <c:lblOffset val="100"/>
        <c:noMultiLvlLbl val="0"/>
      </c:catAx>
      <c:valAx>
        <c:axId val="11484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03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Average</c:v>
          </c:tx>
          <c:val>
            <c:numRef>
              <c:f>Sheet4!$X$1004:$X$1007</c:f>
              <c:numCache>
                <c:formatCode>General</c:formatCode>
                <c:ptCount val="4"/>
                <c:pt idx="0">
                  <c:v>3732.5</c:v>
                </c:pt>
                <c:pt idx="1">
                  <c:v>1925.5</c:v>
                </c:pt>
                <c:pt idx="2">
                  <c:v>861.5</c:v>
                </c:pt>
                <c:pt idx="3">
                  <c:v>517.5</c:v>
                </c:pt>
              </c:numCache>
            </c:numRef>
          </c:val>
          <c:smooth val="0"/>
        </c:ser>
        <c:ser>
          <c:idx val="1"/>
          <c:order val="1"/>
          <c:tx>
            <c:v>Average Regression</c:v>
          </c:tx>
          <c:val>
            <c:numRef>
              <c:f>Sheet4!$X$1010:$X$1013</c:f>
              <c:numCache>
                <c:formatCode>General</c:formatCode>
                <c:ptCount val="4"/>
                <c:pt idx="0">
                  <c:v>3365.6</c:v>
                </c:pt>
                <c:pt idx="1">
                  <c:v>2294.6999999999998</c:v>
                </c:pt>
                <c:pt idx="2">
                  <c:v>1223.7999999999997</c:v>
                </c:pt>
                <c:pt idx="3">
                  <c:v>152.89999999999964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10016"/>
        <c:axId val="114842368"/>
      </c:lineChart>
      <c:catAx>
        <c:axId val="114710016"/>
        <c:scaling>
          <c:orientation val="minMax"/>
        </c:scaling>
        <c:delete val="0"/>
        <c:axPos val="b"/>
        <c:majorTickMark val="out"/>
        <c:minorTickMark val="none"/>
        <c:tickLblPos val="nextTo"/>
        <c:crossAx val="114842368"/>
        <c:crosses val="autoZero"/>
        <c:auto val="1"/>
        <c:lblAlgn val="ctr"/>
        <c:lblOffset val="100"/>
        <c:noMultiLvlLbl val="0"/>
      </c:catAx>
      <c:valAx>
        <c:axId val="114842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10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1/2 of All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9175155553108298E-2"/>
          <c:y val="0.154069622876088"/>
          <c:w val="0.83644866309519705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1st Guitar</c:v>
          </c:tx>
          <c:xVal>
            <c:numRef>
              <c:f>Sheet4!$A$933:$A$1012</c:f>
              <c:numCache>
                <c:formatCode>General</c:formatCode>
                <c:ptCount val="80"/>
                <c:pt idx="0">
                  <c:v>52</c:v>
                </c:pt>
                <c:pt idx="1">
                  <c:v>52.5</c:v>
                </c:pt>
                <c:pt idx="2">
                  <c:v>53</c:v>
                </c:pt>
                <c:pt idx="3">
                  <c:v>53.75</c:v>
                </c:pt>
                <c:pt idx="4">
                  <c:v>54.5</c:v>
                </c:pt>
                <c:pt idx="5">
                  <c:v>55.5</c:v>
                </c:pt>
                <c:pt idx="6">
                  <c:v>56.25</c:v>
                </c:pt>
                <c:pt idx="7">
                  <c:v>56.75</c:v>
                </c:pt>
                <c:pt idx="8">
                  <c:v>57.5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60.5</c:v>
                </c:pt>
                <c:pt idx="13">
                  <c:v>61</c:v>
                </c:pt>
                <c:pt idx="14">
                  <c:v>61.75</c:v>
                </c:pt>
                <c:pt idx="15">
                  <c:v>62.5</c:v>
                </c:pt>
                <c:pt idx="16">
                  <c:v>63.5</c:v>
                </c:pt>
                <c:pt idx="17">
                  <c:v>64.25</c:v>
                </c:pt>
                <c:pt idx="18">
                  <c:v>64.75</c:v>
                </c:pt>
                <c:pt idx="19">
                  <c:v>65.5</c:v>
                </c:pt>
                <c:pt idx="20">
                  <c:v>66.5</c:v>
                </c:pt>
                <c:pt idx="21">
                  <c:v>67.5</c:v>
                </c:pt>
                <c:pt idx="22">
                  <c:v>68.25</c:v>
                </c:pt>
                <c:pt idx="23">
                  <c:v>68.75</c:v>
                </c:pt>
                <c:pt idx="24">
                  <c:v>69.5</c:v>
                </c:pt>
                <c:pt idx="25">
                  <c:v>70</c:v>
                </c:pt>
                <c:pt idx="26">
                  <c:v>71</c:v>
                </c:pt>
                <c:pt idx="27">
                  <c:v>72</c:v>
                </c:pt>
                <c:pt idx="28">
                  <c:v>72.5</c:v>
                </c:pt>
                <c:pt idx="29">
                  <c:v>73</c:v>
                </c:pt>
                <c:pt idx="30">
                  <c:v>73.75</c:v>
                </c:pt>
                <c:pt idx="31">
                  <c:v>74.5</c:v>
                </c:pt>
                <c:pt idx="32">
                  <c:v>75.5</c:v>
                </c:pt>
                <c:pt idx="33">
                  <c:v>76.25</c:v>
                </c:pt>
                <c:pt idx="34">
                  <c:v>76.75</c:v>
                </c:pt>
                <c:pt idx="35">
                  <c:v>77.5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80.5</c:v>
                </c:pt>
                <c:pt idx="40">
                  <c:v>81</c:v>
                </c:pt>
                <c:pt idx="41">
                  <c:v>82</c:v>
                </c:pt>
                <c:pt idx="42">
                  <c:v>83</c:v>
                </c:pt>
                <c:pt idx="43">
                  <c:v>84</c:v>
                </c:pt>
                <c:pt idx="44">
                  <c:v>84.5</c:v>
                </c:pt>
                <c:pt idx="45">
                  <c:v>85</c:v>
                </c:pt>
                <c:pt idx="46">
                  <c:v>86</c:v>
                </c:pt>
                <c:pt idx="47">
                  <c:v>86.5</c:v>
                </c:pt>
                <c:pt idx="48">
                  <c:v>87</c:v>
                </c:pt>
                <c:pt idx="49">
                  <c:v>88</c:v>
                </c:pt>
                <c:pt idx="50">
                  <c:v>88.5</c:v>
                </c:pt>
                <c:pt idx="51">
                  <c:v>89</c:v>
                </c:pt>
                <c:pt idx="52">
                  <c:v>90</c:v>
                </c:pt>
                <c:pt idx="53">
                  <c:v>90.5</c:v>
                </c:pt>
                <c:pt idx="54">
                  <c:v>91</c:v>
                </c:pt>
                <c:pt idx="55">
                  <c:v>92</c:v>
                </c:pt>
                <c:pt idx="56">
                  <c:v>92.5</c:v>
                </c:pt>
                <c:pt idx="57">
                  <c:v>93</c:v>
                </c:pt>
                <c:pt idx="58">
                  <c:v>93.5</c:v>
                </c:pt>
                <c:pt idx="59">
                  <c:v>94</c:v>
                </c:pt>
                <c:pt idx="60">
                  <c:v>94.5</c:v>
                </c:pt>
                <c:pt idx="61">
                  <c:v>95</c:v>
                </c:pt>
                <c:pt idx="62">
                  <c:v>95.5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99</c:v>
                </c:pt>
                <c:pt idx="67">
                  <c:v>100</c:v>
                </c:pt>
                <c:pt idx="68">
                  <c:v>100.5</c:v>
                </c:pt>
                <c:pt idx="69">
                  <c:v>101</c:v>
                </c:pt>
                <c:pt idx="70">
                  <c:v>101.5</c:v>
                </c:pt>
                <c:pt idx="71">
                  <c:v>102</c:v>
                </c:pt>
                <c:pt idx="72">
                  <c:v>102.5</c:v>
                </c:pt>
                <c:pt idx="73">
                  <c:v>103</c:v>
                </c:pt>
                <c:pt idx="74">
                  <c:v>103.5</c:v>
                </c:pt>
                <c:pt idx="75">
                  <c:v>104</c:v>
                </c:pt>
                <c:pt idx="76">
                  <c:v>105</c:v>
                </c:pt>
                <c:pt idx="77">
                  <c:v>106</c:v>
                </c:pt>
                <c:pt idx="78">
                  <c:v>107</c:v>
                </c:pt>
                <c:pt idx="79">
                  <c:v>108</c:v>
                </c:pt>
              </c:numCache>
            </c:numRef>
          </c:xVal>
          <c:yVal>
            <c:numRef>
              <c:f>Sheet4!$D$933:$D$1012</c:f>
              <c:numCache>
                <c:formatCode>General</c:formatCode>
                <c:ptCount val="80"/>
                <c:pt idx="0">
                  <c:v>293.66975814369101</c:v>
                </c:pt>
                <c:pt idx="1">
                  <c:v>493.89549345236594</c:v>
                </c:pt>
                <c:pt idx="2">
                  <c:v>493.89549345236594</c:v>
                </c:pt>
                <c:pt idx="3">
                  <c:v>293.66975814369101</c:v>
                </c:pt>
                <c:pt idx="4">
                  <c:v>392.00377257605692</c:v>
                </c:pt>
                <c:pt idx="5">
                  <c:v>392.00377257605692</c:v>
                </c:pt>
                <c:pt idx="6">
                  <c:v>440.01010976071973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493.89549345236594</c:v>
                </c:pt>
                <c:pt idx="10">
                  <c:v>587.34554108704231</c:v>
                </c:pt>
                <c:pt idx="11">
                  <c:v>293.66975814369101</c:v>
                </c:pt>
                <c:pt idx="12">
                  <c:v>440.01010976071973</c:v>
                </c:pt>
                <c:pt idx="13">
                  <c:v>440.01010976071973</c:v>
                </c:pt>
                <c:pt idx="14">
                  <c:v>293.66975814369101</c:v>
                </c:pt>
                <c:pt idx="15">
                  <c:v>392.00377257605692</c:v>
                </c:pt>
                <c:pt idx="16">
                  <c:v>392.00377257605692</c:v>
                </c:pt>
                <c:pt idx="17">
                  <c:v>329.63372180082422</c:v>
                </c:pt>
                <c:pt idx="18">
                  <c:v>392.00377257605692</c:v>
                </c:pt>
                <c:pt idx="19">
                  <c:v>392.00377257605692</c:v>
                </c:pt>
                <c:pt idx="20">
                  <c:v>392.00377257605692</c:v>
                </c:pt>
                <c:pt idx="21">
                  <c:v>392.00377257605692</c:v>
                </c:pt>
                <c:pt idx="22">
                  <c:v>440.01010976071973</c:v>
                </c:pt>
                <c:pt idx="23">
                  <c:v>392.00377257605692</c:v>
                </c:pt>
                <c:pt idx="24">
                  <c:v>392.00377257605692</c:v>
                </c:pt>
                <c:pt idx="25">
                  <c:v>493.89549345236594</c:v>
                </c:pt>
                <c:pt idx="26">
                  <c:v>587.34554108704231</c:v>
                </c:pt>
                <c:pt idx="27">
                  <c:v>293.66975814369101</c:v>
                </c:pt>
                <c:pt idx="28">
                  <c:v>493.89549345236594</c:v>
                </c:pt>
                <c:pt idx="29">
                  <c:v>493.89549345236594</c:v>
                </c:pt>
                <c:pt idx="30">
                  <c:v>293.66975814369101</c:v>
                </c:pt>
                <c:pt idx="31">
                  <c:v>392.00377257605692</c:v>
                </c:pt>
                <c:pt idx="32">
                  <c:v>392.00377257605692</c:v>
                </c:pt>
                <c:pt idx="33">
                  <c:v>392.00377257605692</c:v>
                </c:pt>
                <c:pt idx="34">
                  <c:v>392.00377257605692</c:v>
                </c:pt>
                <c:pt idx="35">
                  <c:v>392.00377257605692</c:v>
                </c:pt>
                <c:pt idx="36">
                  <c:v>440.01010976071973</c:v>
                </c:pt>
                <c:pt idx="37">
                  <c:v>523.26449507501752</c:v>
                </c:pt>
                <c:pt idx="38">
                  <c:v>293.66975814369101</c:v>
                </c:pt>
                <c:pt idx="39">
                  <c:v>349.23506143398839</c:v>
                </c:pt>
                <c:pt idx="40">
                  <c:v>329.63372180082422</c:v>
                </c:pt>
                <c:pt idx="41">
                  <c:v>329.63372180082422</c:v>
                </c:pt>
                <c:pt idx="42">
                  <c:v>329.63372180082422</c:v>
                </c:pt>
                <c:pt idx="43">
                  <c:v>349.23506143398839</c:v>
                </c:pt>
                <c:pt idx="44">
                  <c:v>392.00377257605692</c:v>
                </c:pt>
                <c:pt idx="45">
                  <c:v>392.00377257605692</c:v>
                </c:pt>
                <c:pt idx="46">
                  <c:v>349.23506143398839</c:v>
                </c:pt>
                <c:pt idx="47">
                  <c:v>392.00377257605692</c:v>
                </c:pt>
                <c:pt idx="48">
                  <c:v>392.00377257605692</c:v>
                </c:pt>
                <c:pt idx="49">
                  <c:v>349.23506143398839</c:v>
                </c:pt>
                <c:pt idx="50">
                  <c:v>392.00377257605692</c:v>
                </c:pt>
                <c:pt idx="51">
                  <c:v>392.00377257605692</c:v>
                </c:pt>
                <c:pt idx="52">
                  <c:v>349.23506143398839</c:v>
                </c:pt>
                <c:pt idx="53">
                  <c:v>392.00377257605692</c:v>
                </c:pt>
                <c:pt idx="54">
                  <c:v>392.00377257605692</c:v>
                </c:pt>
                <c:pt idx="55">
                  <c:v>293.66975814369101</c:v>
                </c:pt>
                <c:pt idx="56">
                  <c:v>349.23506143398839</c:v>
                </c:pt>
                <c:pt idx="57">
                  <c:v>293.66975814369101</c:v>
                </c:pt>
                <c:pt idx="58">
                  <c:v>392.00377257605692</c:v>
                </c:pt>
                <c:pt idx="59">
                  <c:v>293.66975814369101</c:v>
                </c:pt>
                <c:pt idx="60">
                  <c:v>440.01010976071973</c:v>
                </c:pt>
                <c:pt idx="61">
                  <c:v>293.66975814369101</c:v>
                </c:pt>
                <c:pt idx="62">
                  <c:v>493.89549345236594</c:v>
                </c:pt>
                <c:pt idx="63">
                  <c:v>587.34554108704231</c:v>
                </c:pt>
                <c:pt idx="64">
                  <c:v>587.34554108704231</c:v>
                </c:pt>
                <c:pt idx="65">
                  <c:v>587.34554108704231</c:v>
                </c:pt>
                <c:pt idx="66">
                  <c:v>587.34554108704231</c:v>
                </c:pt>
                <c:pt idx="67">
                  <c:v>293.66975814369101</c:v>
                </c:pt>
                <c:pt idx="68">
                  <c:v>349.23506143398839</c:v>
                </c:pt>
                <c:pt idx="69">
                  <c:v>293.66975814369101</c:v>
                </c:pt>
                <c:pt idx="70">
                  <c:v>392.00377257605692</c:v>
                </c:pt>
                <c:pt idx="71">
                  <c:v>293.66975814369101</c:v>
                </c:pt>
                <c:pt idx="72">
                  <c:v>440.01010976071973</c:v>
                </c:pt>
                <c:pt idx="73">
                  <c:v>293.66975814369101</c:v>
                </c:pt>
                <c:pt idx="74">
                  <c:v>493.89549345236594</c:v>
                </c:pt>
                <c:pt idx="75">
                  <c:v>587.34554108704231</c:v>
                </c:pt>
                <c:pt idx="76">
                  <c:v>587.34554108704231</c:v>
                </c:pt>
                <c:pt idx="77">
                  <c:v>587.34554108704231</c:v>
                </c:pt>
                <c:pt idx="78">
                  <c:v>587.34554108704231</c:v>
                </c:pt>
                <c:pt idx="79">
                  <c:v>293.66975814369101</c:v>
                </c:pt>
              </c:numCache>
            </c:numRef>
          </c:yVal>
          <c:smooth val="0"/>
        </c:ser>
        <c:ser>
          <c:idx val="1"/>
          <c:order val="1"/>
          <c:tx>
            <c:v>2nd Guitar</c:v>
          </c:tx>
          <c:xVal>
            <c:numRef>
              <c:f>Sheet4!$F$934:$F$1016</c:f>
              <c:numCache>
                <c:formatCode>General</c:formatCode>
                <c:ptCount val="83"/>
                <c:pt idx="0">
                  <c:v>52</c:v>
                </c:pt>
                <c:pt idx="1">
                  <c:v>52.5</c:v>
                </c:pt>
                <c:pt idx="2">
                  <c:v>53</c:v>
                </c:pt>
                <c:pt idx="3">
                  <c:v>53.75</c:v>
                </c:pt>
                <c:pt idx="4">
                  <c:v>54.5</c:v>
                </c:pt>
                <c:pt idx="5">
                  <c:v>55.5</c:v>
                </c:pt>
                <c:pt idx="6">
                  <c:v>56.25</c:v>
                </c:pt>
                <c:pt idx="7">
                  <c:v>56.75</c:v>
                </c:pt>
                <c:pt idx="8">
                  <c:v>57.5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60.5</c:v>
                </c:pt>
                <c:pt idx="13">
                  <c:v>61</c:v>
                </c:pt>
                <c:pt idx="14">
                  <c:v>61.75</c:v>
                </c:pt>
                <c:pt idx="15">
                  <c:v>62.5</c:v>
                </c:pt>
                <c:pt idx="16">
                  <c:v>63.5</c:v>
                </c:pt>
                <c:pt idx="17">
                  <c:v>64.25</c:v>
                </c:pt>
                <c:pt idx="18">
                  <c:v>64.75</c:v>
                </c:pt>
                <c:pt idx="19">
                  <c:v>65.5</c:v>
                </c:pt>
                <c:pt idx="20">
                  <c:v>66</c:v>
                </c:pt>
                <c:pt idx="21">
                  <c:v>67</c:v>
                </c:pt>
                <c:pt idx="22">
                  <c:v>68</c:v>
                </c:pt>
                <c:pt idx="23">
                  <c:v>68.5</c:v>
                </c:pt>
                <c:pt idx="24">
                  <c:v>69</c:v>
                </c:pt>
                <c:pt idx="25">
                  <c:v>69.75</c:v>
                </c:pt>
                <c:pt idx="26">
                  <c:v>70.5</c:v>
                </c:pt>
                <c:pt idx="27">
                  <c:v>71.5</c:v>
                </c:pt>
                <c:pt idx="28">
                  <c:v>72.25</c:v>
                </c:pt>
                <c:pt idx="29">
                  <c:v>72.75</c:v>
                </c:pt>
                <c:pt idx="30">
                  <c:v>73.5</c:v>
                </c:pt>
                <c:pt idx="31">
                  <c:v>74</c:v>
                </c:pt>
                <c:pt idx="32">
                  <c:v>75</c:v>
                </c:pt>
                <c:pt idx="33">
                  <c:v>76</c:v>
                </c:pt>
                <c:pt idx="34">
                  <c:v>76.5</c:v>
                </c:pt>
                <c:pt idx="35">
                  <c:v>77</c:v>
                </c:pt>
                <c:pt idx="36">
                  <c:v>77.75</c:v>
                </c:pt>
                <c:pt idx="37">
                  <c:v>78.5</c:v>
                </c:pt>
                <c:pt idx="38">
                  <c:v>79.5</c:v>
                </c:pt>
                <c:pt idx="39">
                  <c:v>80.25</c:v>
                </c:pt>
                <c:pt idx="40">
                  <c:v>80.75</c:v>
                </c:pt>
                <c:pt idx="41">
                  <c:v>81.5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84.5</c:v>
                </c:pt>
                <c:pt idx="46">
                  <c:v>85</c:v>
                </c:pt>
                <c:pt idx="47">
                  <c:v>86</c:v>
                </c:pt>
                <c:pt idx="48">
                  <c:v>86.5</c:v>
                </c:pt>
                <c:pt idx="49">
                  <c:v>87</c:v>
                </c:pt>
                <c:pt idx="50">
                  <c:v>88</c:v>
                </c:pt>
                <c:pt idx="51">
                  <c:v>88.5</c:v>
                </c:pt>
                <c:pt idx="52">
                  <c:v>89</c:v>
                </c:pt>
                <c:pt idx="53">
                  <c:v>90</c:v>
                </c:pt>
                <c:pt idx="54">
                  <c:v>90.5</c:v>
                </c:pt>
                <c:pt idx="55">
                  <c:v>91</c:v>
                </c:pt>
                <c:pt idx="56">
                  <c:v>92</c:v>
                </c:pt>
                <c:pt idx="57">
                  <c:v>92.5</c:v>
                </c:pt>
                <c:pt idx="58">
                  <c:v>93</c:v>
                </c:pt>
                <c:pt idx="59">
                  <c:v>93.5</c:v>
                </c:pt>
                <c:pt idx="60">
                  <c:v>94</c:v>
                </c:pt>
                <c:pt idx="61">
                  <c:v>94.5</c:v>
                </c:pt>
                <c:pt idx="62">
                  <c:v>95</c:v>
                </c:pt>
                <c:pt idx="63">
                  <c:v>95.5</c:v>
                </c:pt>
                <c:pt idx="64">
                  <c:v>96</c:v>
                </c:pt>
                <c:pt idx="65">
                  <c:v>96.5</c:v>
                </c:pt>
                <c:pt idx="66">
                  <c:v>97</c:v>
                </c:pt>
                <c:pt idx="67">
                  <c:v>98</c:v>
                </c:pt>
                <c:pt idx="68">
                  <c:v>99</c:v>
                </c:pt>
                <c:pt idx="69">
                  <c:v>100</c:v>
                </c:pt>
                <c:pt idx="70">
                  <c:v>100.5</c:v>
                </c:pt>
                <c:pt idx="71">
                  <c:v>101</c:v>
                </c:pt>
                <c:pt idx="72">
                  <c:v>101.5</c:v>
                </c:pt>
                <c:pt idx="73">
                  <c:v>102</c:v>
                </c:pt>
                <c:pt idx="74">
                  <c:v>102.5</c:v>
                </c:pt>
                <c:pt idx="75">
                  <c:v>103</c:v>
                </c:pt>
                <c:pt idx="76">
                  <c:v>103.5</c:v>
                </c:pt>
                <c:pt idx="77">
                  <c:v>104</c:v>
                </c:pt>
                <c:pt idx="78">
                  <c:v>104.5</c:v>
                </c:pt>
                <c:pt idx="79">
                  <c:v>105</c:v>
                </c:pt>
                <c:pt idx="80">
                  <c:v>106</c:v>
                </c:pt>
                <c:pt idx="81">
                  <c:v>107</c:v>
                </c:pt>
                <c:pt idx="82">
                  <c:v>108</c:v>
                </c:pt>
              </c:numCache>
            </c:numRef>
          </c:xVal>
          <c:yVal>
            <c:numRef>
              <c:f>Sheet4!$I$934:$I$1016</c:f>
              <c:numCache>
                <c:formatCode>General</c:formatCode>
                <c:ptCount val="83"/>
                <c:pt idx="0">
                  <c:v>220.00279814001337</c:v>
                </c:pt>
                <c:pt idx="1">
                  <c:v>392.00377257605692</c:v>
                </c:pt>
                <c:pt idx="2">
                  <c:v>392.00377257605692</c:v>
                </c:pt>
                <c:pt idx="3">
                  <c:v>293.66975814369101</c:v>
                </c:pt>
                <c:pt idx="4">
                  <c:v>392.00377257605692</c:v>
                </c:pt>
                <c:pt idx="5">
                  <c:v>293.66975814369101</c:v>
                </c:pt>
                <c:pt idx="6">
                  <c:v>349.23506143398839</c:v>
                </c:pt>
                <c:pt idx="7">
                  <c:v>293.66975814369101</c:v>
                </c:pt>
                <c:pt idx="8">
                  <c:v>493.89549345236594</c:v>
                </c:pt>
                <c:pt idx="9">
                  <c:v>392.00377257605692</c:v>
                </c:pt>
                <c:pt idx="10">
                  <c:v>493.89549345236594</c:v>
                </c:pt>
                <c:pt idx="11">
                  <c:v>220.00279814001337</c:v>
                </c:pt>
                <c:pt idx="12">
                  <c:v>349.23506143398839</c:v>
                </c:pt>
                <c:pt idx="13">
                  <c:v>349.23506143398839</c:v>
                </c:pt>
                <c:pt idx="14">
                  <c:v>293.66975814369101</c:v>
                </c:pt>
                <c:pt idx="15">
                  <c:v>392.00377257605692</c:v>
                </c:pt>
                <c:pt idx="16">
                  <c:v>293.66975814369101</c:v>
                </c:pt>
                <c:pt idx="17">
                  <c:v>246.94521361646048</c:v>
                </c:pt>
                <c:pt idx="18">
                  <c:v>293.66975814369101</c:v>
                </c:pt>
                <c:pt idx="19">
                  <c:v>329.63372180082422</c:v>
                </c:pt>
                <c:pt idx="20">
                  <c:v>261.62956379894968</c:v>
                </c:pt>
                <c:pt idx="21">
                  <c:v>329.63372180082422</c:v>
                </c:pt>
                <c:pt idx="22">
                  <c:v>220.00279814001337</c:v>
                </c:pt>
                <c:pt idx="23">
                  <c:v>392.00377257605692</c:v>
                </c:pt>
                <c:pt idx="24">
                  <c:v>392.00377257605692</c:v>
                </c:pt>
                <c:pt idx="25">
                  <c:v>293.66975814369101</c:v>
                </c:pt>
                <c:pt idx="26">
                  <c:v>392.00377257605692</c:v>
                </c:pt>
                <c:pt idx="27">
                  <c:v>293.66975814369101</c:v>
                </c:pt>
                <c:pt idx="28">
                  <c:v>349.23506143398839</c:v>
                </c:pt>
                <c:pt idx="29">
                  <c:v>293.66975814369101</c:v>
                </c:pt>
                <c:pt idx="30">
                  <c:v>493.89549345236594</c:v>
                </c:pt>
                <c:pt idx="31">
                  <c:v>392.00377257605692</c:v>
                </c:pt>
                <c:pt idx="32">
                  <c:v>493.89549345236594</c:v>
                </c:pt>
                <c:pt idx="33">
                  <c:v>220.00279814001337</c:v>
                </c:pt>
                <c:pt idx="34">
                  <c:v>349.23506143398839</c:v>
                </c:pt>
                <c:pt idx="35">
                  <c:v>349.23506143398839</c:v>
                </c:pt>
                <c:pt idx="36">
                  <c:v>293.66975814369101</c:v>
                </c:pt>
                <c:pt idx="37">
                  <c:v>392.00377257605692</c:v>
                </c:pt>
                <c:pt idx="38">
                  <c:v>293.66975814369101</c:v>
                </c:pt>
                <c:pt idx="39">
                  <c:v>246.94521361646048</c:v>
                </c:pt>
                <c:pt idx="40">
                  <c:v>293.66975814369101</c:v>
                </c:pt>
                <c:pt idx="41">
                  <c:v>329.63372180082422</c:v>
                </c:pt>
                <c:pt idx="42">
                  <c:v>261.62956379894968</c:v>
                </c:pt>
                <c:pt idx="43">
                  <c:v>329.63372180082422</c:v>
                </c:pt>
                <c:pt idx="44">
                  <c:v>220.00279814001337</c:v>
                </c:pt>
                <c:pt idx="45">
                  <c:v>246.94521361646048</c:v>
                </c:pt>
                <c:pt idx="46">
                  <c:v>493.89549345236594</c:v>
                </c:pt>
                <c:pt idx="47">
                  <c:v>220.00279814001337</c:v>
                </c:pt>
                <c:pt idx="48">
                  <c:v>246.94521361646048</c:v>
                </c:pt>
                <c:pt idx="49">
                  <c:v>493.89549345236594</c:v>
                </c:pt>
                <c:pt idx="50">
                  <c:v>220.00279814001337</c:v>
                </c:pt>
                <c:pt idx="51">
                  <c:v>246.94521361646048</c:v>
                </c:pt>
                <c:pt idx="52">
                  <c:v>493.89549345236594</c:v>
                </c:pt>
                <c:pt idx="53">
                  <c:v>220.00279814001337</c:v>
                </c:pt>
                <c:pt idx="54">
                  <c:v>246.94521361646048</c:v>
                </c:pt>
                <c:pt idx="55">
                  <c:v>493.89549345236594</c:v>
                </c:pt>
                <c:pt idx="56">
                  <c:v>164.8151702626221</c:v>
                </c:pt>
                <c:pt idx="57">
                  <c:v>195.99987576438383</c:v>
                </c:pt>
                <c:pt idx="58">
                  <c:v>164.8151702626221</c:v>
                </c:pt>
                <c:pt idx="59">
                  <c:v>220.00279814001337</c:v>
                </c:pt>
                <c:pt idx="60">
                  <c:v>164.8151702626221</c:v>
                </c:pt>
                <c:pt idx="61">
                  <c:v>246.94521361646048</c:v>
                </c:pt>
                <c:pt idx="62">
                  <c:v>164.8151702626221</c:v>
                </c:pt>
                <c:pt idx="63">
                  <c:v>246.94521361646048</c:v>
                </c:pt>
                <c:pt idx="64">
                  <c:v>164.8151702626221</c:v>
                </c:pt>
                <c:pt idx="65">
                  <c:v>195.99987576438383</c:v>
                </c:pt>
                <c:pt idx="66">
                  <c:v>195.99987576438383</c:v>
                </c:pt>
                <c:pt idx="67">
                  <c:v>195.99987576438383</c:v>
                </c:pt>
                <c:pt idx="68">
                  <c:v>195.99987576438383</c:v>
                </c:pt>
                <c:pt idx="69">
                  <c:v>164.8151702626221</c:v>
                </c:pt>
                <c:pt idx="70">
                  <c:v>195.99987576438383</c:v>
                </c:pt>
                <c:pt idx="71">
                  <c:v>164.8151702626221</c:v>
                </c:pt>
                <c:pt idx="72">
                  <c:v>220.00279814001337</c:v>
                </c:pt>
                <c:pt idx="73">
                  <c:v>164.8151702626221</c:v>
                </c:pt>
                <c:pt idx="74">
                  <c:v>246.94521361646048</c:v>
                </c:pt>
                <c:pt idx="75">
                  <c:v>164.8151702626221</c:v>
                </c:pt>
                <c:pt idx="76">
                  <c:v>246.94521361646048</c:v>
                </c:pt>
                <c:pt idx="77">
                  <c:v>164.8151702626221</c:v>
                </c:pt>
                <c:pt idx="78">
                  <c:v>195.99987576438383</c:v>
                </c:pt>
                <c:pt idx="79">
                  <c:v>195.99987576438383</c:v>
                </c:pt>
                <c:pt idx="80">
                  <c:v>195.99987576438383</c:v>
                </c:pt>
                <c:pt idx="81">
                  <c:v>195.99987576438383</c:v>
                </c:pt>
                <c:pt idx="82">
                  <c:v>164.8151702626221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47520"/>
        <c:axId val="123348096"/>
      </c:scatterChart>
      <c:valAx>
        <c:axId val="123347520"/>
        <c:scaling>
          <c:orientation val="minMax"/>
          <c:max val="11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348096"/>
        <c:crosses val="autoZero"/>
        <c:crossBetween val="midCat"/>
        <c:majorUnit val="21"/>
        <c:minorUnit val="1"/>
      </c:valAx>
      <c:valAx>
        <c:axId val="123348096"/>
        <c:scaling>
          <c:logBase val="10"/>
          <c:orientation val="minMax"/>
          <c:max val="20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3347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94975491077314"/>
          <c:y val="0.20766600784213701"/>
          <c:w val="9.4591497980560602E-2"/>
          <c:h val="0.51248143071184904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1/4 of All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9175155553108298E-2"/>
          <c:y val="0.154069622876088"/>
          <c:w val="0.83349244908216302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1st Guitar</c:v>
          </c:tx>
          <c:xVal>
            <c:numRef>
              <c:f>Sheet4!$A$1335:$A$1375</c:f>
              <c:numCache>
                <c:formatCode>General</c:formatCode>
                <c:ptCount val="41"/>
                <c:pt idx="0">
                  <c:v>51</c:v>
                </c:pt>
                <c:pt idx="1">
                  <c:v>52.5</c:v>
                </c:pt>
                <c:pt idx="2">
                  <c:v>53.75</c:v>
                </c:pt>
                <c:pt idx="3">
                  <c:v>55.5</c:v>
                </c:pt>
                <c:pt idx="4">
                  <c:v>56.75</c:v>
                </c:pt>
                <c:pt idx="5">
                  <c:v>58</c:v>
                </c:pt>
                <c:pt idx="6">
                  <c:v>60</c:v>
                </c:pt>
                <c:pt idx="7">
                  <c:v>61</c:v>
                </c:pt>
                <c:pt idx="8">
                  <c:v>62.5</c:v>
                </c:pt>
                <c:pt idx="9">
                  <c:v>64.25</c:v>
                </c:pt>
                <c:pt idx="10">
                  <c:v>65.5</c:v>
                </c:pt>
                <c:pt idx="11">
                  <c:v>67.5</c:v>
                </c:pt>
                <c:pt idx="12">
                  <c:v>68.75</c:v>
                </c:pt>
                <c:pt idx="13">
                  <c:v>70</c:v>
                </c:pt>
                <c:pt idx="14">
                  <c:v>72</c:v>
                </c:pt>
                <c:pt idx="15">
                  <c:v>73</c:v>
                </c:pt>
                <c:pt idx="16">
                  <c:v>74.5</c:v>
                </c:pt>
                <c:pt idx="17">
                  <c:v>76.25</c:v>
                </c:pt>
                <c:pt idx="18">
                  <c:v>77.5</c:v>
                </c:pt>
                <c:pt idx="19">
                  <c:v>79</c:v>
                </c:pt>
                <c:pt idx="20">
                  <c:v>80.5</c:v>
                </c:pt>
                <c:pt idx="21">
                  <c:v>82</c:v>
                </c:pt>
                <c:pt idx="22">
                  <c:v>84</c:v>
                </c:pt>
                <c:pt idx="23">
                  <c:v>85</c:v>
                </c:pt>
                <c:pt idx="24">
                  <c:v>86.5</c:v>
                </c:pt>
                <c:pt idx="25">
                  <c:v>88</c:v>
                </c:pt>
                <c:pt idx="26">
                  <c:v>89</c:v>
                </c:pt>
                <c:pt idx="27">
                  <c:v>90.5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98</c:v>
                </c:pt>
                <c:pt idx="34">
                  <c:v>100</c:v>
                </c:pt>
                <c:pt idx="35">
                  <c:v>101</c:v>
                </c:pt>
                <c:pt idx="36">
                  <c:v>102</c:v>
                </c:pt>
                <c:pt idx="37">
                  <c:v>103</c:v>
                </c:pt>
                <c:pt idx="38">
                  <c:v>104</c:v>
                </c:pt>
                <c:pt idx="39">
                  <c:v>106</c:v>
                </c:pt>
                <c:pt idx="40">
                  <c:v>108</c:v>
                </c:pt>
              </c:numCache>
            </c:numRef>
          </c:xVal>
          <c:yVal>
            <c:numRef>
              <c:f>Sheet4!$D$1335:$D$1375</c:f>
              <c:numCache>
                <c:formatCode>General</c:formatCode>
                <c:ptCount val="41"/>
                <c:pt idx="0">
                  <c:v>329.63372180082422</c:v>
                </c:pt>
                <c:pt idx="1">
                  <c:v>493.89549345236594</c:v>
                </c:pt>
                <c:pt idx="2">
                  <c:v>293.66975814369101</c:v>
                </c:pt>
                <c:pt idx="3">
                  <c:v>392.00377257605692</c:v>
                </c:pt>
                <c:pt idx="4">
                  <c:v>392.00377257605692</c:v>
                </c:pt>
                <c:pt idx="5">
                  <c:v>493.89549345236594</c:v>
                </c:pt>
                <c:pt idx="6">
                  <c:v>293.66975814369101</c:v>
                </c:pt>
                <c:pt idx="7">
                  <c:v>440.01010976071973</c:v>
                </c:pt>
                <c:pt idx="8">
                  <c:v>392.00377257605692</c:v>
                </c:pt>
                <c:pt idx="9">
                  <c:v>329.63372180082422</c:v>
                </c:pt>
                <c:pt idx="10">
                  <c:v>392.00377257605692</c:v>
                </c:pt>
                <c:pt idx="11">
                  <c:v>392.00377257605692</c:v>
                </c:pt>
                <c:pt idx="12">
                  <c:v>392.00377257605692</c:v>
                </c:pt>
                <c:pt idx="13">
                  <c:v>493.89549345236594</c:v>
                </c:pt>
                <c:pt idx="14">
                  <c:v>293.66975814369101</c:v>
                </c:pt>
                <c:pt idx="15">
                  <c:v>493.89549345236594</c:v>
                </c:pt>
                <c:pt idx="16">
                  <c:v>392.00377257605692</c:v>
                </c:pt>
                <c:pt idx="17">
                  <c:v>392.00377257605692</c:v>
                </c:pt>
                <c:pt idx="18">
                  <c:v>392.00377257605692</c:v>
                </c:pt>
                <c:pt idx="19">
                  <c:v>523.26449507501752</c:v>
                </c:pt>
                <c:pt idx="20">
                  <c:v>349.23506143398839</c:v>
                </c:pt>
                <c:pt idx="21">
                  <c:v>329.63372180082422</c:v>
                </c:pt>
                <c:pt idx="22">
                  <c:v>349.23506143398839</c:v>
                </c:pt>
                <c:pt idx="23">
                  <c:v>392.00377257605692</c:v>
                </c:pt>
                <c:pt idx="24">
                  <c:v>392.00377257605692</c:v>
                </c:pt>
                <c:pt idx="25">
                  <c:v>349.23506143398839</c:v>
                </c:pt>
                <c:pt idx="26">
                  <c:v>392.00377257605692</c:v>
                </c:pt>
                <c:pt idx="27">
                  <c:v>392.00377257605692</c:v>
                </c:pt>
                <c:pt idx="28">
                  <c:v>293.66975814369101</c:v>
                </c:pt>
                <c:pt idx="29">
                  <c:v>293.66975814369101</c:v>
                </c:pt>
                <c:pt idx="30">
                  <c:v>293.66975814369101</c:v>
                </c:pt>
                <c:pt idx="31">
                  <c:v>293.66975814369101</c:v>
                </c:pt>
                <c:pt idx="32">
                  <c:v>587.34554108704231</c:v>
                </c:pt>
                <c:pt idx="33">
                  <c:v>587.34554108704231</c:v>
                </c:pt>
                <c:pt idx="34">
                  <c:v>293.66975814369101</c:v>
                </c:pt>
                <c:pt idx="35">
                  <c:v>293.66975814369101</c:v>
                </c:pt>
                <c:pt idx="36">
                  <c:v>293.66975814369101</c:v>
                </c:pt>
                <c:pt idx="37">
                  <c:v>293.66975814369101</c:v>
                </c:pt>
                <c:pt idx="38">
                  <c:v>587.34554108704231</c:v>
                </c:pt>
                <c:pt idx="39">
                  <c:v>587.34554108704231</c:v>
                </c:pt>
                <c:pt idx="40">
                  <c:v>293.66975814369101</c:v>
                </c:pt>
              </c:numCache>
            </c:numRef>
          </c:yVal>
          <c:smooth val="0"/>
        </c:ser>
        <c:ser>
          <c:idx val="1"/>
          <c:order val="1"/>
          <c:tx>
            <c:v>2nd Guitar</c:v>
          </c:tx>
          <c:xVal>
            <c:numRef>
              <c:f>Sheet4!$F$1336:$F$1377</c:f>
              <c:numCache>
                <c:formatCode>General</c:formatCode>
                <c:ptCount val="42"/>
                <c:pt idx="0">
                  <c:v>52</c:v>
                </c:pt>
                <c:pt idx="1">
                  <c:v>53</c:v>
                </c:pt>
                <c:pt idx="2">
                  <c:v>54.5</c:v>
                </c:pt>
                <c:pt idx="3">
                  <c:v>56.25</c:v>
                </c:pt>
                <c:pt idx="4">
                  <c:v>57.5</c:v>
                </c:pt>
                <c:pt idx="5">
                  <c:v>59</c:v>
                </c:pt>
                <c:pt idx="6">
                  <c:v>60.5</c:v>
                </c:pt>
                <c:pt idx="7">
                  <c:v>61.75</c:v>
                </c:pt>
                <c:pt idx="8">
                  <c:v>63.5</c:v>
                </c:pt>
                <c:pt idx="9">
                  <c:v>64.75</c:v>
                </c:pt>
                <c:pt idx="10">
                  <c:v>66</c:v>
                </c:pt>
                <c:pt idx="11">
                  <c:v>68</c:v>
                </c:pt>
                <c:pt idx="12">
                  <c:v>69</c:v>
                </c:pt>
                <c:pt idx="13">
                  <c:v>70.5</c:v>
                </c:pt>
                <c:pt idx="14">
                  <c:v>72.25</c:v>
                </c:pt>
                <c:pt idx="15">
                  <c:v>73.5</c:v>
                </c:pt>
                <c:pt idx="16">
                  <c:v>75</c:v>
                </c:pt>
                <c:pt idx="17">
                  <c:v>76.5</c:v>
                </c:pt>
                <c:pt idx="18">
                  <c:v>77.75</c:v>
                </c:pt>
                <c:pt idx="19">
                  <c:v>79.5</c:v>
                </c:pt>
                <c:pt idx="20">
                  <c:v>80.75</c:v>
                </c:pt>
                <c:pt idx="21">
                  <c:v>82</c:v>
                </c:pt>
                <c:pt idx="22">
                  <c:v>84</c:v>
                </c:pt>
                <c:pt idx="23">
                  <c:v>85</c:v>
                </c:pt>
                <c:pt idx="24">
                  <c:v>86.5</c:v>
                </c:pt>
                <c:pt idx="25">
                  <c:v>88</c:v>
                </c:pt>
                <c:pt idx="26">
                  <c:v>89</c:v>
                </c:pt>
                <c:pt idx="27">
                  <c:v>90.5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99</c:v>
                </c:pt>
                <c:pt idx="35">
                  <c:v>100.5</c:v>
                </c:pt>
                <c:pt idx="36">
                  <c:v>101.5</c:v>
                </c:pt>
                <c:pt idx="37">
                  <c:v>102.5</c:v>
                </c:pt>
                <c:pt idx="38">
                  <c:v>103.5</c:v>
                </c:pt>
                <c:pt idx="39">
                  <c:v>104.5</c:v>
                </c:pt>
                <c:pt idx="40">
                  <c:v>106</c:v>
                </c:pt>
                <c:pt idx="41">
                  <c:v>108</c:v>
                </c:pt>
              </c:numCache>
            </c:numRef>
          </c:xVal>
          <c:yVal>
            <c:numRef>
              <c:f>Sheet4!$I$1336:$I$1377</c:f>
              <c:numCache>
                <c:formatCode>General</c:formatCode>
                <c:ptCount val="42"/>
                <c:pt idx="0">
                  <c:v>220.00279814001337</c:v>
                </c:pt>
                <c:pt idx="1">
                  <c:v>392.00377257605692</c:v>
                </c:pt>
                <c:pt idx="2">
                  <c:v>392.00377257605692</c:v>
                </c:pt>
                <c:pt idx="3">
                  <c:v>349.23506143398839</c:v>
                </c:pt>
                <c:pt idx="4">
                  <c:v>493.89549345236594</c:v>
                </c:pt>
                <c:pt idx="5">
                  <c:v>493.89549345236594</c:v>
                </c:pt>
                <c:pt idx="6">
                  <c:v>349.23506143398839</c:v>
                </c:pt>
                <c:pt idx="7">
                  <c:v>293.66975814369101</c:v>
                </c:pt>
                <c:pt idx="8">
                  <c:v>293.66975814369101</c:v>
                </c:pt>
                <c:pt idx="9">
                  <c:v>293.66975814369101</c:v>
                </c:pt>
                <c:pt idx="10">
                  <c:v>261.62956379894968</c:v>
                </c:pt>
                <c:pt idx="11">
                  <c:v>220.00279814001337</c:v>
                </c:pt>
                <c:pt idx="12">
                  <c:v>392.00377257605692</c:v>
                </c:pt>
                <c:pt idx="13">
                  <c:v>392.00377257605692</c:v>
                </c:pt>
                <c:pt idx="14">
                  <c:v>349.23506143398839</c:v>
                </c:pt>
                <c:pt idx="15">
                  <c:v>493.89549345236594</c:v>
                </c:pt>
                <c:pt idx="16">
                  <c:v>493.89549345236594</c:v>
                </c:pt>
                <c:pt idx="17">
                  <c:v>349.23506143398839</c:v>
                </c:pt>
                <c:pt idx="18">
                  <c:v>293.66975814369101</c:v>
                </c:pt>
                <c:pt idx="19">
                  <c:v>293.66975814369101</c:v>
                </c:pt>
                <c:pt idx="20">
                  <c:v>293.66975814369101</c:v>
                </c:pt>
                <c:pt idx="21">
                  <c:v>261.62956379894968</c:v>
                </c:pt>
                <c:pt idx="22">
                  <c:v>220.00279814001337</c:v>
                </c:pt>
                <c:pt idx="23">
                  <c:v>493.89549345236594</c:v>
                </c:pt>
                <c:pt idx="24">
                  <c:v>246.94521361646048</c:v>
                </c:pt>
                <c:pt idx="25">
                  <c:v>220.00279814001337</c:v>
                </c:pt>
                <c:pt idx="26">
                  <c:v>493.89549345236594</c:v>
                </c:pt>
                <c:pt idx="27">
                  <c:v>246.94521361646048</c:v>
                </c:pt>
                <c:pt idx="28">
                  <c:v>164.8151702626221</c:v>
                </c:pt>
                <c:pt idx="29">
                  <c:v>164.8151702626221</c:v>
                </c:pt>
                <c:pt idx="30">
                  <c:v>164.8151702626221</c:v>
                </c:pt>
                <c:pt idx="31">
                  <c:v>164.8151702626221</c:v>
                </c:pt>
                <c:pt idx="32">
                  <c:v>164.8151702626221</c:v>
                </c:pt>
                <c:pt idx="33">
                  <c:v>195.99987576438383</c:v>
                </c:pt>
                <c:pt idx="34">
                  <c:v>195.99987576438383</c:v>
                </c:pt>
                <c:pt idx="35">
                  <c:v>195.99987576438383</c:v>
                </c:pt>
                <c:pt idx="36">
                  <c:v>220.00279814001337</c:v>
                </c:pt>
                <c:pt idx="37">
                  <c:v>246.94521361646048</c:v>
                </c:pt>
                <c:pt idx="38">
                  <c:v>246.94521361646048</c:v>
                </c:pt>
                <c:pt idx="39">
                  <c:v>195.99987576438383</c:v>
                </c:pt>
                <c:pt idx="40">
                  <c:v>195.99987576438383</c:v>
                </c:pt>
                <c:pt idx="41">
                  <c:v>164.8151702626221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49824"/>
        <c:axId val="123350400"/>
      </c:scatterChart>
      <c:valAx>
        <c:axId val="123349824"/>
        <c:scaling>
          <c:orientation val="minMax"/>
          <c:max val="11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350400"/>
        <c:crosses val="autoZero"/>
        <c:crossBetween val="midCat"/>
        <c:majorUnit val="21"/>
        <c:minorUnit val="1"/>
      </c:valAx>
      <c:valAx>
        <c:axId val="123350400"/>
        <c:scaling>
          <c:logBase val="10"/>
          <c:orientation val="minMax"/>
          <c:max val="20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33498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0114699758274897"/>
          <c:y val="0.20766600784213701"/>
          <c:w val="8.8419931551109304E-2"/>
          <c:h val="0.51248143071184904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1/8 of All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9175155553108298E-2"/>
          <c:y val="0.154069622876088"/>
          <c:w val="0.82416998751680404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1st Guitar</c:v>
          </c:tx>
          <c:xVal>
            <c:numRef>
              <c:f>Sheet4!$A$1538:$A$1558</c:f>
              <c:numCache>
                <c:formatCode>General</c:formatCode>
                <c:ptCount val="21"/>
                <c:pt idx="0">
                  <c:v>52.5</c:v>
                </c:pt>
                <c:pt idx="1">
                  <c:v>55.5</c:v>
                </c:pt>
                <c:pt idx="2">
                  <c:v>58</c:v>
                </c:pt>
                <c:pt idx="3">
                  <c:v>61</c:v>
                </c:pt>
                <c:pt idx="4">
                  <c:v>64.25</c:v>
                </c:pt>
                <c:pt idx="5">
                  <c:v>67.5</c:v>
                </c:pt>
                <c:pt idx="6">
                  <c:v>70</c:v>
                </c:pt>
                <c:pt idx="7">
                  <c:v>73</c:v>
                </c:pt>
                <c:pt idx="8">
                  <c:v>76.25</c:v>
                </c:pt>
                <c:pt idx="9">
                  <c:v>79</c:v>
                </c:pt>
                <c:pt idx="10">
                  <c:v>82</c:v>
                </c:pt>
                <c:pt idx="11">
                  <c:v>85</c:v>
                </c:pt>
                <c:pt idx="12">
                  <c:v>88</c:v>
                </c:pt>
                <c:pt idx="13">
                  <c:v>90.5</c:v>
                </c:pt>
                <c:pt idx="14">
                  <c:v>93</c:v>
                </c:pt>
                <c:pt idx="15">
                  <c:v>95</c:v>
                </c:pt>
                <c:pt idx="16">
                  <c:v>98</c:v>
                </c:pt>
                <c:pt idx="17">
                  <c:v>101</c:v>
                </c:pt>
                <c:pt idx="18">
                  <c:v>103</c:v>
                </c:pt>
                <c:pt idx="19">
                  <c:v>106</c:v>
                </c:pt>
                <c:pt idx="20">
                  <c:v>109</c:v>
                </c:pt>
              </c:numCache>
            </c:numRef>
          </c:xVal>
          <c:yVal>
            <c:numRef>
              <c:f>Sheet4!$D$1538:$D$1558</c:f>
              <c:numCache>
                <c:formatCode>General</c:formatCode>
                <c:ptCount val="21"/>
                <c:pt idx="0">
                  <c:v>493.89549345236594</c:v>
                </c:pt>
                <c:pt idx="1">
                  <c:v>392.00377257605692</c:v>
                </c:pt>
                <c:pt idx="2">
                  <c:v>493.89549345236594</c:v>
                </c:pt>
                <c:pt idx="3">
                  <c:v>440.01010976071973</c:v>
                </c:pt>
                <c:pt idx="4">
                  <c:v>329.63372180082422</c:v>
                </c:pt>
                <c:pt idx="5">
                  <c:v>392.00377257605692</c:v>
                </c:pt>
                <c:pt idx="6">
                  <c:v>493.89549345236594</c:v>
                </c:pt>
                <c:pt idx="7">
                  <c:v>493.89549345236594</c:v>
                </c:pt>
                <c:pt idx="8">
                  <c:v>392.00377257605692</c:v>
                </c:pt>
                <c:pt idx="9">
                  <c:v>523.26449507501752</c:v>
                </c:pt>
                <c:pt idx="10">
                  <c:v>329.63372180082422</c:v>
                </c:pt>
                <c:pt idx="11">
                  <c:v>392.00377257605692</c:v>
                </c:pt>
                <c:pt idx="12">
                  <c:v>349.23506143398839</c:v>
                </c:pt>
                <c:pt idx="13">
                  <c:v>392.00377257605692</c:v>
                </c:pt>
                <c:pt idx="14">
                  <c:v>293.66975814369101</c:v>
                </c:pt>
                <c:pt idx="15">
                  <c:v>293.66975814369101</c:v>
                </c:pt>
                <c:pt idx="16">
                  <c:v>587.34554108704231</c:v>
                </c:pt>
                <c:pt idx="17">
                  <c:v>293.66975814369101</c:v>
                </c:pt>
                <c:pt idx="18">
                  <c:v>293.66975814369101</c:v>
                </c:pt>
                <c:pt idx="19">
                  <c:v>587.34554108704231</c:v>
                </c:pt>
                <c:pt idx="20">
                  <c:v>293.66975814369101</c:v>
                </c:pt>
              </c:numCache>
            </c:numRef>
          </c:yVal>
          <c:smooth val="0"/>
        </c:ser>
        <c:ser>
          <c:idx val="1"/>
          <c:order val="1"/>
          <c:tx>
            <c:v>2nd Guitar</c:v>
          </c:tx>
          <c:xVal>
            <c:numRef>
              <c:f>Sheet4!$F$1538:$F$1559</c:f>
              <c:numCache>
                <c:formatCode>General</c:formatCode>
                <c:ptCount val="22"/>
                <c:pt idx="0">
                  <c:v>52</c:v>
                </c:pt>
                <c:pt idx="1">
                  <c:v>54.5</c:v>
                </c:pt>
                <c:pt idx="2">
                  <c:v>57.5</c:v>
                </c:pt>
                <c:pt idx="3">
                  <c:v>60.5</c:v>
                </c:pt>
                <c:pt idx="4">
                  <c:v>63.5</c:v>
                </c:pt>
                <c:pt idx="5">
                  <c:v>66</c:v>
                </c:pt>
                <c:pt idx="6">
                  <c:v>69</c:v>
                </c:pt>
                <c:pt idx="7">
                  <c:v>72.25</c:v>
                </c:pt>
                <c:pt idx="8">
                  <c:v>75</c:v>
                </c:pt>
                <c:pt idx="9">
                  <c:v>77.75</c:v>
                </c:pt>
                <c:pt idx="10">
                  <c:v>80.75</c:v>
                </c:pt>
                <c:pt idx="11">
                  <c:v>84</c:v>
                </c:pt>
                <c:pt idx="12">
                  <c:v>86.5</c:v>
                </c:pt>
                <c:pt idx="13">
                  <c:v>89</c:v>
                </c:pt>
                <c:pt idx="14">
                  <c:v>92</c:v>
                </c:pt>
                <c:pt idx="15">
                  <c:v>94</c:v>
                </c:pt>
                <c:pt idx="16">
                  <c:v>96</c:v>
                </c:pt>
                <c:pt idx="17">
                  <c:v>99</c:v>
                </c:pt>
                <c:pt idx="18">
                  <c:v>101.5</c:v>
                </c:pt>
                <c:pt idx="19">
                  <c:v>103.5</c:v>
                </c:pt>
                <c:pt idx="20">
                  <c:v>106</c:v>
                </c:pt>
                <c:pt idx="21">
                  <c:v>109</c:v>
                </c:pt>
              </c:numCache>
            </c:numRef>
          </c:xVal>
          <c:yVal>
            <c:numRef>
              <c:f>Sheet4!$I$1538:$I$1559</c:f>
              <c:numCache>
                <c:formatCode>General</c:formatCode>
                <c:ptCount val="22"/>
                <c:pt idx="0">
                  <c:v>220.00279814001337</c:v>
                </c:pt>
                <c:pt idx="1">
                  <c:v>392.00377257605692</c:v>
                </c:pt>
                <c:pt idx="2">
                  <c:v>493.89549345236594</c:v>
                </c:pt>
                <c:pt idx="3">
                  <c:v>349.23506143398839</c:v>
                </c:pt>
                <c:pt idx="4">
                  <c:v>293.66975814369101</c:v>
                </c:pt>
                <c:pt idx="5">
                  <c:v>261.62956379894968</c:v>
                </c:pt>
                <c:pt idx="6">
                  <c:v>392.00377257605692</c:v>
                </c:pt>
                <c:pt idx="7">
                  <c:v>349.23506143398839</c:v>
                </c:pt>
                <c:pt idx="8">
                  <c:v>493.89549345236594</c:v>
                </c:pt>
                <c:pt idx="9">
                  <c:v>293.66975814369101</c:v>
                </c:pt>
                <c:pt idx="10">
                  <c:v>293.66975814369101</c:v>
                </c:pt>
                <c:pt idx="11">
                  <c:v>220.00279814001337</c:v>
                </c:pt>
                <c:pt idx="12">
                  <c:v>246.94521361646048</c:v>
                </c:pt>
                <c:pt idx="13">
                  <c:v>493.89549345236594</c:v>
                </c:pt>
                <c:pt idx="14">
                  <c:v>164.8151702626221</c:v>
                </c:pt>
                <c:pt idx="15">
                  <c:v>164.8151702626221</c:v>
                </c:pt>
                <c:pt idx="16">
                  <c:v>164.8151702626221</c:v>
                </c:pt>
                <c:pt idx="17">
                  <c:v>195.99987576438383</c:v>
                </c:pt>
                <c:pt idx="18">
                  <c:v>220.00279814001337</c:v>
                </c:pt>
                <c:pt idx="19">
                  <c:v>246.94521361646048</c:v>
                </c:pt>
                <c:pt idx="20">
                  <c:v>195.99987576438383</c:v>
                </c:pt>
                <c:pt idx="21">
                  <c:v>164.8151702626221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3280"/>
        <c:axId val="123353856"/>
      </c:scatterChart>
      <c:valAx>
        <c:axId val="123353280"/>
        <c:scaling>
          <c:orientation val="minMax"/>
          <c:max val="11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353856"/>
        <c:crosses val="autoZero"/>
        <c:crossBetween val="midCat"/>
        <c:majorUnit val="21"/>
        <c:minorUnit val="1"/>
      </c:valAx>
      <c:valAx>
        <c:axId val="123353856"/>
        <c:scaling>
          <c:logBase val="10"/>
          <c:orientation val="minMax"/>
          <c:max val="20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33532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1012663241789904"/>
          <c:y val="0.20766600784213701"/>
          <c:w val="7.9440416746687101E-2"/>
          <c:h val="0.51248143071184904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 Written Notes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936454303181399E-2"/>
          <c:y val="0.181659388646288"/>
          <c:w val="0.92040701068724495"/>
          <c:h val="0.65119726300588199"/>
        </c:manualLayout>
      </c:layout>
      <c:scatterChart>
        <c:scatterStyle val="lineMarker"/>
        <c:varyColors val="0"/>
        <c:ser>
          <c:idx val="0"/>
          <c:order val="0"/>
          <c:tx>
            <c:v>1st Guitar</c:v>
          </c:tx>
          <c:xVal>
            <c:numRef>
              <c:f>Sheet4!$A$4:$A$849</c:f>
              <c:numCache>
                <c:formatCode>General</c:formatCode>
                <c:ptCount val="846"/>
                <c:pt idx="0">
                  <c:v>4</c:v>
                </c:pt>
                <c:pt idx="1">
                  <c:v>4.25</c:v>
                </c:pt>
                <c:pt idx="2">
                  <c:v>4.5</c:v>
                </c:pt>
                <c:pt idx="3">
                  <c:v>4.75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8.25</c:v>
                </c:pt>
                <c:pt idx="12">
                  <c:v>8.5</c:v>
                </c:pt>
                <c:pt idx="13">
                  <c:v>8.75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12.25</c:v>
                </c:pt>
                <c:pt idx="22">
                  <c:v>12.5</c:v>
                </c:pt>
                <c:pt idx="23">
                  <c:v>12.75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</c:v>
                </c:pt>
                <c:pt idx="29">
                  <c:v>15.5</c:v>
                </c:pt>
                <c:pt idx="30">
                  <c:v>16</c:v>
                </c:pt>
                <c:pt idx="31">
                  <c:v>16.25</c:v>
                </c:pt>
                <c:pt idx="32">
                  <c:v>16.5</c:v>
                </c:pt>
                <c:pt idx="33">
                  <c:v>16.75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20.25</c:v>
                </c:pt>
                <c:pt idx="42">
                  <c:v>20.5</c:v>
                </c:pt>
                <c:pt idx="43">
                  <c:v>20.75</c:v>
                </c:pt>
                <c:pt idx="44">
                  <c:v>21</c:v>
                </c:pt>
                <c:pt idx="45">
                  <c:v>21.5</c:v>
                </c:pt>
                <c:pt idx="46">
                  <c:v>21.75</c:v>
                </c:pt>
                <c:pt idx="47">
                  <c:v>22</c:v>
                </c:pt>
                <c:pt idx="48">
                  <c:v>22.5</c:v>
                </c:pt>
                <c:pt idx="49">
                  <c:v>23</c:v>
                </c:pt>
                <c:pt idx="50">
                  <c:v>23.5</c:v>
                </c:pt>
                <c:pt idx="51">
                  <c:v>24</c:v>
                </c:pt>
                <c:pt idx="52">
                  <c:v>24.25</c:v>
                </c:pt>
                <c:pt idx="53">
                  <c:v>24.5</c:v>
                </c:pt>
                <c:pt idx="54">
                  <c:v>24.75</c:v>
                </c:pt>
                <c:pt idx="55">
                  <c:v>25</c:v>
                </c:pt>
                <c:pt idx="56">
                  <c:v>25.5</c:v>
                </c:pt>
                <c:pt idx="57">
                  <c:v>25.75</c:v>
                </c:pt>
                <c:pt idx="58">
                  <c:v>26</c:v>
                </c:pt>
                <c:pt idx="59">
                  <c:v>26.5</c:v>
                </c:pt>
                <c:pt idx="60">
                  <c:v>27</c:v>
                </c:pt>
                <c:pt idx="61">
                  <c:v>27.5</c:v>
                </c:pt>
                <c:pt idx="62">
                  <c:v>28</c:v>
                </c:pt>
                <c:pt idx="63">
                  <c:v>28.25</c:v>
                </c:pt>
                <c:pt idx="64">
                  <c:v>28.5</c:v>
                </c:pt>
                <c:pt idx="65">
                  <c:v>28.75</c:v>
                </c:pt>
                <c:pt idx="66">
                  <c:v>29</c:v>
                </c:pt>
                <c:pt idx="67">
                  <c:v>29.5</c:v>
                </c:pt>
                <c:pt idx="68">
                  <c:v>29.75</c:v>
                </c:pt>
                <c:pt idx="69">
                  <c:v>30</c:v>
                </c:pt>
                <c:pt idx="70">
                  <c:v>30.5</c:v>
                </c:pt>
                <c:pt idx="71">
                  <c:v>31</c:v>
                </c:pt>
                <c:pt idx="72">
                  <c:v>31.5</c:v>
                </c:pt>
                <c:pt idx="73">
                  <c:v>32</c:v>
                </c:pt>
                <c:pt idx="74">
                  <c:v>32.25</c:v>
                </c:pt>
                <c:pt idx="75">
                  <c:v>32.5</c:v>
                </c:pt>
                <c:pt idx="76">
                  <c:v>32.75</c:v>
                </c:pt>
                <c:pt idx="77">
                  <c:v>33</c:v>
                </c:pt>
                <c:pt idx="78">
                  <c:v>33.5</c:v>
                </c:pt>
                <c:pt idx="79">
                  <c:v>34</c:v>
                </c:pt>
                <c:pt idx="80">
                  <c:v>34.5</c:v>
                </c:pt>
                <c:pt idx="81">
                  <c:v>35</c:v>
                </c:pt>
                <c:pt idx="82">
                  <c:v>35.5</c:v>
                </c:pt>
                <c:pt idx="83">
                  <c:v>36</c:v>
                </c:pt>
                <c:pt idx="84">
                  <c:v>36.25</c:v>
                </c:pt>
                <c:pt idx="85">
                  <c:v>36.5</c:v>
                </c:pt>
                <c:pt idx="86">
                  <c:v>36.75</c:v>
                </c:pt>
                <c:pt idx="87">
                  <c:v>37</c:v>
                </c:pt>
                <c:pt idx="88">
                  <c:v>37.5</c:v>
                </c:pt>
                <c:pt idx="89">
                  <c:v>37.75</c:v>
                </c:pt>
                <c:pt idx="90">
                  <c:v>38</c:v>
                </c:pt>
                <c:pt idx="91">
                  <c:v>38.5</c:v>
                </c:pt>
                <c:pt idx="92">
                  <c:v>39</c:v>
                </c:pt>
                <c:pt idx="93">
                  <c:v>39.5</c:v>
                </c:pt>
                <c:pt idx="94">
                  <c:v>40</c:v>
                </c:pt>
                <c:pt idx="95">
                  <c:v>40.25</c:v>
                </c:pt>
                <c:pt idx="96">
                  <c:v>40.5</c:v>
                </c:pt>
                <c:pt idx="97">
                  <c:v>40.75</c:v>
                </c:pt>
                <c:pt idx="98">
                  <c:v>41</c:v>
                </c:pt>
                <c:pt idx="99">
                  <c:v>41.5</c:v>
                </c:pt>
                <c:pt idx="100">
                  <c:v>41.75</c:v>
                </c:pt>
                <c:pt idx="101">
                  <c:v>42</c:v>
                </c:pt>
                <c:pt idx="102">
                  <c:v>42.5</c:v>
                </c:pt>
                <c:pt idx="103">
                  <c:v>43</c:v>
                </c:pt>
                <c:pt idx="104">
                  <c:v>43.5</c:v>
                </c:pt>
                <c:pt idx="105">
                  <c:v>44</c:v>
                </c:pt>
                <c:pt idx="106">
                  <c:v>44.25</c:v>
                </c:pt>
                <c:pt idx="107">
                  <c:v>44.5</c:v>
                </c:pt>
                <c:pt idx="108">
                  <c:v>44.75</c:v>
                </c:pt>
                <c:pt idx="109">
                  <c:v>45</c:v>
                </c:pt>
                <c:pt idx="110">
                  <c:v>45.5</c:v>
                </c:pt>
                <c:pt idx="111">
                  <c:v>45.75</c:v>
                </c:pt>
                <c:pt idx="112">
                  <c:v>46</c:v>
                </c:pt>
                <c:pt idx="113">
                  <c:v>46.5</c:v>
                </c:pt>
                <c:pt idx="114">
                  <c:v>47</c:v>
                </c:pt>
                <c:pt idx="115">
                  <c:v>47.5</c:v>
                </c:pt>
                <c:pt idx="116">
                  <c:v>48</c:v>
                </c:pt>
                <c:pt idx="117">
                  <c:v>48.25</c:v>
                </c:pt>
                <c:pt idx="118">
                  <c:v>48.5</c:v>
                </c:pt>
                <c:pt idx="119">
                  <c:v>48.75</c:v>
                </c:pt>
                <c:pt idx="120">
                  <c:v>49</c:v>
                </c:pt>
                <c:pt idx="121">
                  <c:v>49.5</c:v>
                </c:pt>
                <c:pt idx="122">
                  <c:v>50</c:v>
                </c:pt>
                <c:pt idx="123">
                  <c:v>50.5</c:v>
                </c:pt>
                <c:pt idx="124">
                  <c:v>51</c:v>
                </c:pt>
                <c:pt idx="125">
                  <c:v>51.5</c:v>
                </c:pt>
                <c:pt idx="126">
                  <c:v>52</c:v>
                </c:pt>
                <c:pt idx="127">
                  <c:v>52.25</c:v>
                </c:pt>
                <c:pt idx="128">
                  <c:v>52.5</c:v>
                </c:pt>
                <c:pt idx="129">
                  <c:v>52.75</c:v>
                </c:pt>
                <c:pt idx="130">
                  <c:v>53</c:v>
                </c:pt>
                <c:pt idx="131">
                  <c:v>53.5</c:v>
                </c:pt>
                <c:pt idx="132">
                  <c:v>53.75</c:v>
                </c:pt>
                <c:pt idx="133">
                  <c:v>54</c:v>
                </c:pt>
                <c:pt idx="134">
                  <c:v>54.5</c:v>
                </c:pt>
                <c:pt idx="135">
                  <c:v>55</c:v>
                </c:pt>
                <c:pt idx="136">
                  <c:v>55.5</c:v>
                </c:pt>
                <c:pt idx="137">
                  <c:v>56</c:v>
                </c:pt>
                <c:pt idx="138">
                  <c:v>56.25</c:v>
                </c:pt>
                <c:pt idx="139">
                  <c:v>56.5</c:v>
                </c:pt>
                <c:pt idx="140">
                  <c:v>56.75</c:v>
                </c:pt>
                <c:pt idx="141">
                  <c:v>57</c:v>
                </c:pt>
                <c:pt idx="142">
                  <c:v>57.5</c:v>
                </c:pt>
                <c:pt idx="143">
                  <c:v>57.75</c:v>
                </c:pt>
                <c:pt idx="144">
                  <c:v>58</c:v>
                </c:pt>
                <c:pt idx="145">
                  <c:v>58.5</c:v>
                </c:pt>
                <c:pt idx="146">
                  <c:v>59</c:v>
                </c:pt>
                <c:pt idx="147">
                  <c:v>59.5</c:v>
                </c:pt>
                <c:pt idx="148">
                  <c:v>60</c:v>
                </c:pt>
                <c:pt idx="149">
                  <c:v>60.25</c:v>
                </c:pt>
                <c:pt idx="150">
                  <c:v>60.5</c:v>
                </c:pt>
                <c:pt idx="151">
                  <c:v>60.75</c:v>
                </c:pt>
                <c:pt idx="152">
                  <c:v>61</c:v>
                </c:pt>
                <c:pt idx="153">
                  <c:v>61.5</c:v>
                </c:pt>
                <c:pt idx="154">
                  <c:v>61.75</c:v>
                </c:pt>
                <c:pt idx="155">
                  <c:v>62</c:v>
                </c:pt>
                <c:pt idx="156">
                  <c:v>62.5</c:v>
                </c:pt>
                <c:pt idx="157">
                  <c:v>63</c:v>
                </c:pt>
                <c:pt idx="158">
                  <c:v>63.5</c:v>
                </c:pt>
                <c:pt idx="159">
                  <c:v>64</c:v>
                </c:pt>
                <c:pt idx="160">
                  <c:v>64.25</c:v>
                </c:pt>
                <c:pt idx="161">
                  <c:v>64.5</c:v>
                </c:pt>
                <c:pt idx="162">
                  <c:v>64.75</c:v>
                </c:pt>
                <c:pt idx="163">
                  <c:v>65</c:v>
                </c:pt>
                <c:pt idx="164">
                  <c:v>65.5</c:v>
                </c:pt>
                <c:pt idx="165">
                  <c:v>66</c:v>
                </c:pt>
                <c:pt idx="166">
                  <c:v>66.5</c:v>
                </c:pt>
                <c:pt idx="167">
                  <c:v>67</c:v>
                </c:pt>
                <c:pt idx="168">
                  <c:v>67.5</c:v>
                </c:pt>
                <c:pt idx="169">
                  <c:v>68</c:v>
                </c:pt>
                <c:pt idx="170">
                  <c:v>68.25</c:v>
                </c:pt>
                <c:pt idx="171">
                  <c:v>68.5</c:v>
                </c:pt>
                <c:pt idx="172">
                  <c:v>68.75</c:v>
                </c:pt>
                <c:pt idx="173">
                  <c:v>69</c:v>
                </c:pt>
                <c:pt idx="174">
                  <c:v>69.5</c:v>
                </c:pt>
                <c:pt idx="175">
                  <c:v>69.75</c:v>
                </c:pt>
                <c:pt idx="176">
                  <c:v>70</c:v>
                </c:pt>
                <c:pt idx="177">
                  <c:v>70.5</c:v>
                </c:pt>
                <c:pt idx="178">
                  <c:v>71</c:v>
                </c:pt>
                <c:pt idx="179">
                  <c:v>71.5</c:v>
                </c:pt>
                <c:pt idx="180">
                  <c:v>72</c:v>
                </c:pt>
                <c:pt idx="181">
                  <c:v>72.25</c:v>
                </c:pt>
                <c:pt idx="182">
                  <c:v>72.5</c:v>
                </c:pt>
                <c:pt idx="183">
                  <c:v>72.75</c:v>
                </c:pt>
                <c:pt idx="184">
                  <c:v>73</c:v>
                </c:pt>
                <c:pt idx="185">
                  <c:v>73.5</c:v>
                </c:pt>
                <c:pt idx="186">
                  <c:v>73.75</c:v>
                </c:pt>
                <c:pt idx="187">
                  <c:v>74</c:v>
                </c:pt>
                <c:pt idx="188">
                  <c:v>74.5</c:v>
                </c:pt>
                <c:pt idx="189">
                  <c:v>75</c:v>
                </c:pt>
                <c:pt idx="190">
                  <c:v>75.5</c:v>
                </c:pt>
                <c:pt idx="191">
                  <c:v>76</c:v>
                </c:pt>
                <c:pt idx="192">
                  <c:v>76.25</c:v>
                </c:pt>
                <c:pt idx="193">
                  <c:v>76.5</c:v>
                </c:pt>
                <c:pt idx="194">
                  <c:v>76.75</c:v>
                </c:pt>
                <c:pt idx="195">
                  <c:v>77</c:v>
                </c:pt>
                <c:pt idx="196">
                  <c:v>77.5</c:v>
                </c:pt>
                <c:pt idx="197">
                  <c:v>77.75</c:v>
                </c:pt>
                <c:pt idx="198">
                  <c:v>78</c:v>
                </c:pt>
                <c:pt idx="199">
                  <c:v>78.5</c:v>
                </c:pt>
                <c:pt idx="200">
                  <c:v>79</c:v>
                </c:pt>
                <c:pt idx="201">
                  <c:v>79.5</c:v>
                </c:pt>
                <c:pt idx="202">
                  <c:v>80</c:v>
                </c:pt>
                <c:pt idx="203">
                  <c:v>80.25</c:v>
                </c:pt>
                <c:pt idx="204">
                  <c:v>80.5</c:v>
                </c:pt>
                <c:pt idx="205">
                  <c:v>80.75</c:v>
                </c:pt>
                <c:pt idx="206">
                  <c:v>81</c:v>
                </c:pt>
                <c:pt idx="207">
                  <c:v>81.5</c:v>
                </c:pt>
                <c:pt idx="208">
                  <c:v>82</c:v>
                </c:pt>
                <c:pt idx="209">
                  <c:v>82.5</c:v>
                </c:pt>
                <c:pt idx="210">
                  <c:v>83</c:v>
                </c:pt>
                <c:pt idx="211">
                  <c:v>83.5</c:v>
                </c:pt>
                <c:pt idx="212">
                  <c:v>84</c:v>
                </c:pt>
                <c:pt idx="213">
                  <c:v>84.25</c:v>
                </c:pt>
                <c:pt idx="214">
                  <c:v>84.5</c:v>
                </c:pt>
                <c:pt idx="215">
                  <c:v>84.75</c:v>
                </c:pt>
                <c:pt idx="216">
                  <c:v>85</c:v>
                </c:pt>
                <c:pt idx="217">
                  <c:v>85.5</c:v>
                </c:pt>
                <c:pt idx="218">
                  <c:v>86</c:v>
                </c:pt>
                <c:pt idx="219">
                  <c:v>86.25</c:v>
                </c:pt>
                <c:pt idx="220">
                  <c:v>86.5</c:v>
                </c:pt>
                <c:pt idx="221">
                  <c:v>86.75</c:v>
                </c:pt>
                <c:pt idx="222">
                  <c:v>87</c:v>
                </c:pt>
                <c:pt idx="223">
                  <c:v>87.5</c:v>
                </c:pt>
                <c:pt idx="224">
                  <c:v>88</c:v>
                </c:pt>
                <c:pt idx="225">
                  <c:v>88.25</c:v>
                </c:pt>
                <c:pt idx="226">
                  <c:v>88.5</c:v>
                </c:pt>
                <c:pt idx="227">
                  <c:v>88.75</c:v>
                </c:pt>
                <c:pt idx="228">
                  <c:v>89</c:v>
                </c:pt>
                <c:pt idx="229">
                  <c:v>89.5</c:v>
                </c:pt>
                <c:pt idx="230">
                  <c:v>90</c:v>
                </c:pt>
                <c:pt idx="231">
                  <c:v>90.25</c:v>
                </c:pt>
                <c:pt idx="232">
                  <c:v>90.5</c:v>
                </c:pt>
                <c:pt idx="233">
                  <c:v>90.75</c:v>
                </c:pt>
                <c:pt idx="234">
                  <c:v>91</c:v>
                </c:pt>
                <c:pt idx="235">
                  <c:v>91.5</c:v>
                </c:pt>
                <c:pt idx="236">
                  <c:v>92</c:v>
                </c:pt>
                <c:pt idx="237">
                  <c:v>92.25</c:v>
                </c:pt>
                <c:pt idx="238">
                  <c:v>92.5</c:v>
                </c:pt>
                <c:pt idx="239">
                  <c:v>92.75</c:v>
                </c:pt>
                <c:pt idx="240">
                  <c:v>93</c:v>
                </c:pt>
                <c:pt idx="241">
                  <c:v>93.25</c:v>
                </c:pt>
                <c:pt idx="242">
                  <c:v>93.5</c:v>
                </c:pt>
                <c:pt idx="243">
                  <c:v>93.75</c:v>
                </c:pt>
                <c:pt idx="244">
                  <c:v>94</c:v>
                </c:pt>
                <c:pt idx="245">
                  <c:v>94.25</c:v>
                </c:pt>
                <c:pt idx="246">
                  <c:v>94.5</c:v>
                </c:pt>
                <c:pt idx="247">
                  <c:v>94.75</c:v>
                </c:pt>
                <c:pt idx="248">
                  <c:v>95</c:v>
                </c:pt>
                <c:pt idx="249">
                  <c:v>95.25</c:v>
                </c:pt>
                <c:pt idx="250">
                  <c:v>95.5</c:v>
                </c:pt>
                <c:pt idx="251">
                  <c:v>95.75</c:v>
                </c:pt>
                <c:pt idx="252">
                  <c:v>96</c:v>
                </c:pt>
                <c:pt idx="253">
                  <c:v>96.5</c:v>
                </c:pt>
                <c:pt idx="254">
                  <c:v>97</c:v>
                </c:pt>
                <c:pt idx="255">
                  <c:v>97.5</c:v>
                </c:pt>
                <c:pt idx="256">
                  <c:v>98</c:v>
                </c:pt>
                <c:pt idx="257">
                  <c:v>98.5</c:v>
                </c:pt>
                <c:pt idx="258">
                  <c:v>99</c:v>
                </c:pt>
                <c:pt idx="259">
                  <c:v>99.5</c:v>
                </c:pt>
                <c:pt idx="260">
                  <c:v>100</c:v>
                </c:pt>
                <c:pt idx="261">
                  <c:v>100.25</c:v>
                </c:pt>
                <c:pt idx="262">
                  <c:v>100.5</c:v>
                </c:pt>
                <c:pt idx="263">
                  <c:v>100.75</c:v>
                </c:pt>
                <c:pt idx="264">
                  <c:v>101</c:v>
                </c:pt>
                <c:pt idx="265">
                  <c:v>101.25</c:v>
                </c:pt>
                <c:pt idx="266">
                  <c:v>101.5</c:v>
                </c:pt>
                <c:pt idx="267">
                  <c:v>101.75</c:v>
                </c:pt>
                <c:pt idx="268">
                  <c:v>102</c:v>
                </c:pt>
                <c:pt idx="269">
                  <c:v>102.25</c:v>
                </c:pt>
                <c:pt idx="270">
                  <c:v>102.5</c:v>
                </c:pt>
                <c:pt idx="271">
                  <c:v>102.75</c:v>
                </c:pt>
                <c:pt idx="272">
                  <c:v>103</c:v>
                </c:pt>
                <c:pt idx="273">
                  <c:v>103.25</c:v>
                </c:pt>
                <c:pt idx="274">
                  <c:v>103.5</c:v>
                </c:pt>
                <c:pt idx="275">
                  <c:v>103.75</c:v>
                </c:pt>
                <c:pt idx="276">
                  <c:v>104</c:v>
                </c:pt>
                <c:pt idx="277">
                  <c:v>104.5</c:v>
                </c:pt>
                <c:pt idx="278">
                  <c:v>105</c:v>
                </c:pt>
                <c:pt idx="279">
                  <c:v>105.5</c:v>
                </c:pt>
                <c:pt idx="280">
                  <c:v>106</c:v>
                </c:pt>
                <c:pt idx="281">
                  <c:v>106.5</c:v>
                </c:pt>
                <c:pt idx="282">
                  <c:v>107</c:v>
                </c:pt>
                <c:pt idx="283">
                  <c:v>107.5</c:v>
                </c:pt>
                <c:pt idx="284">
                  <c:v>108</c:v>
                </c:pt>
                <c:pt idx="285">
                  <c:v>108.25</c:v>
                </c:pt>
                <c:pt idx="286">
                  <c:v>108.5</c:v>
                </c:pt>
                <c:pt idx="287">
                  <c:v>108.75</c:v>
                </c:pt>
                <c:pt idx="288">
                  <c:v>109</c:v>
                </c:pt>
                <c:pt idx="289">
                  <c:v>109.25</c:v>
                </c:pt>
                <c:pt idx="290">
                  <c:v>109.5</c:v>
                </c:pt>
                <c:pt idx="291">
                  <c:v>109.75</c:v>
                </c:pt>
                <c:pt idx="292">
                  <c:v>110</c:v>
                </c:pt>
                <c:pt idx="293">
                  <c:v>110.25</c:v>
                </c:pt>
                <c:pt idx="294">
                  <c:v>110.5</c:v>
                </c:pt>
                <c:pt idx="295">
                  <c:v>110.75</c:v>
                </c:pt>
                <c:pt idx="296">
                  <c:v>111</c:v>
                </c:pt>
                <c:pt idx="297">
                  <c:v>111.25</c:v>
                </c:pt>
                <c:pt idx="298">
                  <c:v>111.5</c:v>
                </c:pt>
                <c:pt idx="299">
                  <c:v>111.75</c:v>
                </c:pt>
                <c:pt idx="300">
                  <c:v>112</c:v>
                </c:pt>
                <c:pt idx="301">
                  <c:v>112.5</c:v>
                </c:pt>
                <c:pt idx="302">
                  <c:v>113</c:v>
                </c:pt>
                <c:pt idx="303">
                  <c:v>113.5</c:v>
                </c:pt>
                <c:pt idx="304">
                  <c:v>114</c:v>
                </c:pt>
                <c:pt idx="305">
                  <c:v>114.5</c:v>
                </c:pt>
                <c:pt idx="306">
                  <c:v>115</c:v>
                </c:pt>
                <c:pt idx="307">
                  <c:v>115.5</c:v>
                </c:pt>
                <c:pt idx="308">
                  <c:v>116</c:v>
                </c:pt>
                <c:pt idx="309">
                  <c:v>116.25</c:v>
                </c:pt>
                <c:pt idx="310">
                  <c:v>116.5</c:v>
                </c:pt>
                <c:pt idx="311">
                  <c:v>116.75</c:v>
                </c:pt>
                <c:pt idx="312">
                  <c:v>117</c:v>
                </c:pt>
                <c:pt idx="313">
                  <c:v>117.25</c:v>
                </c:pt>
                <c:pt idx="314">
                  <c:v>117.5</c:v>
                </c:pt>
                <c:pt idx="315">
                  <c:v>117.75</c:v>
                </c:pt>
                <c:pt idx="316">
                  <c:v>118</c:v>
                </c:pt>
                <c:pt idx="317">
                  <c:v>118.25</c:v>
                </c:pt>
                <c:pt idx="318">
                  <c:v>118.5</c:v>
                </c:pt>
                <c:pt idx="319">
                  <c:v>118.75</c:v>
                </c:pt>
                <c:pt idx="320">
                  <c:v>119</c:v>
                </c:pt>
                <c:pt idx="321">
                  <c:v>119.25</c:v>
                </c:pt>
                <c:pt idx="322">
                  <c:v>119.5</c:v>
                </c:pt>
                <c:pt idx="323">
                  <c:v>119.75</c:v>
                </c:pt>
                <c:pt idx="324">
                  <c:v>120</c:v>
                </c:pt>
                <c:pt idx="325">
                  <c:v>120.5</c:v>
                </c:pt>
                <c:pt idx="326">
                  <c:v>121</c:v>
                </c:pt>
                <c:pt idx="327">
                  <c:v>121.5</c:v>
                </c:pt>
                <c:pt idx="328">
                  <c:v>122</c:v>
                </c:pt>
                <c:pt idx="329">
                  <c:v>122.5</c:v>
                </c:pt>
                <c:pt idx="330">
                  <c:v>123</c:v>
                </c:pt>
                <c:pt idx="331">
                  <c:v>123.5</c:v>
                </c:pt>
                <c:pt idx="332">
                  <c:v>124</c:v>
                </c:pt>
                <c:pt idx="333">
                  <c:v>124.25</c:v>
                </c:pt>
                <c:pt idx="334">
                  <c:v>124.5</c:v>
                </c:pt>
                <c:pt idx="335">
                  <c:v>124.75</c:v>
                </c:pt>
                <c:pt idx="336">
                  <c:v>125</c:v>
                </c:pt>
                <c:pt idx="337">
                  <c:v>125.5</c:v>
                </c:pt>
                <c:pt idx="338">
                  <c:v>125.75</c:v>
                </c:pt>
                <c:pt idx="339">
                  <c:v>126</c:v>
                </c:pt>
                <c:pt idx="340">
                  <c:v>126.5</c:v>
                </c:pt>
                <c:pt idx="341">
                  <c:v>127</c:v>
                </c:pt>
                <c:pt idx="342">
                  <c:v>127.5</c:v>
                </c:pt>
                <c:pt idx="343">
                  <c:v>128</c:v>
                </c:pt>
                <c:pt idx="344">
                  <c:v>128.25</c:v>
                </c:pt>
                <c:pt idx="345">
                  <c:v>128.5</c:v>
                </c:pt>
                <c:pt idx="346">
                  <c:v>128.75</c:v>
                </c:pt>
                <c:pt idx="347">
                  <c:v>129</c:v>
                </c:pt>
                <c:pt idx="348">
                  <c:v>129.5</c:v>
                </c:pt>
                <c:pt idx="349">
                  <c:v>129.75</c:v>
                </c:pt>
                <c:pt idx="350">
                  <c:v>130</c:v>
                </c:pt>
                <c:pt idx="351">
                  <c:v>130.5</c:v>
                </c:pt>
                <c:pt idx="352">
                  <c:v>131</c:v>
                </c:pt>
                <c:pt idx="353">
                  <c:v>131.5</c:v>
                </c:pt>
                <c:pt idx="354">
                  <c:v>132</c:v>
                </c:pt>
                <c:pt idx="355">
                  <c:v>132.25</c:v>
                </c:pt>
                <c:pt idx="356">
                  <c:v>132.5</c:v>
                </c:pt>
                <c:pt idx="357">
                  <c:v>132.75</c:v>
                </c:pt>
                <c:pt idx="358">
                  <c:v>133</c:v>
                </c:pt>
                <c:pt idx="359">
                  <c:v>133.5</c:v>
                </c:pt>
                <c:pt idx="360">
                  <c:v>133.75</c:v>
                </c:pt>
                <c:pt idx="361">
                  <c:v>134</c:v>
                </c:pt>
                <c:pt idx="362">
                  <c:v>134.5</c:v>
                </c:pt>
                <c:pt idx="363">
                  <c:v>135</c:v>
                </c:pt>
                <c:pt idx="364">
                  <c:v>135.5</c:v>
                </c:pt>
                <c:pt idx="365">
                  <c:v>136</c:v>
                </c:pt>
                <c:pt idx="366">
                  <c:v>136.25</c:v>
                </c:pt>
                <c:pt idx="367">
                  <c:v>136.5</c:v>
                </c:pt>
                <c:pt idx="368">
                  <c:v>136.75</c:v>
                </c:pt>
                <c:pt idx="369">
                  <c:v>137</c:v>
                </c:pt>
                <c:pt idx="370">
                  <c:v>137.5</c:v>
                </c:pt>
                <c:pt idx="371">
                  <c:v>138</c:v>
                </c:pt>
                <c:pt idx="372">
                  <c:v>138.5</c:v>
                </c:pt>
                <c:pt idx="373">
                  <c:v>139</c:v>
                </c:pt>
                <c:pt idx="374">
                  <c:v>139.5</c:v>
                </c:pt>
                <c:pt idx="375">
                  <c:v>140</c:v>
                </c:pt>
                <c:pt idx="376">
                  <c:v>140.25</c:v>
                </c:pt>
                <c:pt idx="377">
                  <c:v>140.5</c:v>
                </c:pt>
                <c:pt idx="378">
                  <c:v>140.75</c:v>
                </c:pt>
                <c:pt idx="379">
                  <c:v>141</c:v>
                </c:pt>
                <c:pt idx="380">
                  <c:v>141.5</c:v>
                </c:pt>
                <c:pt idx="381">
                  <c:v>141.75</c:v>
                </c:pt>
                <c:pt idx="382">
                  <c:v>142</c:v>
                </c:pt>
                <c:pt idx="383">
                  <c:v>142.5</c:v>
                </c:pt>
                <c:pt idx="384">
                  <c:v>143</c:v>
                </c:pt>
                <c:pt idx="385">
                  <c:v>143.5</c:v>
                </c:pt>
                <c:pt idx="386">
                  <c:v>144</c:v>
                </c:pt>
                <c:pt idx="387">
                  <c:v>144.25</c:v>
                </c:pt>
                <c:pt idx="388">
                  <c:v>144.5</c:v>
                </c:pt>
                <c:pt idx="389">
                  <c:v>144.75</c:v>
                </c:pt>
                <c:pt idx="390">
                  <c:v>145</c:v>
                </c:pt>
                <c:pt idx="391">
                  <c:v>145.5</c:v>
                </c:pt>
                <c:pt idx="392">
                  <c:v>145.75</c:v>
                </c:pt>
                <c:pt idx="393">
                  <c:v>146</c:v>
                </c:pt>
                <c:pt idx="394">
                  <c:v>146.5</c:v>
                </c:pt>
                <c:pt idx="395">
                  <c:v>147</c:v>
                </c:pt>
                <c:pt idx="396">
                  <c:v>147.5</c:v>
                </c:pt>
                <c:pt idx="397">
                  <c:v>148</c:v>
                </c:pt>
                <c:pt idx="398">
                  <c:v>148.25</c:v>
                </c:pt>
                <c:pt idx="399">
                  <c:v>148.5</c:v>
                </c:pt>
                <c:pt idx="400">
                  <c:v>148.75</c:v>
                </c:pt>
                <c:pt idx="401">
                  <c:v>149</c:v>
                </c:pt>
                <c:pt idx="402">
                  <c:v>149.5</c:v>
                </c:pt>
                <c:pt idx="403">
                  <c:v>149.75</c:v>
                </c:pt>
                <c:pt idx="404">
                  <c:v>150</c:v>
                </c:pt>
                <c:pt idx="405">
                  <c:v>150.5</c:v>
                </c:pt>
                <c:pt idx="406">
                  <c:v>151</c:v>
                </c:pt>
                <c:pt idx="407">
                  <c:v>151.5</c:v>
                </c:pt>
                <c:pt idx="408">
                  <c:v>152</c:v>
                </c:pt>
                <c:pt idx="409">
                  <c:v>152.25</c:v>
                </c:pt>
                <c:pt idx="410">
                  <c:v>152.5</c:v>
                </c:pt>
                <c:pt idx="411">
                  <c:v>152.75</c:v>
                </c:pt>
                <c:pt idx="412">
                  <c:v>153</c:v>
                </c:pt>
                <c:pt idx="413">
                  <c:v>153.5</c:v>
                </c:pt>
                <c:pt idx="414">
                  <c:v>154</c:v>
                </c:pt>
                <c:pt idx="415">
                  <c:v>154.5</c:v>
                </c:pt>
                <c:pt idx="416">
                  <c:v>155</c:v>
                </c:pt>
                <c:pt idx="417">
                  <c:v>155.5</c:v>
                </c:pt>
                <c:pt idx="418">
                  <c:v>156</c:v>
                </c:pt>
                <c:pt idx="419">
                  <c:v>156.25</c:v>
                </c:pt>
                <c:pt idx="420">
                  <c:v>156.5</c:v>
                </c:pt>
                <c:pt idx="421">
                  <c:v>156.75</c:v>
                </c:pt>
                <c:pt idx="422">
                  <c:v>157</c:v>
                </c:pt>
                <c:pt idx="423">
                  <c:v>157.5</c:v>
                </c:pt>
                <c:pt idx="424">
                  <c:v>157.75</c:v>
                </c:pt>
                <c:pt idx="425">
                  <c:v>158</c:v>
                </c:pt>
                <c:pt idx="426">
                  <c:v>158.5</c:v>
                </c:pt>
                <c:pt idx="427">
                  <c:v>159</c:v>
                </c:pt>
                <c:pt idx="428">
                  <c:v>159.5</c:v>
                </c:pt>
                <c:pt idx="429">
                  <c:v>160</c:v>
                </c:pt>
                <c:pt idx="430">
                  <c:v>160.25</c:v>
                </c:pt>
                <c:pt idx="431">
                  <c:v>160.5</c:v>
                </c:pt>
                <c:pt idx="432">
                  <c:v>160.75</c:v>
                </c:pt>
                <c:pt idx="433">
                  <c:v>161</c:v>
                </c:pt>
                <c:pt idx="434">
                  <c:v>161.5</c:v>
                </c:pt>
                <c:pt idx="435">
                  <c:v>161.75</c:v>
                </c:pt>
                <c:pt idx="436">
                  <c:v>162</c:v>
                </c:pt>
                <c:pt idx="437">
                  <c:v>162.5</c:v>
                </c:pt>
                <c:pt idx="438">
                  <c:v>163</c:v>
                </c:pt>
                <c:pt idx="439">
                  <c:v>163.5</c:v>
                </c:pt>
                <c:pt idx="440">
                  <c:v>164</c:v>
                </c:pt>
                <c:pt idx="441">
                  <c:v>164.25</c:v>
                </c:pt>
                <c:pt idx="442">
                  <c:v>164.5</c:v>
                </c:pt>
                <c:pt idx="443">
                  <c:v>164.75</c:v>
                </c:pt>
                <c:pt idx="444">
                  <c:v>165</c:v>
                </c:pt>
                <c:pt idx="445">
                  <c:v>165.5</c:v>
                </c:pt>
                <c:pt idx="446">
                  <c:v>165.75</c:v>
                </c:pt>
                <c:pt idx="447">
                  <c:v>166</c:v>
                </c:pt>
                <c:pt idx="448">
                  <c:v>166.5</c:v>
                </c:pt>
                <c:pt idx="449">
                  <c:v>167</c:v>
                </c:pt>
                <c:pt idx="450">
                  <c:v>167.5</c:v>
                </c:pt>
                <c:pt idx="451">
                  <c:v>168</c:v>
                </c:pt>
                <c:pt idx="452">
                  <c:v>168.25</c:v>
                </c:pt>
                <c:pt idx="453">
                  <c:v>168.5</c:v>
                </c:pt>
                <c:pt idx="454">
                  <c:v>168.75</c:v>
                </c:pt>
                <c:pt idx="455">
                  <c:v>169</c:v>
                </c:pt>
                <c:pt idx="456">
                  <c:v>169.5</c:v>
                </c:pt>
                <c:pt idx="457">
                  <c:v>170</c:v>
                </c:pt>
                <c:pt idx="458">
                  <c:v>170.5</c:v>
                </c:pt>
                <c:pt idx="459">
                  <c:v>171</c:v>
                </c:pt>
                <c:pt idx="460">
                  <c:v>171.5</c:v>
                </c:pt>
                <c:pt idx="461">
                  <c:v>172</c:v>
                </c:pt>
                <c:pt idx="462">
                  <c:v>172.25</c:v>
                </c:pt>
                <c:pt idx="463">
                  <c:v>172.5</c:v>
                </c:pt>
                <c:pt idx="464">
                  <c:v>172.75</c:v>
                </c:pt>
                <c:pt idx="465">
                  <c:v>173</c:v>
                </c:pt>
                <c:pt idx="466">
                  <c:v>173.5</c:v>
                </c:pt>
                <c:pt idx="467">
                  <c:v>173.75</c:v>
                </c:pt>
                <c:pt idx="468">
                  <c:v>174</c:v>
                </c:pt>
                <c:pt idx="469">
                  <c:v>174.5</c:v>
                </c:pt>
                <c:pt idx="470">
                  <c:v>175</c:v>
                </c:pt>
                <c:pt idx="471">
                  <c:v>175.5</c:v>
                </c:pt>
                <c:pt idx="472">
                  <c:v>176</c:v>
                </c:pt>
                <c:pt idx="473">
                  <c:v>176.25</c:v>
                </c:pt>
                <c:pt idx="474">
                  <c:v>176.5</c:v>
                </c:pt>
                <c:pt idx="475">
                  <c:v>176.75</c:v>
                </c:pt>
                <c:pt idx="476">
                  <c:v>177</c:v>
                </c:pt>
                <c:pt idx="477">
                  <c:v>177.5</c:v>
                </c:pt>
                <c:pt idx="478">
                  <c:v>177.75</c:v>
                </c:pt>
                <c:pt idx="479">
                  <c:v>178</c:v>
                </c:pt>
                <c:pt idx="480">
                  <c:v>178.5</c:v>
                </c:pt>
                <c:pt idx="481">
                  <c:v>179</c:v>
                </c:pt>
                <c:pt idx="482">
                  <c:v>179.5</c:v>
                </c:pt>
                <c:pt idx="483">
                  <c:v>180</c:v>
                </c:pt>
                <c:pt idx="484">
                  <c:v>180.25</c:v>
                </c:pt>
                <c:pt idx="485">
                  <c:v>180.5</c:v>
                </c:pt>
                <c:pt idx="486">
                  <c:v>180.75</c:v>
                </c:pt>
                <c:pt idx="487">
                  <c:v>181</c:v>
                </c:pt>
                <c:pt idx="488">
                  <c:v>181.5</c:v>
                </c:pt>
                <c:pt idx="489">
                  <c:v>181.75</c:v>
                </c:pt>
                <c:pt idx="490">
                  <c:v>182</c:v>
                </c:pt>
                <c:pt idx="491">
                  <c:v>182.5</c:v>
                </c:pt>
                <c:pt idx="492">
                  <c:v>183</c:v>
                </c:pt>
                <c:pt idx="493">
                  <c:v>183.5</c:v>
                </c:pt>
                <c:pt idx="494">
                  <c:v>184</c:v>
                </c:pt>
                <c:pt idx="495">
                  <c:v>184.25</c:v>
                </c:pt>
                <c:pt idx="496">
                  <c:v>184.5</c:v>
                </c:pt>
                <c:pt idx="497">
                  <c:v>184.75</c:v>
                </c:pt>
                <c:pt idx="498">
                  <c:v>185</c:v>
                </c:pt>
                <c:pt idx="499">
                  <c:v>185.5</c:v>
                </c:pt>
                <c:pt idx="500">
                  <c:v>186</c:v>
                </c:pt>
                <c:pt idx="501">
                  <c:v>186.5</c:v>
                </c:pt>
                <c:pt idx="502">
                  <c:v>187</c:v>
                </c:pt>
                <c:pt idx="503">
                  <c:v>187.5</c:v>
                </c:pt>
                <c:pt idx="504">
                  <c:v>188</c:v>
                </c:pt>
                <c:pt idx="505">
                  <c:v>188.25</c:v>
                </c:pt>
                <c:pt idx="506">
                  <c:v>188.5</c:v>
                </c:pt>
                <c:pt idx="507">
                  <c:v>188.75</c:v>
                </c:pt>
                <c:pt idx="508">
                  <c:v>189</c:v>
                </c:pt>
                <c:pt idx="509">
                  <c:v>189.5</c:v>
                </c:pt>
                <c:pt idx="510">
                  <c:v>190</c:v>
                </c:pt>
                <c:pt idx="511">
                  <c:v>190.25</c:v>
                </c:pt>
                <c:pt idx="512">
                  <c:v>190.5</c:v>
                </c:pt>
                <c:pt idx="513">
                  <c:v>190.75</c:v>
                </c:pt>
                <c:pt idx="514">
                  <c:v>191</c:v>
                </c:pt>
                <c:pt idx="515">
                  <c:v>191.5</c:v>
                </c:pt>
                <c:pt idx="516">
                  <c:v>192</c:v>
                </c:pt>
                <c:pt idx="517">
                  <c:v>192.25</c:v>
                </c:pt>
                <c:pt idx="518">
                  <c:v>192.5</c:v>
                </c:pt>
                <c:pt idx="519">
                  <c:v>192.75</c:v>
                </c:pt>
                <c:pt idx="520">
                  <c:v>193</c:v>
                </c:pt>
                <c:pt idx="521">
                  <c:v>193.5</c:v>
                </c:pt>
                <c:pt idx="522">
                  <c:v>194</c:v>
                </c:pt>
                <c:pt idx="523">
                  <c:v>194.25</c:v>
                </c:pt>
                <c:pt idx="524">
                  <c:v>194.5</c:v>
                </c:pt>
                <c:pt idx="525">
                  <c:v>194.75</c:v>
                </c:pt>
                <c:pt idx="526">
                  <c:v>195</c:v>
                </c:pt>
                <c:pt idx="527">
                  <c:v>195.5</c:v>
                </c:pt>
                <c:pt idx="528">
                  <c:v>196</c:v>
                </c:pt>
                <c:pt idx="529">
                  <c:v>196.25</c:v>
                </c:pt>
                <c:pt idx="530">
                  <c:v>196.5</c:v>
                </c:pt>
                <c:pt idx="531">
                  <c:v>196.75</c:v>
                </c:pt>
                <c:pt idx="532">
                  <c:v>197</c:v>
                </c:pt>
                <c:pt idx="533">
                  <c:v>197.25</c:v>
                </c:pt>
                <c:pt idx="534">
                  <c:v>197.5</c:v>
                </c:pt>
                <c:pt idx="535">
                  <c:v>197.75</c:v>
                </c:pt>
                <c:pt idx="536">
                  <c:v>198</c:v>
                </c:pt>
                <c:pt idx="537">
                  <c:v>198.25</c:v>
                </c:pt>
                <c:pt idx="538">
                  <c:v>198.5</c:v>
                </c:pt>
                <c:pt idx="539">
                  <c:v>198.75</c:v>
                </c:pt>
                <c:pt idx="540">
                  <c:v>199</c:v>
                </c:pt>
                <c:pt idx="541">
                  <c:v>199.25</c:v>
                </c:pt>
                <c:pt idx="542">
                  <c:v>199.5</c:v>
                </c:pt>
                <c:pt idx="543">
                  <c:v>199.75</c:v>
                </c:pt>
                <c:pt idx="544">
                  <c:v>200</c:v>
                </c:pt>
                <c:pt idx="545">
                  <c:v>200.5</c:v>
                </c:pt>
                <c:pt idx="546">
                  <c:v>201</c:v>
                </c:pt>
                <c:pt idx="547">
                  <c:v>201.5</c:v>
                </c:pt>
                <c:pt idx="548">
                  <c:v>202</c:v>
                </c:pt>
                <c:pt idx="549">
                  <c:v>202.5</c:v>
                </c:pt>
                <c:pt idx="550">
                  <c:v>203</c:v>
                </c:pt>
                <c:pt idx="551">
                  <c:v>203.5</c:v>
                </c:pt>
                <c:pt idx="552">
                  <c:v>204</c:v>
                </c:pt>
                <c:pt idx="553">
                  <c:v>204.25</c:v>
                </c:pt>
                <c:pt idx="554">
                  <c:v>204.5</c:v>
                </c:pt>
                <c:pt idx="555">
                  <c:v>204.75</c:v>
                </c:pt>
                <c:pt idx="556">
                  <c:v>205</c:v>
                </c:pt>
                <c:pt idx="557">
                  <c:v>205.25</c:v>
                </c:pt>
                <c:pt idx="558">
                  <c:v>205.5</c:v>
                </c:pt>
                <c:pt idx="559">
                  <c:v>205.75</c:v>
                </c:pt>
                <c:pt idx="560">
                  <c:v>206</c:v>
                </c:pt>
                <c:pt idx="561">
                  <c:v>206.25</c:v>
                </c:pt>
                <c:pt idx="562">
                  <c:v>206.5</c:v>
                </c:pt>
                <c:pt idx="563">
                  <c:v>206.75</c:v>
                </c:pt>
                <c:pt idx="564">
                  <c:v>207</c:v>
                </c:pt>
                <c:pt idx="565">
                  <c:v>207.25</c:v>
                </c:pt>
                <c:pt idx="566">
                  <c:v>207.5</c:v>
                </c:pt>
                <c:pt idx="567">
                  <c:v>207.75</c:v>
                </c:pt>
                <c:pt idx="568">
                  <c:v>208</c:v>
                </c:pt>
                <c:pt idx="569">
                  <c:v>208.5</c:v>
                </c:pt>
                <c:pt idx="570">
                  <c:v>209</c:v>
                </c:pt>
                <c:pt idx="571">
                  <c:v>209.5</c:v>
                </c:pt>
                <c:pt idx="572">
                  <c:v>210</c:v>
                </c:pt>
                <c:pt idx="573">
                  <c:v>210.5</c:v>
                </c:pt>
                <c:pt idx="574">
                  <c:v>211</c:v>
                </c:pt>
                <c:pt idx="575">
                  <c:v>211.5</c:v>
                </c:pt>
                <c:pt idx="576">
                  <c:v>212</c:v>
                </c:pt>
                <c:pt idx="577">
                  <c:v>212.25</c:v>
                </c:pt>
                <c:pt idx="578">
                  <c:v>212.5</c:v>
                </c:pt>
                <c:pt idx="579">
                  <c:v>212.75</c:v>
                </c:pt>
                <c:pt idx="580">
                  <c:v>213</c:v>
                </c:pt>
                <c:pt idx="581">
                  <c:v>213.25</c:v>
                </c:pt>
                <c:pt idx="582">
                  <c:v>213.5</c:v>
                </c:pt>
                <c:pt idx="583">
                  <c:v>213.75</c:v>
                </c:pt>
                <c:pt idx="584">
                  <c:v>214</c:v>
                </c:pt>
                <c:pt idx="585">
                  <c:v>214.25</c:v>
                </c:pt>
                <c:pt idx="586">
                  <c:v>214.5</c:v>
                </c:pt>
                <c:pt idx="587">
                  <c:v>214.75</c:v>
                </c:pt>
                <c:pt idx="588">
                  <c:v>215</c:v>
                </c:pt>
                <c:pt idx="589">
                  <c:v>215.25</c:v>
                </c:pt>
                <c:pt idx="590">
                  <c:v>215.5</c:v>
                </c:pt>
                <c:pt idx="591">
                  <c:v>215.75</c:v>
                </c:pt>
                <c:pt idx="592">
                  <c:v>216</c:v>
                </c:pt>
                <c:pt idx="593">
                  <c:v>216.5</c:v>
                </c:pt>
                <c:pt idx="594">
                  <c:v>217</c:v>
                </c:pt>
                <c:pt idx="595">
                  <c:v>217.5</c:v>
                </c:pt>
                <c:pt idx="596">
                  <c:v>218</c:v>
                </c:pt>
                <c:pt idx="597">
                  <c:v>218.5</c:v>
                </c:pt>
                <c:pt idx="598">
                  <c:v>219</c:v>
                </c:pt>
                <c:pt idx="599">
                  <c:v>219.5</c:v>
                </c:pt>
                <c:pt idx="600">
                  <c:v>220</c:v>
                </c:pt>
                <c:pt idx="601">
                  <c:v>220.25</c:v>
                </c:pt>
                <c:pt idx="602">
                  <c:v>220.5</c:v>
                </c:pt>
                <c:pt idx="603">
                  <c:v>220.75</c:v>
                </c:pt>
                <c:pt idx="604">
                  <c:v>221</c:v>
                </c:pt>
                <c:pt idx="605">
                  <c:v>221.25</c:v>
                </c:pt>
                <c:pt idx="606">
                  <c:v>221.5</c:v>
                </c:pt>
                <c:pt idx="607">
                  <c:v>221.75</c:v>
                </c:pt>
                <c:pt idx="608">
                  <c:v>222</c:v>
                </c:pt>
                <c:pt idx="609">
                  <c:v>222.25</c:v>
                </c:pt>
                <c:pt idx="610">
                  <c:v>222.5</c:v>
                </c:pt>
                <c:pt idx="611">
                  <c:v>222.75</c:v>
                </c:pt>
                <c:pt idx="612">
                  <c:v>223</c:v>
                </c:pt>
                <c:pt idx="613">
                  <c:v>223.25</c:v>
                </c:pt>
                <c:pt idx="614">
                  <c:v>223.5</c:v>
                </c:pt>
                <c:pt idx="615">
                  <c:v>223.75</c:v>
                </c:pt>
                <c:pt idx="616">
                  <c:v>224</c:v>
                </c:pt>
                <c:pt idx="617">
                  <c:v>224.5</c:v>
                </c:pt>
                <c:pt idx="618">
                  <c:v>225</c:v>
                </c:pt>
                <c:pt idx="619">
                  <c:v>225.5</c:v>
                </c:pt>
                <c:pt idx="620">
                  <c:v>226</c:v>
                </c:pt>
                <c:pt idx="621">
                  <c:v>226.5</c:v>
                </c:pt>
                <c:pt idx="622">
                  <c:v>227</c:v>
                </c:pt>
                <c:pt idx="623">
                  <c:v>227.5</c:v>
                </c:pt>
                <c:pt idx="624">
                  <c:v>228</c:v>
                </c:pt>
                <c:pt idx="625">
                  <c:v>228.25</c:v>
                </c:pt>
                <c:pt idx="626">
                  <c:v>228.5</c:v>
                </c:pt>
                <c:pt idx="627">
                  <c:v>228.75</c:v>
                </c:pt>
                <c:pt idx="628">
                  <c:v>229</c:v>
                </c:pt>
                <c:pt idx="629">
                  <c:v>229.5</c:v>
                </c:pt>
                <c:pt idx="630">
                  <c:v>230</c:v>
                </c:pt>
                <c:pt idx="631">
                  <c:v>230.5</c:v>
                </c:pt>
                <c:pt idx="632">
                  <c:v>231</c:v>
                </c:pt>
                <c:pt idx="633">
                  <c:v>231.5</c:v>
                </c:pt>
                <c:pt idx="634">
                  <c:v>232</c:v>
                </c:pt>
                <c:pt idx="635">
                  <c:v>232.25</c:v>
                </c:pt>
                <c:pt idx="636">
                  <c:v>232.5</c:v>
                </c:pt>
                <c:pt idx="637">
                  <c:v>232.75</c:v>
                </c:pt>
                <c:pt idx="638">
                  <c:v>233</c:v>
                </c:pt>
                <c:pt idx="639">
                  <c:v>233.5</c:v>
                </c:pt>
                <c:pt idx="640">
                  <c:v>234</c:v>
                </c:pt>
                <c:pt idx="641">
                  <c:v>234.5</c:v>
                </c:pt>
                <c:pt idx="642">
                  <c:v>235</c:v>
                </c:pt>
                <c:pt idx="643">
                  <c:v>235.5</c:v>
                </c:pt>
                <c:pt idx="644">
                  <c:v>236</c:v>
                </c:pt>
                <c:pt idx="645">
                  <c:v>236.25</c:v>
                </c:pt>
                <c:pt idx="646">
                  <c:v>236.5</c:v>
                </c:pt>
                <c:pt idx="647">
                  <c:v>236.75</c:v>
                </c:pt>
                <c:pt idx="648">
                  <c:v>237</c:v>
                </c:pt>
                <c:pt idx="649">
                  <c:v>237.5</c:v>
                </c:pt>
                <c:pt idx="650">
                  <c:v>238</c:v>
                </c:pt>
                <c:pt idx="651">
                  <c:v>238.5</c:v>
                </c:pt>
                <c:pt idx="652">
                  <c:v>239</c:v>
                </c:pt>
                <c:pt idx="653">
                  <c:v>239.5</c:v>
                </c:pt>
                <c:pt idx="654">
                  <c:v>240</c:v>
                </c:pt>
                <c:pt idx="655">
                  <c:v>240.25</c:v>
                </c:pt>
                <c:pt idx="656">
                  <c:v>240.5</c:v>
                </c:pt>
                <c:pt idx="657">
                  <c:v>240.75</c:v>
                </c:pt>
                <c:pt idx="658">
                  <c:v>241</c:v>
                </c:pt>
                <c:pt idx="659">
                  <c:v>241.5</c:v>
                </c:pt>
                <c:pt idx="660">
                  <c:v>242</c:v>
                </c:pt>
                <c:pt idx="661">
                  <c:v>242.5</c:v>
                </c:pt>
                <c:pt idx="662">
                  <c:v>243</c:v>
                </c:pt>
                <c:pt idx="663">
                  <c:v>243.5</c:v>
                </c:pt>
                <c:pt idx="664">
                  <c:v>244</c:v>
                </c:pt>
                <c:pt idx="665">
                  <c:v>244.25</c:v>
                </c:pt>
                <c:pt idx="666">
                  <c:v>244.5</c:v>
                </c:pt>
                <c:pt idx="667">
                  <c:v>244.75</c:v>
                </c:pt>
                <c:pt idx="668">
                  <c:v>245</c:v>
                </c:pt>
                <c:pt idx="669">
                  <c:v>245.5</c:v>
                </c:pt>
                <c:pt idx="670">
                  <c:v>246</c:v>
                </c:pt>
                <c:pt idx="671">
                  <c:v>246.25</c:v>
                </c:pt>
                <c:pt idx="672">
                  <c:v>246.5</c:v>
                </c:pt>
                <c:pt idx="673">
                  <c:v>246.75</c:v>
                </c:pt>
                <c:pt idx="674">
                  <c:v>247</c:v>
                </c:pt>
                <c:pt idx="675">
                  <c:v>247.5</c:v>
                </c:pt>
                <c:pt idx="676">
                  <c:v>248</c:v>
                </c:pt>
                <c:pt idx="677">
                  <c:v>248.25</c:v>
                </c:pt>
                <c:pt idx="678">
                  <c:v>248.5</c:v>
                </c:pt>
                <c:pt idx="679">
                  <c:v>248.75</c:v>
                </c:pt>
                <c:pt idx="680">
                  <c:v>249</c:v>
                </c:pt>
                <c:pt idx="681">
                  <c:v>249.5</c:v>
                </c:pt>
                <c:pt idx="682">
                  <c:v>250</c:v>
                </c:pt>
                <c:pt idx="683">
                  <c:v>250.25</c:v>
                </c:pt>
                <c:pt idx="684">
                  <c:v>250.5</c:v>
                </c:pt>
                <c:pt idx="685">
                  <c:v>250.75</c:v>
                </c:pt>
                <c:pt idx="686">
                  <c:v>251</c:v>
                </c:pt>
                <c:pt idx="687">
                  <c:v>251.5</c:v>
                </c:pt>
                <c:pt idx="688">
                  <c:v>252</c:v>
                </c:pt>
                <c:pt idx="689">
                  <c:v>252.25</c:v>
                </c:pt>
                <c:pt idx="690">
                  <c:v>252.5</c:v>
                </c:pt>
                <c:pt idx="691">
                  <c:v>252.75</c:v>
                </c:pt>
                <c:pt idx="692">
                  <c:v>253</c:v>
                </c:pt>
                <c:pt idx="693">
                  <c:v>253.5</c:v>
                </c:pt>
                <c:pt idx="694">
                  <c:v>254</c:v>
                </c:pt>
                <c:pt idx="695">
                  <c:v>254.5</c:v>
                </c:pt>
                <c:pt idx="696">
                  <c:v>255</c:v>
                </c:pt>
                <c:pt idx="697">
                  <c:v>255.5</c:v>
                </c:pt>
                <c:pt idx="698">
                  <c:v>256</c:v>
                </c:pt>
                <c:pt idx="699">
                  <c:v>256.25</c:v>
                </c:pt>
                <c:pt idx="700">
                  <c:v>256.5</c:v>
                </c:pt>
                <c:pt idx="701">
                  <c:v>256.75</c:v>
                </c:pt>
                <c:pt idx="702">
                  <c:v>257</c:v>
                </c:pt>
                <c:pt idx="703">
                  <c:v>257.5</c:v>
                </c:pt>
                <c:pt idx="704">
                  <c:v>258</c:v>
                </c:pt>
                <c:pt idx="705">
                  <c:v>258.5</c:v>
                </c:pt>
                <c:pt idx="706">
                  <c:v>259</c:v>
                </c:pt>
                <c:pt idx="707">
                  <c:v>259.5</c:v>
                </c:pt>
                <c:pt idx="708">
                  <c:v>260</c:v>
                </c:pt>
                <c:pt idx="709">
                  <c:v>260.25</c:v>
                </c:pt>
                <c:pt idx="710">
                  <c:v>260.5</c:v>
                </c:pt>
                <c:pt idx="711">
                  <c:v>260.75</c:v>
                </c:pt>
                <c:pt idx="712">
                  <c:v>261</c:v>
                </c:pt>
                <c:pt idx="713">
                  <c:v>261.5</c:v>
                </c:pt>
                <c:pt idx="714">
                  <c:v>262</c:v>
                </c:pt>
                <c:pt idx="715">
                  <c:v>262.5</c:v>
                </c:pt>
                <c:pt idx="716">
                  <c:v>263</c:v>
                </c:pt>
                <c:pt idx="717">
                  <c:v>263.5</c:v>
                </c:pt>
                <c:pt idx="718">
                  <c:v>264</c:v>
                </c:pt>
                <c:pt idx="719">
                  <c:v>264.25</c:v>
                </c:pt>
                <c:pt idx="720">
                  <c:v>264.5</c:v>
                </c:pt>
                <c:pt idx="721">
                  <c:v>264.75</c:v>
                </c:pt>
                <c:pt idx="722">
                  <c:v>265</c:v>
                </c:pt>
                <c:pt idx="723">
                  <c:v>265.5</c:v>
                </c:pt>
                <c:pt idx="724">
                  <c:v>266</c:v>
                </c:pt>
                <c:pt idx="725">
                  <c:v>266.5</c:v>
                </c:pt>
                <c:pt idx="726">
                  <c:v>267</c:v>
                </c:pt>
                <c:pt idx="727">
                  <c:v>267.5</c:v>
                </c:pt>
                <c:pt idx="728">
                  <c:v>268</c:v>
                </c:pt>
                <c:pt idx="729">
                  <c:v>268.25</c:v>
                </c:pt>
                <c:pt idx="730">
                  <c:v>268.5</c:v>
                </c:pt>
                <c:pt idx="731">
                  <c:v>268.75</c:v>
                </c:pt>
                <c:pt idx="732">
                  <c:v>269</c:v>
                </c:pt>
                <c:pt idx="733">
                  <c:v>269.5</c:v>
                </c:pt>
                <c:pt idx="734">
                  <c:v>270</c:v>
                </c:pt>
                <c:pt idx="735">
                  <c:v>270.25</c:v>
                </c:pt>
                <c:pt idx="736">
                  <c:v>270.5</c:v>
                </c:pt>
                <c:pt idx="737">
                  <c:v>270.75</c:v>
                </c:pt>
                <c:pt idx="738">
                  <c:v>271</c:v>
                </c:pt>
                <c:pt idx="739">
                  <c:v>271.5</c:v>
                </c:pt>
                <c:pt idx="740">
                  <c:v>272</c:v>
                </c:pt>
                <c:pt idx="741">
                  <c:v>272.25</c:v>
                </c:pt>
                <c:pt idx="742">
                  <c:v>272.5</c:v>
                </c:pt>
                <c:pt idx="743">
                  <c:v>272.75</c:v>
                </c:pt>
                <c:pt idx="744">
                  <c:v>273</c:v>
                </c:pt>
                <c:pt idx="745">
                  <c:v>273.5</c:v>
                </c:pt>
                <c:pt idx="746">
                  <c:v>274</c:v>
                </c:pt>
                <c:pt idx="747">
                  <c:v>274.25</c:v>
                </c:pt>
                <c:pt idx="748">
                  <c:v>274.5</c:v>
                </c:pt>
                <c:pt idx="749">
                  <c:v>274.75</c:v>
                </c:pt>
                <c:pt idx="750">
                  <c:v>275</c:v>
                </c:pt>
                <c:pt idx="751">
                  <c:v>275.5</c:v>
                </c:pt>
                <c:pt idx="752">
                  <c:v>276</c:v>
                </c:pt>
                <c:pt idx="753">
                  <c:v>276.25</c:v>
                </c:pt>
                <c:pt idx="754">
                  <c:v>276.5</c:v>
                </c:pt>
                <c:pt idx="755">
                  <c:v>276.75</c:v>
                </c:pt>
                <c:pt idx="756">
                  <c:v>277</c:v>
                </c:pt>
                <c:pt idx="757">
                  <c:v>277.5</c:v>
                </c:pt>
                <c:pt idx="758">
                  <c:v>278</c:v>
                </c:pt>
                <c:pt idx="759">
                  <c:v>278.25</c:v>
                </c:pt>
                <c:pt idx="760">
                  <c:v>278.5</c:v>
                </c:pt>
                <c:pt idx="761">
                  <c:v>278.75</c:v>
                </c:pt>
                <c:pt idx="762">
                  <c:v>279</c:v>
                </c:pt>
                <c:pt idx="763">
                  <c:v>279.5</c:v>
                </c:pt>
                <c:pt idx="764">
                  <c:v>280</c:v>
                </c:pt>
                <c:pt idx="765">
                  <c:v>280.25</c:v>
                </c:pt>
                <c:pt idx="766">
                  <c:v>280.5</c:v>
                </c:pt>
                <c:pt idx="767">
                  <c:v>280.75</c:v>
                </c:pt>
                <c:pt idx="768">
                  <c:v>281</c:v>
                </c:pt>
                <c:pt idx="769">
                  <c:v>281.5</c:v>
                </c:pt>
                <c:pt idx="770">
                  <c:v>282</c:v>
                </c:pt>
                <c:pt idx="771">
                  <c:v>282.25</c:v>
                </c:pt>
                <c:pt idx="772">
                  <c:v>282.5</c:v>
                </c:pt>
                <c:pt idx="773">
                  <c:v>282.75</c:v>
                </c:pt>
                <c:pt idx="774">
                  <c:v>283</c:v>
                </c:pt>
                <c:pt idx="775">
                  <c:v>283.5</c:v>
                </c:pt>
                <c:pt idx="776">
                  <c:v>284</c:v>
                </c:pt>
                <c:pt idx="777">
                  <c:v>284.25</c:v>
                </c:pt>
                <c:pt idx="778">
                  <c:v>284.5</c:v>
                </c:pt>
                <c:pt idx="779">
                  <c:v>284.75</c:v>
                </c:pt>
                <c:pt idx="780">
                  <c:v>285</c:v>
                </c:pt>
                <c:pt idx="781">
                  <c:v>285.5</c:v>
                </c:pt>
                <c:pt idx="782">
                  <c:v>286</c:v>
                </c:pt>
                <c:pt idx="783">
                  <c:v>286.25</c:v>
                </c:pt>
                <c:pt idx="784">
                  <c:v>286.5</c:v>
                </c:pt>
                <c:pt idx="785">
                  <c:v>286.75</c:v>
                </c:pt>
                <c:pt idx="786">
                  <c:v>287</c:v>
                </c:pt>
                <c:pt idx="787">
                  <c:v>287.5</c:v>
                </c:pt>
                <c:pt idx="788">
                  <c:v>288</c:v>
                </c:pt>
                <c:pt idx="789">
                  <c:v>288.25</c:v>
                </c:pt>
                <c:pt idx="790">
                  <c:v>288.5</c:v>
                </c:pt>
                <c:pt idx="791">
                  <c:v>288.75</c:v>
                </c:pt>
                <c:pt idx="792">
                  <c:v>289</c:v>
                </c:pt>
                <c:pt idx="793">
                  <c:v>289.5</c:v>
                </c:pt>
                <c:pt idx="794">
                  <c:v>290</c:v>
                </c:pt>
                <c:pt idx="795">
                  <c:v>290.25</c:v>
                </c:pt>
                <c:pt idx="796">
                  <c:v>290.5</c:v>
                </c:pt>
                <c:pt idx="797">
                  <c:v>290.75</c:v>
                </c:pt>
                <c:pt idx="798">
                  <c:v>291</c:v>
                </c:pt>
                <c:pt idx="799">
                  <c:v>291.5</c:v>
                </c:pt>
                <c:pt idx="800">
                  <c:v>292</c:v>
                </c:pt>
                <c:pt idx="801">
                  <c:v>292.25</c:v>
                </c:pt>
                <c:pt idx="802">
                  <c:v>292.5</c:v>
                </c:pt>
                <c:pt idx="803">
                  <c:v>292.75</c:v>
                </c:pt>
                <c:pt idx="804">
                  <c:v>293</c:v>
                </c:pt>
                <c:pt idx="805">
                  <c:v>293.5</c:v>
                </c:pt>
                <c:pt idx="806">
                  <c:v>294</c:v>
                </c:pt>
                <c:pt idx="807">
                  <c:v>294.25</c:v>
                </c:pt>
                <c:pt idx="808">
                  <c:v>294.5</c:v>
                </c:pt>
                <c:pt idx="809">
                  <c:v>294.75</c:v>
                </c:pt>
                <c:pt idx="810">
                  <c:v>295</c:v>
                </c:pt>
                <c:pt idx="811">
                  <c:v>295.5</c:v>
                </c:pt>
                <c:pt idx="812">
                  <c:v>296</c:v>
                </c:pt>
                <c:pt idx="813">
                  <c:v>296.25</c:v>
                </c:pt>
                <c:pt idx="814">
                  <c:v>296.5</c:v>
                </c:pt>
                <c:pt idx="815">
                  <c:v>296.75</c:v>
                </c:pt>
                <c:pt idx="816">
                  <c:v>297</c:v>
                </c:pt>
                <c:pt idx="817">
                  <c:v>297.5</c:v>
                </c:pt>
                <c:pt idx="818">
                  <c:v>298</c:v>
                </c:pt>
                <c:pt idx="819">
                  <c:v>298.25</c:v>
                </c:pt>
                <c:pt idx="820">
                  <c:v>298.5</c:v>
                </c:pt>
                <c:pt idx="821">
                  <c:v>298.75</c:v>
                </c:pt>
                <c:pt idx="822">
                  <c:v>299</c:v>
                </c:pt>
                <c:pt idx="823">
                  <c:v>299.5</c:v>
                </c:pt>
                <c:pt idx="824">
                  <c:v>301</c:v>
                </c:pt>
                <c:pt idx="825">
                  <c:v>301.5</c:v>
                </c:pt>
                <c:pt idx="826">
                  <c:v>302</c:v>
                </c:pt>
                <c:pt idx="827">
                  <c:v>303</c:v>
                </c:pt>
                <c:pt idx="828">
                  <c:v>303.5</c:v>
                </c:pt>
                <c:pt idx="829">
                  <c:v>303.75</c:v>
                </c:pt>
                <c:pt idx="830">
                  <c:v>304</c:v>
                </c:pt>
                <c:pt idx="831">
                  <c:v>304.5</c:v>
                </c:pt>
                <c:pt idx="832">
                  <c:v>305</c:v>
                </c:pt>
                <c:pt idx="833">
                  <c:v>305.5</c:v>
                </c:pt>
                <c:pt idx="834">
                  <c:v>305.75</c:v>
                </c:pt>
                <c:pt idx="835">
                  <c:v>306</c:v>
                </c:pt>
                <c:pt idx="836">
                  <c:v>309.5</c:v>
                </c:pt>
                <c:pt idx="837">
                  <c:v>310</c:v>
                </c:pt>
                <c:pt idx="838">
                  <c:v>312</c:v>
                </c:pt>
                <c:pt idx="839">
                  <c:v>312.5</c:v>
                </c:pt>
                <c:pt idx="840">
                  <c:v>315</c:v>
                </c:pt>
                <c:pt idx="841">
                  <c:v>315.5</c:v>
                </c:pt>
                <c:pt idx="842">
                  <c:v>318</c:v>
                </c:pt>
                <c:pt idx="843">
                  <c:v>318.5</c:v>
                </c:pt>
                <c:pt idx="844">
                  <c:v>321</c:v>
                </c:pt>
                <c:pt idx="845">
                  <c:v>322</c:v>
                </c:pt>
              </c:numCache>
            </c:numRef>
          </c:xVal>
          <c:yVal>
            <c:numRef>
              <c:f>Sheet4!$D$4:$D$849</c:f>
              <c:numCache>
                <c:formatCode>General</c:formatCode>
                <c:ptCount val="846"/>
                <c:pt idx="0">
                  <c:v>293.66975814369101</c:v>
                </c:pt>
                <c:pt idx="1">
                  <c:v>349.23506143398839</c:v>
                </c:pt>
                <c:pt idx="2">
                  <c:v>392.00377257605692</c:v>
                </c:pt>
                <c:pt idx="3">
                  <c:v>392.00377257605692</c:v>
                </c:pt>
                <c:pt idx="4">
                  <c:v>392.00377257605692</c:v>
                </c:pt>
                <c:pt idx="5">
                  <c:v>392.00377257605692</c:v>
                </c:pt>
                <c:pt idx="6">
                  <c:v>392.00377257605692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392.00377257605692</c:v>
                </c:pt>
                <c:pt idx="10">
                  <c:v>293.66975814369101</c:v>
                </c:pt>
                <c:pt idx="11">
                  <c:v>349.23506143398839</c:v>
                </c:pt>
                <c:pt idx="12">
                  <c:v>392.00377257605692</c:v>
                </c:pt>
                <c:pt idx="13">
                  <c:v>392.00377257605692</c:v>
                </c:pt>
                <c:pt idx="14">
                  <c:v>392.00377257605692</c:v>
                </c:pt>
                <c:pt idx="15">
                  <c:v>392.00377257605692</c:v>
                </c:pt>
                <c:pt idx="16">
                  <c:v>392.00377257605692</c:v>
                </c:pt>
                <c:pt idx="17">
                  <c:v>392.00377257605692</c:v>
                </c:pt>
                <c:pt idx="18">
                  <c:v>392.00377257605692</c:v>
                </c:pt>
                <c:pt idx="19">
                  <c:v>392.00377257605692</c:v>
                </c:pt>
                <c:pt idx="20">
                  <c:v>293.66975814369101</c:v>
                </c:pt>
                <c:pt idx="21">
                  <c:v>349.23506143398839</c:v>
                </c:pt>
                <c:pt idx="22">
                  <c:v>392.00377257605692</c:v>
                </c:pt>
                <c:pt idx="23">
                  <c:v>392.00377257605692</c:v>
                </c:pt>
                <c:pt idx="24">
                  <c:v>392.00377257605692</c:v>
                </c:pt>
                <c:pt idx="25">
                  <c:v>392.00377257605692</c:v>
                </c:pt>
                <c:pt idx="26">
                  <c:v>392.00377257605692</c:v>
                </c:pt>
                <c:pt idx="27">
                  <c:v>392.00377257605692</c:v>
                </c:pt>
                <c:pt idx="28">
                  <c:v>392.00377257605692</c:v>
                </c:pt>
                <c:pt idx="29">
                  <c:v>392.00377257605692</c:v>
                </c:pt>
                <c:pt idx="30">
                  <c:v>293.66975814369101</c:v>
                </c:pt>
                <c:pt idx="31">
                  <c:v>349.23506143398839</c:v>
                </c:pt>
                <c:pt idx="32">
                  <c:v>392.00377257605692</c:v>
                </c:pt>
                <c:pt idx="33">
                  <c:v>392.00377257605692</c:v>
                </c:pt>
                <c:pt idx="34">
                  <c:v>392.00377257605692</c:v>
                </c:pt>
                <c:pt idx="35">
                  <c:v>392.00377257605692</c:v>
                </c:pt>
                <c:pt idx="36">
                  <c:v>392.00377257605692</c:v>
                </c:pt>
                <c:pt idx="37">
                  <c:v>392.00377257605692</c:v>
                </c:pt>
                <c:pt idx="38">
                  <c:v>392.00377257605692</c:v>
                </c:pt>
                <c:pt idx="39">
                  <c:v>392.00377257605692</c:v>
                </c:pt>
                <c:pt idx="40">
                  <c:v>293.66975814369101</c:v>
                </c:pt>
                <c:pt idx="41">
                  <c:v>440.01010976071973</c:v>
                </c:pt>
                <c:pt idx="42">
                  <c:v>493.89549345236594</c:v>
                </c:pt>
                <c:pt idx="43">
                  <c:v>392.00377257605692</c:v>
                </c:pt>
                <c:pt idx="44">
                  <c:v>493.89549345236594</c:v>
                </c:pt>
                <c:pt idx="45">
                  <c:v>392.00377257605692</c:v>
                </c:pt>
                <c:pt idx="46">
                  <c:v>293.66975814369101</c:v>
                </c:pt>
                <c:pt idx="47">
                  <c:v>493.89549345236594</c:v>
                </c:pt>
                <c:pt idx="48">
                  <c:v>392.00377257605692</c:v>
                </c:pt>
                <c:pt idx="49">
                  <c:v>587.34554108704231</c:v>
                </c:pt>
                <c:pt idx="50">
                  <c:v>392.00377257605692</c:v>
                </c:pt>
                <c:pt idx="51">
                  <c:v>293.66975814369101</c:v>
                </c:pt>
                <c:pt idx="52">
                  <c:v>440.01010976071973</c:v>
                </c:pt>
                <c:pt idx="53">
                  <c:v>493.89549345236594</c:v>
                </c:pt>
                <c:pt idx="54">
                  <c:v>392.00377257605692</c:v>
                </c:pt>
                <c:pt idx="55">
                  <c:v>493.89549345236594</c:v>
                </c:pt>
                <c:pt idx="56">
                  <c:v>392.00377257605692</c:v>
                </c:pt>
                <c:pt idx="57">
                  <c:v>293.66975814369101</c:v>
                </c:pt>
                <c:pt idx="58">
                  <c:v>493.89549345236594</c:v>
                </c:pt>
                <c:pt idx="59">
                  <c:v>392.00377257605692</c:v>
                </c:pt>
                <c:pt idx="60">
                  <c:v>587.34554108704231</c:v>
                </c:pt>
                <c:pt idx="61">
                  <c:v>392.00377257605692</c:v>
                </c:pt>
                <c:pt idx="62">
                  <c:v>293.66975814369101</c:v>
                </c:pt>
                <c:pt idx="63">
                  <c:v>392.00377257605692</c:v>
                </c:pt>
                <c:pt idx="64">
                  <c:v>440.01010976071973</c:v>
                </c:pt>
                <c:pt idx="65">
                  <c:v>392.00377257605692</c:v>
                </c:pt>
                <c:pt idx="66">
                  <c:v>440.01010976071973</c:v>
                </c:pt>
                <c:pt idx="67">
                  <c:v>392.00377257605692</c:v>
                </c:pt>
                <c:pt idx="68">
                  <c:v>293.66975814369101</c:v>
                </c:pt>
                <c:pt idx="69">
                  <c:v>440.01010976071973</c:v>
                </c:pt>
                <c:pt idx="70">
                  <c:v>392.00377257605692</c:v>
                </c:pt>
                <c:pt idx="71">
                  <c:v>523.26449507501752</c:v>
                </c:pt>
                <c:pt idx="72">
                  <c:v>392.00377257605692</c:v>
                </c:pt>
                <c:pt idx="73">
                  <c:v>293.66975814369101</c:v>
                </c:pt>
                <c:pt idx="74">
                  <c:v>329.63372180082422</c:v>
                </c:pt>
                <c:pt idx="75">
                  <c:v>349.23506143398839</c:v>
                </c:pt>
                <c:pt idx="76">
                  <c:v>392.00377257605692</c:v>
                </c:pt>
                <c:pt idx="77">
                  <c:v>329.63372180082422</c:v>
                </c:pt>
                <c:pt idx="78">
                  <c:v>392.00377257605692</c:v>
                </c:pt>
                <c:pt idx="79">
                  <c:v>329.63372180082422</c:v>
                </c:pt>
                <c:pt idx="80">
                  <c:v>392.00377257605692</c:v>
                </c:pt>
                <c:pt idx="81">
                  <c:v>329.63372180082422</c:v>
                </c:pt>
                <c:pt idx="82">
                  <c:v>392.00377257605692</c:v>
                </c:pt>
                <c:pt idx="83">
                  <c:v>293.66975814369101</c:v>
                </c:pt>
                <c:pt idx="84">
                  <c:v>440.01010976071973</c:v>
                </c:pt>
                <c:pt idx="85">
                  <c:v>493.89549345236594</c:v>
                </c:pt>
                <c:pt idx="86">
                  <c:v>392.00377257605692</c:v>
                </c:pt>
                <c:pt idx="87">
                  <c:v>493.89549345236594</c:v>
                </c:pt>
                <c:pt idx="88">
                  <c:v>392.00377257605692</c:v>
                </c:pt>
                <c:pt idx="89">
                  <c:v>293.66975814369101</c:v>
                </c:pt>
                <c:pt idx="90">
                  <c:v>493.89549345236594</c:v>
                </c:pt>
                <c:pt idx="91">
                  <c:v>392.00377257605692</c:v>
                </c:pt>
                <c:pt idx="92">
                  <c:v>587.34554108704231</c:v>
                </c:pt>
                <c:pt idx="93">
                  <c:v>392.00377257605692</c:v>
                </c:pt>
                <c:pt idx="94">
                  <c:v>293.66975814369101</c:v>
                </c:pt>
                <c:pt idx="95">
                  <c:v>440.01010976071973</c:v>
                </c:pt>
                <c:pt idx="96">
                  <c:v>493.89549345236594</c:v>
                </c:pt>
                <c:pt idx="97">
                  <c:v>392.00377257605692</c:v>
                </c:pt>
                <c:pt idx="98">
                  <c:v>493.89549345236594</c:v>
                </c:pt>
                <c:pt idx="99">
                  <c:v>392.00377257605692</c:v>
                </c:pt>
                <c:pt idx="100">
                  <c:v>293.66975814369101</c:v>
                </c:pt>
                <c:pt idx="101">
                  <c:v>493.89549345236594</c:v>
                </c:pt>
                <c:pt idx="102">
                  <c:v>392.00377257605692</c:v>
                </c:pt>
                <c:pt idx="103">
                  <c:v>587.34554108704231</c:v>
                </c:pt>
                <c:pt idx="104">
                  <c:v>392.00377257605692</c:v>
                </c:pt>
                <c:pt idx="105">
                  <c:v>293.66975814369101</c:v>
                </c:pt>
                <c:pt idx="106">
                  <c:v>392.00377257605692</c:v>
                </c:pt>
                <c:pt idx="107">
                  <c:v>440.01010976071973</c:v>
                </c:pt>
                <c:pt idx="108">
                  <c:v>392.00377257605692</c:v>
                </c:pt>
                <c:pt idx="109">
                  <c:v>440.01010976071973</c:v>
                </c:pt>
                <c:pt idx="110">
                  <c:v>392.00377257605692</c:v>
                </c:pt>
                <c:pt idx="111">
                  <c:v>293.66975814369101</c:v>
                </c:pt>
                <c:pt idx="112">
                  <c:v>440.01010976071973</c:v>
                </c:pt>
                <c:pt idx="113">
                  <c:v>392.00377257605692</c:v>
                </c:pt>
                <c:pt idx="114">
                  <c:v>523.26449507501752</c:v>
                </c:pt>
                <c:pt idx="115">
                  <c:v>392.00377257605692</c:v>
                </c:pt>
                <c:pt idx="116">
                  <c:v>293.66975814369101</c:v>
                </c:pt>
                <c:pt idx="117">
                  <c:v>329.63372180082422</c:v>
                </c:pt>
                <c:pt idx="118">
                  <c:v>349.23506143398839</c:v>
                </c:pt>
                <c:pt idx="119">
                  <c:v>392.00377257605692</c:v>
                </c:pt>
                <c:pt idx="120">
                  <c:v>329.63372180082422</c:v>
                </c:pt>
                <c:pt idx="121">
                  <c:v>392.00377257605692</c:v>
                </c:pt>
                <c:pt idx="122">
                  <c:v>329.63372180082422</c:v>
                </c:pt>
                <c:pt idx="123">
                  <c:v>392.00377257605692</c:v>
                </c:pt>
                <c:pt idx="124">
                  <c:v>329.63372180082422</c:v>
                </c:pt>
                <c:pt idx="125">
                  <c:v>392.00377257605692</c:v>
                </c:pt>
                <c:pt idx="126">
                  <c:v>293.66975814369101</c:v>
                </c:pt>
                <c:pt idx="127">
                  <c:v>440.01010976071973</c:v>
                </c:pt>
                <c:pt idx="128">
                  <c:v>493.89549345236594</c:v>
                </c:pt>
                <c:pt idx="129">
                  <c:v>392.00377257605692</c:v>
                </c:pt>
                <c:pt idx="130">
                  <c:v>493.89549345236594</c:v>
                </c:pt>
                <c:pt idx="131">
                  <c:v>392.00377257605692</c:v>
                </c:pt>
                <c:pt idx="132">
                  <c:v>293.66975814369101</c:v>
                </c:pt>
                <c:pt idx="133">
                  <c:v>493.89549345236594</c:v>
                </c:pt>
                <c:pt idx="134">
                  <c:v>392.00377257605692</c:v>
                </c:pt>
                <c:pt idx="135">
                  <c:v>587.34554108704231</c:v>
                </c:pt>
                <c:pt idx="136">
                  <c:v>392.00377257605692</c:v>
                </c:pt>
                <c:pt idx="137">
                  <c:v>293.66975814369101</c:v>
                </c:pt>
                <c:pt idx="138">
                  <c:v>440.01010976071973</c:v>
                </c:pt>
                <c:pt idx="139">
                  <c:v>493.89549345236594</c:v>
                </c:pt>
                <c:pt idx="140">
                  <c:v>392.00377257605692</c:v>
                </c:pt>
                <c:pt idx="141">
                  <c:v>493.89549345236594</c:v>
                </c:pt>
                <c:pt idx="142">
                  <c:v>392.00377257605692</c:v>
                </c:pt>
                <c:pt idx="143">
                  <c:v>293.66975814369101</c:v>
                </c:pt>
                <c:pt idx="144">
                  <c:v>493.89549345236594</c:v>
                </c:pt>
                <c:pt idx="145">
                  <c:v>392.00377257605692</c:v>
                </c:pt>
                <c:pt idx="146">
                  <c:v>587.34554108704231</c:v>
                </c:pt>
                <c:pt idx="147">
                  <c:v>392.00377257605692</c:v>
                </c:pt>
                <c:pt idx="148">
                  <c:v>293.66975814369101</c:v>
                </c:pt>
                <c:pt idx="149">
                  <c:v>392.00377257605692</c:v>
                </c:pt>
                <c:pt idx="150">
                  <c:v>440.01010976071973</c:v>
                </c:pt>
                <c:pt idx="151">
                  <c:v>392.00377257605692</c:v>
                </c:pt>
                <c:pt idx="152">
                  <c:v>440.01010976071973</c:v>
                </c:pt>
                <c:pt idx="153">
                  <c:v>392.00377257605692</c:v>
                </c:pt>
                <c:pt idx="154">
                  <c:v>293.66975814369101</c:v>
                </c:pt>
                <c:pt idx="155">
                  <c:v>440.01010976071973</c:v>
                </c:pt>
                <c:pt idx="156">
                  <c:v>392.00377257605692</c:v>
                </c:pt>
                <c:pt idx="157">
                  <c:v>523.26449507501752</c:v>
                </c:pt>
                <c:pt idx="158">
                  <c:v>392.00377257605692</c:v>
                </c:pt>
                <c:pt idx="159">
                  <c:v>293.66975814369101</c:v>
                </c:pt>
                <c:pt idx="160">
                  <c:v>329.63372180082422</c:v>
                </c:pt>
                <c:pt idx="161">
                  <c:v>349.23506143398839</c:v>
                </c:pt>
                <c:pt idx="162">
                  <c:v>392.00377257605692</c:v>
                </c:pt>
                <c:pt idx="163">
                  <c:v>329.63372180082422</c:v>
                </c:pt>
                <c:pt idx="164">
                  <c:v>392.00377257605692</c:v>
                </c:pt>
                <c:pt idx="165">
                  <c:v>329.63372180082422</c:v>
                </c:pt>
                <c:pt idx="166">
                  <c:v>392.00377257605692</c:v>
                </c:pt>
                <c:pt idx="167">
                  <c:v>329.63372180082422</c:v>
                </c:pt>
                <c:pt idx="168">
                  <c:v>392.00377257605692</c:v>
                </c:pt>
                <c:pt idx="169">
                  <c:v>293.66975814369101</c:v>
                </c:pt>
                <c:pt idx="170">
                  <c:v>440.01010976071973</c:v>
                </c:pt>
                <c:pt idx="171">
                  <c:v>493.89549345236594</c:v>
                </c:pt>
                <c:pt idx="172">
                  <c:v>392.00377257605692</c:v>
                </c:pt>
                <c:pt idx="173">
                  <c:v>493.89549345236594</c:v>
                </c:pt>
                <c:pt idx="174">
                  <c:v>392.00377257605692</c:v>
                </c:pt>
                <c:pt idx="175">
                  <c:v>293.66975814369101</c:v>
                </c:pt>
                <c:pt idx="176">
                  <c:v>493.89549345236594</c:v>
                </c:pt>
                <c:pt idx="177">
                  <c:v>392.00377257605692</c:v>
                </c:pt>
                <c:pt idx="178">
                  <c:v>587.34554108704231</c:v>
                </c:pt>
                <c:pt idx="179">
                  <c:v>392.00377257605692</c:v>
                </c:pt>
                <c:pt idx="180">
                  <c:v>293.66975814369101</c:v>
                </c:pt>
                <c:pt idx="181">
                  <c:v>440.01010976071973</c:v>
                </c:pt>
                <c:pt idx="182">
                  <c:v>493.89549345236594</c:v>
                </c:pt>
                <c:pt idx="183">
                  <c:v>392.00377257605692</c:v>
                </c:pt>
                <c:pt idx="184">
                  <c:v>493.89549345236594</c:v>
                </c:pt>
                <c:pt idx="185">
                  <c:v>392.00377257605692</c:v>
                </c:pt>
                <c:pt idx="186">
                  <c:v>293.66975814369101</c:v>
                </c:pt>
                <c:pt idx="187">
                  <c:v>493.89549345236594</c:v>
                </c:pt>
                <c:pt idx="188">
                  <c:v>392.00377257605692</c:v>
                </c:pt>
                <c:pt idx="189">
                  <c:v>587.34554108704231</c:v>
                </c:pt>
                <c:pt idx="190">
                  <c:v>392.00377257605692</c:v>
                </c:pt>
                <c:pt idx="191">
                  <c:v>293.66975814369101</c:v>
                </c:pt>
                <c:pt idx="192">
                  <c:v>392.00377257605692</c:v>
                </c:pt>
                <c:pt idx="193">
                  <c:v>440.01010976071973</c:v>
                </c:pt>
                <c:pt idx="194">
                  <c:v>392.00377257605692</c:v>
                </c:pt>
                <c:pt idx="195">
                  <c:v>440.01010976071973</c:v>
                </c:pt>
                <c:pt idx="196">
                  <c:v>392.00377257605692</c:v>
                </c:pt>
                <c:pt idx="197">
                  <c:v>293.66975814369101</c:v>
                </c:pt>
                <c:pt idx="198">
                  <c:v>440.01010976071973</c:v>
                </c:pt>
                <c:pt idx="199">
                  <c:v>392.00377257605692</c:v>
                </c:pt>
                <c:pt idx="200">
                  <c:v>523.26449507501752</c:v>
                </c:pt>
                <c:pt idx="201">
                  <c:v>392.00377257605692</c:v>
                </c:pt>
                <c:pt idx="202">
                  <c:v>293.66975814369101</c:v>
                </c:pt>
                <c:pt idx="203">
                  <c:v>329.63372180082422</c:v>
                </c:pt>
                <c:pt idx="204">
                  <c:v>349.23506143398839</c:v>
                </c:pt>
                <c:pt idx="205">
                  <c:v>392.00377257605692</c:v>
                </c:pt>
                <c:pt idx="206">
                  <c:v>329.63372180082422</c:v>
                </c:pt>
                <c:pt idx="207">
                  <c:v>392.00377257605692</c:v>
                </c:pt>
                <c:pt idx="208">
                  <c:v>329.63372180082422</c:v>
                </c:pt>
                <c:pt idx="209">
                  <c:v>392.00377257605692</c:v>
                </c:pt>
                <c:pt idx="210">
                  <c:v>329.63372180082422</c:v>
                </c:pt>
                <c:pt idx="211">
                  <c:v>392.00377257605692</c:v>
                </c:pt>
                <c:pt idx="212">
                  <c:v>349.23506143398839</c:v>
                </c:pt>
                <c:pt idx="213">
                  <c:v>370.00197512709912</c:v>
                </c:pt>
                <c:pt idx="214">
                  <c:v>392.00377257605692</c:v>
                </c:pt>
                <c:pt idx="215">
                  <c:v>392.00377257605692</c:v>
                </c:pt>
                <c:pt idx="216">
                  <c:v>392.00377257605692</c:v>
                </c:pt>
                <c:pt idx="217">
                  <c:v>392.00377257605692</c:v>
                </c:pt>
                <c:pt idx="218">
                  <c:v>349.23506143398839</c:v>
                </c:pt>
                <c:pt idx="219">
                  <c:v>370.00197512709912</c:v>
                </c:pt>
                <c:pt idx="220">
                  <c:v>392.00377257605692</c:v>
                </c:pt>
                <c:pt idx="221">
                  <c:v>392.00377257605692</c:v>
                </c:pt>
                <c:pt idx="222">
                  <c:v>392.00377257605692</c:v>
                </c:pt>
                <c:pt idx="223">
                  <c:v>392.00377257605692</c:v>
                </c:pt>
                <c:pt idx="224">
                  <c:v>349.23506143398839</c:v>
                </c:pt>
                <c:pt idx="225">
                  <c:v>370.00197512709912</c:v>
                </c:pt>
                <c:pt idx="226">
                  <c:v>392.00377257605692</c:v>
                </c:pt>
                <c:pt idx="227">
                  <c:v>392.00377257605692</c:v>
                </c:pt>
                <c:pt idx="228">
                  <c:v>392.00377257605692</c:v>
                </c:pt>
                <c:pt idx="229">
                  <c:v>392.00377257605692</c:v>
                </c:pt>
                <c:pt idx="230">
                  <c:v>349.23506143398839</c:v>
                </c:pt>
                <c:pt idx="231">
                  <c:v>370.00197512709912</c:v>
                </c:pt>
                <c:pt idx="232">
                  <c:v>392.00377257605692</c:v>
                </c:pt>
                <c:pt idx="233">
                  <c:v>392.00377257605692</c:v>
                </c:pt>
                <c:pt idx="234">
                  <c:v>392.00377257605692</c:v>
                </c:pt>
                <c:pt idx="235">
                  <c:v>392.00377257605692</c:v>
                </c:pt>
                <c:pt idx="236">
                  <c:v>293.66975814369101</c:v>
                </c:pt>
                <c:pt idx="237">
                  <c:v>329.63372180082422</c:v>
                </c:pt>
                <c:pt idx="238">
                  <c:v>349.23506143398839</c:v>
                </c:pt>
                <c:pt idx="239">
                  <c:v>392.00377257605692</c:v>
                </c:pt>
                <c:pt idx="240">
                  <c:v>293.66975814369101</c:v>
                </c:pt>
                <c:pt idx="241">
                  <c:v>349.23506143398839</c:v>
                </c:pt>
                <c:pt idx="242">
                  <c:v>392.00377257605692</c:v>
                </c:pt>
                <c:pt idx="243">
                  <c:v>392.00377257605692</c:v>
                </c:pt>
                <c:pt idx="244">
                  <c:v>293.66975814369101</c:v>
                </c:pt>
                <c:pt idx="245">
                  <c:v>392.00377257605692</c:v>
                </c:pt>
                <c:pt idx="246">
                  <c:v>440.01010976071973</c:v>
                </c:pt>
                <c:pt idx="247">
                  <c:v>392.00377257605692</c:v>
                </c:pt>
                <c:pt idx="248">
                  <c:v>293.66975814369101</c:v>
                </c:pt>
                <c:pt idx="249">
                  <c:v>440.01010976071973</c:v>
                </c:pt>
                <c:pt idx="250">
                  <c:v>493.89549345236594</c:v>
                </c:pt>
                <c:pt idx="251">
                  <c:v>392.00377257605692</c:v>
                </c:pt>
                <c:pt idx="252">
                  <c:v>587.34554108704231</c:v>
                </c:pt>
                <c:pt idx="253">
                  <c:v>784.01558732918636</c:v>
                </c:pt>
                <c:pt idx="254">
                  <c:v>587.34554108704231</c:v>
                </c:pt>
                <c:pt idx="255">
                  <c:v>784.01558732918636</c:v>
                </c:pt>
                <c:pt idx="256">
                  <c:v>587.34554108704231</c:v>
                </c:pt>
                <c:pt idx="257">
                  <c:v>784.01558732918636</c:v>
                </c:pt>
                <c:pt idx="258">
                  <c:v>587.34554108704231</c:v>
                </c:pt>
                <c:pt idx="259">
                  <c:v>392.00377257605692</c:v>
                </c:pt>
                <c:pt idx="260">
                  <c:v>293.66975814369101</c:v>
                </c:pt>
                <c:pt idx="261">
                  <c:v>329.63372180082422</c:v>
                </c:pt>
                <c:pt idx="262">
                  <c:v>349.23506143398839</c:v>
                </c:pt>
                <c:pt idx="263">
                  <c:v>392.00377257605692</c:v>
                </c:pt>
                <c:pt idx="264">
                  <c:v>293.66975814369101</c:v>
                </c:pt>
                <c:pt idx="265">
                  <c:v>349.23506143398839</c:v>
                </c:pt>
                <c:pt idx="266">
                  <c:v>392.00377257605692</c:v>
                </c:pt>
                <c:pt idx="267">
                  <c:v>392.00377257605692</c:v>
                </c:pt>
                <c:pt idx="268">
                  <c:v>293.66975814369101</c:v>
                </c:pt>
                <c:pt idx="269">
                  <c:v>392.00377257605692</c:v>
                </c:pt>
                <c:pt idx="270">
                  <c:v>440.01010976071973</c:v>
                </c:pt>
                <c:pt idx="271">
                  <c:v>392.00377257605692</c:v>
                </c:pt>
                <c:pt idx="272">
                  <c:v>293.66975814369101</c:v>
                </c:pt>
                <c:pt idx="273">
                  <c:v>440.01010976071973</c:v>
                </c:pt>
                <c:pt idx="274">
                  <c:v>493.89549345236594</c:v>
                </c:pt>
                <c:pt idx="275">
                  <c:v>392.00377257605692</c:v>
                </c:pt>
                <c:pt idx="276">
                  <c:v>587.34554108704231</c:v>
                </c:pt>
                <c:pt idx="277">
                  <c:v>784.01558732918636</c:v>
                </c:pt>
                <c:pt idx="278">
                  <c:v>587.34554108704231</c:v>
                </c:pt>
                <c:pt idx="279">
                  <c:v>784.01558732918636</c:v>
                </c:pt>
                <c:pt idx="280">
                  <c:v>587.34554108704231</c:v>
                </c:pt>
                <c:pt idx="281">
                  <c:v>784.01558732918636</c:v>
                </c:pt>
                <c:pt idx="282">
                  <c:v>587.34554108704231</c:v>
                </c:pt>
                <c:pt idx="283">
                  <c:v>392.00377257605692</c:v>
                </c:pt>
                <c:pt idx="284">
                  <c:v>293.66975814369101</c:v>
                </c:pt>
                <c:pt idx="285">
                  <c:v>329.63372180082422</c:v>
                </c:pt>
                <c:pt idx="286">
                  <c:v>349.23506143398839</c:v>
                </c:pt>
                <c:pt idx="287">
                  <c:v>392.00377257605692</c:v>
                </c:pt>
                <c:pt idx="288">
                  <c:v>293.66975814369101</c:v>
                </c:pt>
                <c:pt idx="289">
                  <c:v>349.23506143398839</c:v>
                </c:pt>
                <c:pt idx="290">
                  <c:v>392.00377257605692</c:v>
                </c:pt>
                <c:pt idx="291">
                  <c:v>392.00377257605692</c:v>
                </c:pt>
                <c:pt idx="292">
                  <c:v>293.66975814369101</c:v>
                </c:pt>
                <c:pt idx="293">
                  <c:v>392.00377257605692</c:v>
                </c:pt>
                <c:pt idx="294">
                  <c:v>440.01010976071973</c:v>
                </c:pt>
                <c:pt idx="295">
                  <c:v>392.00377257605692</c:v>
                </c:pt>
                <c:pt idx="296">
                  <c:v>293.66975814369101</c:v>
                </c:pt>
                <c:pt idx="297">
                  <c:v>440.01010976071973</c:v>
                </c:pt>
                <c:pt idx="298">
                  <c:v>493.89549345236594</c:v>
                </c:pt>
                <c:pt idx="299">
                  <c:v>392.00377257605692</c:v>
                </c:pt>
                <c:pt idx="300">
                  <c:v>587.34554108704231</c:v>
                </c:pt>
                <c:pt idx="301">
                  <c:v>784.01558732918636</c:v>
                </c:pt>
                <c:pt idx="302">
                  <c:v>587.34554108704231</c:v>
                </c:pt>
                <c:pt idx="303">
                  <c:v>784.01558732918636</c:v>
                </c:pt>
                <c:pt idx="304">
                  <c:v>587.34554108704231</c:v>
                </c:pt>
                <c:pt idx="305">
                  <c:v>784.01558732918636</c:v>
                </c:pt>
                <c:pt idx="306">
                  <c:v>587.34554108704231</c:v>
                </c:pt>
                <c:pt idx="307">
                  <c:v>392.00377257605692</c:v>
                </c:pt>
                <c:pt idx="308">
                  <c:v>293.66975814369101</c:v>
                </c:pt>
                <c:pt idx="309">
                  <c:v>329.63372180082422</c:v>
                </c:pt>
                <c:pt idx="310">
                  <c:v>349.23506143398839</c:v>
                </c:pt>
                <c:pt idx="311">
                  <c:v>392.00377257605692</c:v>
                </c:pt>
                <c:pt idx="312">
                  <c:v>293.66975814369101</c:v>
                </c:pt>
                <c:pt idx="313">
                  <c:v>349.23506143398839</c:v>
                </c:pt>
                <c:pt idx="314">
                  <c:v>392.00377257605692</c:v>
                </c:pt>
                <c:pt idx="315">
                  <c:v>392.00377257605692</c:v>
                </c:pt>
                <c:pt idx="316">
                  <c:v>293.66975814369101</c:v>
                </c:pt>
                <c:pt idx="317">
                  <c:v>392.00377257605692</c:v>
                </c:pt>
                <c:pt idx="318">
                  <c:v>440.01010976071973</c:v>
                </c:pt>
                <c:pt idx="319">
                  <c:v>392.00377257605692</c:v>
                </c:pt>
                <c:pt idx="320">
                  <c:v>293.66975814369101</c:v>
                </c:pt>
                <c:pt idx="321">
                  <c:v>440.01010976071973</c:v>
                </c:pt>
                <c:pt idx="322">
                  <c:v>493.89549345236594</c:v>
                </c:pt>
                <c:pt idx="323">
                  <c:v>392.00377257605692</c:v>
                </c:pt>
                <c:pt idx="324">
                  <c:v>587.34554108704231</c:v>
                </c:pt>
                <c:pt idx="325">
                  <c:v>784.01558732918636</c:v>
                </c:pt>
                <c:pt idx="326">
                  <c:v>587.34554108704231</c:v>
                </c:pt>
                <c:pt idx="327">
                  <c:v>784.01558732918636</c:v>
                </c:pt>
                <c:pt idx="328">
                  <c:v>587.34554108704231</c:v>
                </c:pt>
                <c:pt idx="329">
                  <c:v>784.01558732918636</c:v>
                </c:pt>
                <c:pt idx="330">
                  <c:v>587.34554108704231</c:v>
                </c:pt>
                <c:pt idx="331">
                  <c:v>392.00377257605692</c:v>
                </c:pt>
                <c:pt idx="332">
                  <c:v>293.66975814369101</c:v>
                </c:pt>
                <c:pt idx="333">
                  <c:v>440.01010976071973</c:v>
                </c:pt>
                <c:pt idx="334">
                  <c:v>493.89549345236594</c:v>
                </c:pt>
                <c:pt idx="335">
                  <c:v>392.00377257605692</c:v>
                </c:pt>
                <c:pt idx="336">
                  <c:v>493.89549345236594</c:v>
                </c:pt>
                <c:pt idx="337">
                  <c:v>392.00377257605692</c:v>
                </c:pt>
                <c:pt idx="338">
                  <c:v>293.66975814369101</c:v>
                </c:pt>
                <c:pt idx="339">
                  <c:v>493.89549345236594</c:v>
                </c:pt>
                <c:pt idx="340">
                  <c:v>392.00377257605692</c:v>
                </c:pt>
                <c:pt idx="341">
                  <c:v>587.34554108704231</c:v>
                </c:pt>
                <c:pt idx="342">
                  <c:v>392.00377257605692</c:v>
                </c:pt>
                <c:pt idx="343">
                  <c:v>293.66975814369101</c:v>
                </c:pt>
                <c:pt idx="344">
                  <c:v>440.01010976071973</c:v>
                </c:pt>
                <c:pt idx="345">
                  <c:v>493.89549345236594</c:v>
                </c:pt>
                <c:pt idx="346">
                  <c:v>392.00377257605692</c:v>
                </c:pt>
                <c:pt idx="347">
                  <c:v>493.89549345236594</c:v>
                </c:pt>
                <c:pt idx="348">
                  <c:v>392.00377257605692</c:v>
                </c:pt>
                <c:pt idx="349">
                  <c:v>293.66975814369101</c:v>
                </c:pt>
                <c:pt idx="350">
                  <c:v>493.89549345236594</c:v>
                </c:pt>
                <c:pt idx="351">
                  <c:v>392.00377257605692</c:v>
                </c:pt>
                <c:pt idx="352">
                  <c:v>587.34554108704231</c:v>
                </c:pt>
                <c:pt idx="353">
                  <c:v>392.00377257605692</c:v>
                </c:pt>
                <c:pt idx="354">
                  <c:v>293.66975814369101</c:v>
                </c:pt>
                <c:pt idx="355">
                  <c:v>392.00377257605692</c:v>
                </c:pt>
                <c:pt idx="356">
                  <c:v>440.01010976071973</c:v>
                </c:pt>
                <c:pt idx="357">
                  <c:v>392.00377257605692</c:v>
                </c:pt>
                <c:pt idx="358">
                  <c:v>440.01010976071973</c:v>
                </c:pt>
                <c:pt idx="359">
                  <c:v>392.00377257605692</c:v>
                </c:pt>
                <c:pt idx="360">
                  <c:v>293.66975814369101</c:v>
                </c:pt>
                <c:pt idx="361">
                  <c:v>440.01010976071973</c:v>
                </c:pt>
                <c:pt idx="362">
                  <c:v>392.00377257605692</c:v>
                </c:pt>
                <c:pt idx="363">
                  <c:v>523.26449507501752</c:v>
                </c:pt>
                <c:pt idx="364">
                  <c:v>392.00377257605692</c:v>
                </c:pt>
                <c:pt idx="365">
                  <c:v>293.66975814369101</c:v>
                </c:pt>
                <c:pt idx="366">
                  <c:v>329.63372180082422</c:v>
                </c:pt>
                <c:pt idx="367">
                  <c:v>349.23506143398839</c:v>
                </c:pt>
                <c:pt idx="368">
                  <c:v>392.00377257605692</c:v>
                </c:pt>
                <c:pt idx="369">
                  <c:v>329.63372180082422</c:v>
                </c:pt>
                <c:pt idx="370">
                  <c:v>392.00377257605692</c:v>
                </c:pt>
                <c:pt idx="371">
                  <c:v>329.63372180082422</c:v>
                </c:pt>
                <c:pt idx="372">
                  <c:v>392.00377257605692</c:v>
                </c:pt>
                <c:pt idx="373">
                  <c:v>329.63372180082422</c:v>
                </c:pt>
                <c:pt idx="374">
                  <c:v>392.00377257605692</c:v>
                </c:pt>
                <c:pt idx="375">
                  <c:v>293.66975814369101</c:v>
                </c:pt>
                <c:pt idx="376">
                  <c:v>440.01010976071973</c:v>
                </c:pt>
                <c:pt idx="377">
                  <c:v>493.89549345236594</c:v>
                </c:pt>
                <c:pt idx="378">
                  <c:v>392.00377257605692</c:v>
                </c:pt>
                <c:pt idx="379">
                  <c:v>493.89549345236594</c:v>
                </c:pt>
                <c:pt idx="380">
                  <c:v>392.00377257605692</c:v>
                </c:pt>
                <c:pt idx="381">
                  <c:v>293.66975814369101</c:v>
                </c:pt>
                <c:pt idx="382">
                  <c:v>493.89549345236594</c:v>
                </c:pt>
                <c:pt idx="383">
                  <c:v>392.00377257605692</c:v>
                </c:pt>
                <c:pt idx="384">
                  <c:v>587.34554108704231</c:v>
                </c:pt>
                <c:pt idx="385">
                  <c:v>392.00377257605692</c:v>
                </c:pt>
                <c:pt idx="386">
                  <c:v>293.66975814369101</c:v>
                </c:pt>
                <c:pt idx="387">
                  <c:v>440.01010976071973</c:v>
                </c:pt>
                <c:pt idx="388">
                  <c:v>493.89549345236594</c:v>
                </c:pt>
                <c:pt idx="389">
                  <c:v>392.00377257605692</c:v>
                </c:pt>
                <c:pt idx="390">
                  <c:v>493.89549345236594</c:v>
                </c:pt>
                <c:pt idx="391">
                  <c:v>392.00377257605692</c:v>
                </c:pt>
                <c:pt idx="392">
                  <c:v>293.66975814369101</c:v>
                </c:pt>
                <c:pt idx="393">
                  <c:v>493.89549345236594</c:v>
                </c:pt>
                <c:pt idx="394">
                  <c:v>392.00377257605692</c:v>
                </c:pt>
                <c:pt idx="395">
                  <c:v>587.34554108704231</c:v>
                </c:pt>
                <c:pt idx="396">
                  <c:v>392.00377257605692</c:v>
                </c:pt>
                <c:pt idx="397">
                  <c:v>293.66975814369101</c:v>
                </c:pt>
                <c:pt idx="398">
                  <c:v>392.00377257605692</c:v>
                </c:pt>
                <c:pt idx="399">
                  <c:v>440.01010976071973</c:v>
                </c:pt>
                <c:pt idx="400">
                  <c:v>392.00377257605692</c:v>
                </c:pt>
                <c:pt idx="401">
                  <c:v>440.01010976071973</c:v>
                </c:pt>
                <c:pt idx="402">
                  <c:v>392.00377257605692</c:v>
                </c:pt>
                <c:pt idx="403">
                  <c:v>293.66975814369101</c:v>
                </c:pt>
                <c:pt idx="404">
                  <c:v>440.01010976071973</c:v>
                </c:pt>
                <c:pt idx="405">
                  <c:v>392.00377257605692</c:v>
                </c:pt>
                <c:pt idx="406">
                  <c:v>523.26449507501752</c:v>
                </c:pt>
                <c:pt idx="407">
                  <c:v>392.00377257605692</c:v>
                </c:pt>
                <c:pt idx="408">
                  <c:v>293.66975814369101</c:v>
                </c:pt>
                <c:pt idx="409">
                  <c:v>329.63372180082422</c:v>
                </c:pt>
                <c:pt idx="410">
                  <c:v>349.23506143398839</c:v>
                </c:pt>
                <c:pt idx="411">
                  <c:v>392.00377257605692</c:v>
                </c:pt>
                <c:pt idx="412">
                  <c:v>329.63372180082422</c:v>
                </c:pt>
                <c:pt idx="413">
                  <c:v>392.00377257605692</c:v>
                </c:pt>
                <c:pt idx="414">
                  <c:v>329.63372180082422</c:v>
                </c:pt>
                <c:pt idx="415">
                  <c:v>392.00377257605692</c:v>
                </c:pt>
                <c:pt idx="416">
                  <c:v>329.63372180082422</c:v>
                </c:pt>
                <c:pt idx="417">
                  <c:v>392.00377257605692</c:v>
                </c:pt>
                <c:pt idx="418">
                  <c:v>293.66975814369101</c:v>
                </c:pt>
                <c:pt idx="419">
                  <c:v>440.01010976071973</c:v>
                </c:pt>
                <c:pt idx="420">
                  <c:v>493.89549345236594</c:v>
                </c:pt>
                <c:pt idx="421">
                  <c:v>392.00377257605692</c:v>
                </c:pt>
                <c:pt idx="422">
                  <c:v>493.89549345236594</c:v>
                </c:pt>
                <c:pt idx="423">
                  <c:v>392.00377257605692</c:v>
                </c:pt>
                <c:pt idx="424">
                  <c:v>293.66975814369101</c:v>
                </c:pt>
                <c:pt idx="425">
                  <c:v>493.89549345236594</c:v>
                </c:pt>
                <c:pt idx="426">
                  <c:v>392.00377257605692</c:v>
                </c:pt>
                <c:pt idx="427">
                  <c:v>587.34554108704231</c:v>
                </c:pt>
                <c:pt idx="428">
                  <c:v>392.00377257605692</c:v>
                </c:pt>
                <c:pt idx="429">
                  <c:v>293.66975814369101</c:v>
                </c:pt>
                <c:pt idx="430">
                  <c:v>440.01010976071973</c:v>
                </c:pt>
                <c:pt idx="431">
                  <c:v>493.89549345236594</c:v>
                </c:pt>
                <c:pt idx="432">
                  <c:v>392.00377257605692</c:v>
                </c:pt>
                <c:pt idx="433">
                  <c:v>493.89549345236594</c:v>
                </c:pt>
                <c:pt idx="434">
                  <c:v>392.00377257605692</c:v>
                </c:pt>
                <c:pt idx="435">
                  <c:v>293.66975814369101</c:v>
                </c:pt>
                <c:pt idx="436">
                  <c:v>493.89549345236594</c:v>
                </c:pt>
                <c:pt idx="437">
                  <c:v>392.00377257605692</c:v>
                </c:pt>
                <c:pt idx="438">
                  <c:v>587.34554108704231</c:v>
                </c:pt>
                <c:pt idx="439">
                  <c:v>392.00377257605692</c:v>
                </c:pt>
                <c:pt idx="440">
                  <c:v>293.66975814369101</c:v>
                </c:pt>
                <c:pt idx="441">
                  <c:v>392.00377257605692</c:v>
                </c:pt>
                <c:pt idx="442">
                  <c:v>440.01010976071973</c:v>
                </c:pt>
                <c:pt idx="443">
                  <c:v>392.00377257605692</c:v>
                </c:pt>
                <c:pt idx="444">
                  <c:v>440.01010976071973</c:v>
                </c:pt>
                <c:pt idx="445">
                  <c:v>392.00377257605692</c:v>
                </c:pt>
                <c:pt idx="446">
                  <c:v>293.66975814369101</c:v>
                </c:pt>
                <c:pt idx="447">
                  <c:v>440.01010976071973</c:v>
                </c:pt>
                <c:pt idx="448">
                  <c:v>392.00377257605692</c:v>
                </c:pt>
                <c:pt idx="449">
                  <c:v>523.26449507501752</c:v>
                </c:pt>
                <c:pt idx="450">
                  <c:v>392.00377257605692</c:v>
                </c:pt>
                <c:pt idx="451">
                  <c:v>293.66975814369101</c:v>
                </c:pt>
                <c:pt idx="452">
                  <c:v>329.63372180082422</c:v>
                </c:pt>
                <c:pt idx="453">
                  <c:v>349.23506143398839</c:v>
                </c:pt>
                <c:pt idx="454">
                  <c:v>392.00377257605692</c:v>
                </c:pt>
                <c:pt idx="455">
                  <c:v>329.63372180082422</c:v>
                </c:pt>
                <c:pt idx="456">
                  <c:v>392.00377257605692</c:v>
                </c:pt>
                <c:pt idx="457">
                  <c:v>329.63372180082422</c:v>
                </c:pt>
                <c:pt idx="458">
                  <c:v>392.00377257605692</c:v>
                </c:pt>
                <c:pt idx="459">
                  <c:v>329.63372180082422</c:v>
                </c:pt>
                <c:pt idx="460">
                  <c:v>392.00377257605692</c:v>
                </c:pt>
                <c:pt idx="461">
                  <c:v>293.66975814369101</c:v>
                </c:pt>
                <c:pt idx="462">
                  <c:v>440.01010976071973</c:v>
                </c:pt>
                <c:pt idx="463">
                  <c:v>493.89549345236594</c:v>
                </c:pt>
                <c:pt idx="464">
                  <c:v>392.00377257605692</c:v>
                </c:pt>
                <c:pt idx="465">
                  <c:v>493.89549345236594</c:v>
                </c:pt>
                <c:pt idx="466">
                  <c:v>392.00377257605692</c:v>
                </c:pt>
                <c:pt idx="467">
                  <c:v>293.66975814369101</c:v>
                </c:pt>
                <c:pt idx="468">
                  <c:v>493.89549345236594</c:v>
                </c:pt>
                <c:pt idx="469">
                  <c:v>392.00377257605692</c:v>
                </c:pt>
                <c:pt idx="470">
                  <c:v>587.34554108704231</c:v>
                </c:pt>
                <c:pt idx="471">
                  <c:v>392.00377257605692</c:v>
                </c:pt>
                <c:pt idx="472">
                  <c:v>293.66975814369101</c:v>
                </c:pt>
                <c:pt idx="473">
                  <c:v>440.01010976071973</c:v>
                </c:pt>
                <c:pt idx="474">
                  <c:v>493.89549345236594</c:v>
                </c:pt>
                <c:pt idx="475">
                  <c:v>392.00377257605692</c:v>
                </c:pt>
                <c:pt idx="476">
                  <c:v>493.89549345236594</c:v>
                </c:pt>
                <c:pt idx="477">
                  <c:v>392.00377257605692</c:v>
                </c:pt>
                <c:pt idx="478">
                  <c:v>293.66975814369101</c:v>
                </c:pt>
                <c:pt idx="479">
                  <c:v>493.89549345236594</c:v>
                </c:pt>
                <c:pt idx="480">
                  <c:v>392.00377257605692</c:v>
                </c:pt>
                <c:pt idx="481">
                  <c:v>587.34554108704231</c:v>
                </c:pt>
                <c:pt idx="482">
                  <c:v>392.00377257605692</c:v>
                </c:pt>
                <c:pt idx="483">
                  <c:v>293.66975814369101</c:v>
                </c:pt>
                <c:pt idx="484">
                  <c:v>392.00377257605692</c:v>
                </c:pt>
                <c:pt idx="485">
                  <c:v>440.01010976071973</c:v>
                </c:pt>
                <c:pt idx="486">
                  <c:v>392.00377257605692</c:v>
                </c:pt>
                <c:pt idx="487">
                  <c:v>440.01010976071973</c:v>
                </c:pt>
                <c:pt idx="488">
                  <c:v>392.00377257605692</c:v>
                </c:pt>
                <c:pt idx="489">
                  <c:v>293.66975814369101</c:v>
                </c:pt>
                <c:pt idx="490">
                  <c:v>440.01010976071973</c:v>
                </c:pt>
                <c:pt idx="491">
                  <c:v>392.00377257605692</c:v>
                </c:pt>
                <c:pt idx="492">
                  <c:v>523.26449507501752</c:v>
                </c:pt>
                <c:pt idx="493">
                  <c:v>392.00377257605692</c:v>
                </c:pt>
                <c:pt idx="494">
                  <c:v>293.66975814369101</c:v>
                </c:pt>
                <c:pt idx="495">
                  <c:v>329.63372180082422</c:v>
                </c:pt>
                <c:pt idx="496">
                  <c:v>349.23506143398839</c:v>
                </c:pt>
                <c:pt idx="497">
                  <c:v>392.00377257605692</c:v>
                </c:pt>
                <c:pt idx="498">
                  <c:v>329.63372180082422</c:v>
                </c:pt>
                <c:pt idx="499">
                  <c:v>392.00377257605692</c:v>
                </c:pt>
                <c:pt idx="500">
                  <c:v>329.63372180082422</c:v>
                </c:pt>
                <c:pt idx="501">
                  <c:v>392.00377257605692</c:v>
                </c:pt>
                <c:pt idx="502">
                  <c:v>329.63372180082422</c:v>
                </c:pt>
                <c:pt idx="503">
                  <c:v>392.00377257605692</c:v>
                </c:pt>
                <c:pt idx="504">
                  <c:v>349.23506143398839</c:v>
                </c:pt>
                <c:pt idx="505">
                  <c:v>370.00197512709912</c:v>
                </c:pt>
                <c:pt idx="506">
                  <c:v>392.00377257605692</c:v>
                </c:pt>
                <c:pt idx="507">
                  <c:v>392.00377257605692</c:v>
                </c:pt>
                <c:pt idx="508">
                  <c:v>392.00377257605692</c:v>
                </c:pt>
                <c:pt idx="509">
                  <c:v>392.00377257605692</c:v>
                </c:pt>
                <c:pt idx="510">
                  <c:v>349.23506143398839</c:v>
                </c:pt>
                <c:pt idx="511">
                  <c:v>370.00197512709912</c:v>
                </c:pt>
                <c:pt idx="512">
                  <c:v>392.00377257605692</c:v>
                </c:pt>
                <c:pt idx="513">
                  <c:v>392.00377257605692</c:v>
                </c:pt>
                <c:pt idx="514">
                  <c:v>392.00377257605692</c:v>
                </c:pt>
                <c:pt idx="515">
                  <c:v>392.00377257605692</c:v>
                </c:pt>
                <c:pt idx="516">
                  <c:v>349.23506143398839</c:v>
                </c:pt>
                <c:pt idx="517">
                  <c:v>370.00197512709912</c:v>
                </c:pt>
                <c:pt idx="518">
                  <c:v>392.00377257605692</c:v>
                </c:pt>
                <c:pt idx="519">
                  <c:v>392.00377257605692</c:v>
                </c:pt>
                <c:pt idx="520">
                  <c:v>392.00377257605692</c:v>
                </c:pt>
                <c:pt idx="521">
                  <c:v>392.00377257605692</c:v>
                </c:pt>
                <c:pt idx="522">
                  <c:v>349.23506143398839</c:v>
                </c:pt>
                <c:pt idx="523">
                  <c:v>370.00197512709912</c:v>
                </c:pt>
                <c:pt idx="524">
                  <c:v>392.00377257605692</c:v>
                </c:pt>
                <c:pt idx="525">
                  <c:v>392.00377257605692</c:v>
                </c:pt>
                <c:pt idx="526">
                  <c:v>392.00377257605692</c:v>
                </c:pt>
                <c:pt idx="527">
                  <c:v>392.00377257605692</c:v>
                </c:pt>
                <c:pt idx="528">
                  <c:v>293.66975814369101</c:v>
                </c:pt>
                <c:pt idx="529">
                  <c:v>329.63372180082422</c:v>
                </c:pt>
                <c:pt idx="530">
                  <c:v>349.23506143398839</c:v>
                </c:pt>
                <c:pt idx="531">
                  <c:v>392.00377257605692</c:v>
                </c:pt>
                <c:pt idx="532">
                  <c:v>293.66975814369101</c:v>
                </c:pt>
                <c:pt idx="533">
                  <c:v>349.23506143398839</c:v>
                </c:pt>
                <c:pt idx="534">
                  <c:v>392.00377257605692</c:v>
                </c:pt>
                <c:pt idx="535">
                  <c:v>392.00377257605692</c:v>
                </c:pt>
                <c:pt idx="536">
                  <c:v>293.66975814369101</c:v>
                </c:pt>
                <c:pt idx="537">
                  <c:v>392.00377257605692</c:v>
                </c:pt>
                <c:pt idx="538">
                  <c:v>440.01010976071973</c:v>
                </c:pt>
                <c:pt idx="539">
                  <c:v>392.00377257605692</c:v>
                </c:pt>
                <c:pt idx="540">
                  <c:v>293.66975814369101</c:v>
                </c:pt>
                <c:pt idx="541">
                  <c:v>440.01010976071973</c:v>
                </c:pt>
                <c:pt idx="542">
                  <c:v>493.89549345236594</c:v>
                </c:pt>
                <c:pt idx="543">
                  <c:v>392.00377257605692</c:v>
                </c:pt>
                <c:pt idx="544">
                  <c:v>587.34554108704231</c:v>
                </c:pt>
                <c:pt idx="545">
                  <c:v>784.01558732918636</c:v>
                </c:pt>
                <c:pt idx="546">
                  <c:v>587.34554108704231</c:v>
                </c:pt>
                <c:pt idx="547">
                  <c:v>784.01558732918636</c:v>
                </c:pt>
                <c:pt idx="548">
                  <c:v>587.34554108704231</c:v>
                </c:pt>
                <c:pt idx="549">
                  <c:v>784.01558732918636</c:v>
                </c:pt>
                <c:pt idx="550">
                  <c:v>587.34554108704231</c:v>
                </c:pt>
                <c:pt idx="551">
                  <c:v>392.00377257605692</c:v>
                </c:pt>
                <c:pt idx="552">
                  <c:v>293.66975814369101</c:v>
                </c:pt>
                <c:pt idx="553">
                  <c:v>329.63372180082422</c:v>
                </c:pt>
                <c:pt idx="554">
                  <c:v>349.23506143398839</c:v>
                </c:pt>
                <c:pt idx="555">
                  <c:v>392.00377257605692</c:v>
                </c:pt>
                <c:pt idx="556">
                  <c:v>293.66975814369101</c:v>
                </c:pt>
                <c:pt idx="557">
                  <c:v>349.23506143398839</c:v>
                </c:pt>
                <c:pt idx="558">
                  <c:v>392.00377257605692</c:v>
                </c:pt>
                <c:pt idx="559">
                  <c:v>392.00377257605692</c:v>
                </c:pt>
                <c:pt idx="560">
                  <c:v>293.66975814369101</c:v>
                </c:pt>
                <c:pt idx="561">
                  <c:v>392.00377257605692</c:v>
                </c:pt>
                <c:pt idx="562">
                  <c:v>440.01010976071973</c:v>
                </c:pt>
                <c:pt idx="563">
                  <c:v>392.00377257605692</c:v>
                </c:pt>
                <c:pt idx="564">
                  <c:v>293.66975814369101</c:v>
                </c:pt>
                <c:pt idx="565">
                  <c:v>440.01010976071973</c:v>
                </c:pt>
                <c:pt idx="566">
                  <c:v>493.89549345236594</c:v>
                </c:pt>
                <c:pt idx="567">
                  <c:v>392.00377257605692</c:v>
                </c:pt>
                <c:pt idx="568">
                  <c:v>587.34554108704231</c:v>
                </c:pt>
                <c:pt idx="569">
                  <c:v>784.01558732918636</c:v>
                </c:pt>
                <c:pt idx="570">
                  <c:v>293.66975814369101</c:v>
                </c:pt>
                <c:pt idx="571">
                  <c:v>392.00377257605692</c:v>
                </c:pt>
                <c:pt idx="572">
                  <c:v>293.66975814369101</c:v>
                </c:pt>
                <c:pt idx="573">
                  <c:v>392.00377257605692</c:v>
                </c:pt>
                <c:pt idx="574">
                  <c:v>293.66975814369101</c:v>
                </c:pt>
                <c:pt idx="575">
                  <c:v>392.00377257605692</c:v>
                </c:pt>
                <c:pt idx="576">
                  <c:v>293.66975814369101</c:v>
                </c:pt>
                <c:pt idx="577">
                  <c:v>329.63372180082422</c:v>
                </c:pt>
                <c:pt idx="578">
                  <c:v>349.23506143398839</c:v>
                </c:pt>
                <c:pt idx="579">
                  <c:v>392.00377257605692</c:v>
                </c:pt>
                <c:pt idx="580">
                  <c:v>293.66975814369101</c:v>
                </c:pt>
                <c:pt idx="581">
                  <c:v>349.23506143398839</c:v>
                </c:pt>
                <c:pt idx="582">
                  <c:v>392.00377257605692</c:v>
                </c:pt>
                <c:pt idx="583">
                  <c:v>392.00377257605692</c:v>
                </c:pt>
                <c:pt idx="584">
                  <c:v>293.66975814369101</c:v>
                </c:pt>
                <c:pt idx="585">
                  <c:v>392.00377257605692</c:v>
                </c:pt>
                <c:pt idx="586">
                  <c:v>440.01010976071973</c:v>
                </c:pt>
                <c:pt idx="587">
                  <c:v>392.00377257605692</c:v>
                </c:pt>
                <c:pt idx="588">
                  <c:v>293.66975814369101</c:v>
                </c:pt>
                <c:pt idx="589">
                  <c:v>440.01010976071973</c:v>
                </c:pt>
                <c:pt idx="590">
                  <c:v>493.89549345236594</c:v>
                </c:pt>
                <c:pt idx="591">
                  <c:v>392.00377257605692</c:v>
                </c:pt>
                <c:pt idx="592">
                  <c:v>587.34554108704231</c:v>
                </c:pt>
                <c:pt idx="593">
                  <c:v>784.01558732918636</c:v>
                </c:pt>
                <c:pt idx="594">
                  <c:v>587.34554108704231</c:v>
                </c:pt>
                <c:pt idx="595">
                  <c:v>784.01558732918636</c:v>
                </c:pt>
                <c:pt idx="596">
                  <c:v>587.34554108704231</c:v>
                </c:pt>
                <c:pt idx="597">
                  <c:v>784.01558732918636</c:v>
                </c:pt>
                <c:pt idx="598">
                  <c:v>587.34554108704231</c:v>
                </c:pt>
                <c:pt idx="599">
                  <c:v>392.00377257605692</c:v>
                </c:pt>
                <c:pt idx="600">
                  <c:v>293.66975814369101</c:v>
                </c:pt>
                <c:pt idx="601">
                  <c:v>329.63372180082422</c:v>
                </c:pt>
                <c:pt idx="602">
                  <c:v>349.23506143398839</c:v>
                </c:pt>
                <c:pt idx="603">
                  <c:v>392.00377257605692</c:v>
                </c:pt>
                <c:pt idx="604">
                  <c:v>293.66975814369101</c:v>
                </c:pt>
                <c:pt idx="605">
                  <c:v>349.23506143398839</c:v>
                </c:pt>
                <c:pt idx="606">
                  <c:v>392.00377257605692</c:v>
                </c:pt>
                <c:pt idx="607">
                  <c:v>392.00377257605692</c:v>
                </c:pt>
                <c:pt idx="608">
                  <c:v>293.66975814369101</c:v>
                </c:pt>
                <c:pt idx="609">
                  <c:v>392.00377257605692</c:v>
                </c:pt>
                <c:pt idx="610">
                  <c:v>440.01010976071973</c:v>
                </c:pt>
                <c:pt idx="611">
                  <c:v>392.00377257605692</c:v>
                </c:pt>
                <c:pt idx="612">
                  <c:v>293.66975814369101</c:v>
                </c:pt>
                <c:pt idx="613">
                  <c:v>440.01010976071973</c:v>
                </c:pt>
                <c:pt idx="614">
                  <c:v>493.89549345236594</c:v>
                </c:pt>
                <c:pt idx="615">
                  <c:v>392.00377257605692</c:v>
                </c:pt>
                <c:pt idx="616">
                  <c:v>587.34554108704231</c:v>
                </c:pt>
                <c:pt idx="617">
                  <c:v>784.01558732918636</c:v>
                </c:pt>
                <c:pt idx="618">
                  <c:v>587.34554108704231</c:v>
                </c:pt>
                <c:pt idx="619">
                  <c:v>784.01558732918636</c:v>
                </c:pt>
                <c:pt idx="620">
                  <c:v>587.34554108704231</c:v>
                </c:pt>
                <c:pt idx="621">
                  <c:v>784.01558732918636</c:v>
                </c:pt>
                <c:pt idx="622">
                  <c:v>587.34554108704231</c:v>
                </c:pt>
                <c:pt idx="623">
                  <c:v>392.00377257605692</c:v>
                </c:pt>
                <c:pt idx="624">
                  <c:v>293.66975814369101</c:v>
                </c:pt>
                <c:pt idx="625">
                  <c:v>440.01010976071973</c:v>
                </c:pt>
                <c:pt idx="626">
                  <c:v>493.89549345236594</c:v>
                </c:pt>
                <c:pt idx="627">
                  <c:v>392.00377257605692</c:v>
                </c:pt>
                <c:pt idx="628">
                  <c:v>493.89549345236594</c:v>
                </c:pt>
                <c:pt idx="629">
                  <c:v>392.00377257605692</c:v>
                </c:pt>
                <c:pt idx="630">
                  <c:v>587.34554108704231</c:v>
                </c:pt>
                <c:pt idx="631">
                  <c:v>554.37989501015818</c:v>
                </c:pt>
                <c:pt idx="632">
                  <c:v>587.34554108704231</c:v>
                </c:pt>
                <c:pt idx="633">
                  <c:v>392.00377257605692</c:v>
                </c:pt>
                <c:pt idx="634">
                  <c:v>293.66975814369101</c:v>
                </c:pt>
                <c:pt idx="635">
                  <c:v>440.01010976071973</c:v>
                </c:pt>
                <c:pt idx="636">
                  <c:v>493.89549345236594</c:v>
                </c:pt>
                <c:pt idx="637">
                  <c:v>392.00377257605692</c:v>
                </c:pt>
                <c:pt idx="638">
                  <c:v>493.89549345236594</c:v>
                </c:pt>
                <c:pt idx="639">
                  <c:v>392.00377257605692</c:v>
                </c:pt>
                <c:pt idx="640">
                  <c:v>587.34554108704231</c:v>
                </c:pt>
                <c:pt idx="641">
                  <c:v>554.37989501015818</c:v>
                </c:pt>
                <c:pt idx="642">
                  <c:v>493.89549345236594</c:v>
                </c:pt>
                <c:pt idx="643">
                  <c:v>392.00377257605692</c:v>
                </c:pt>
                <c:pt idx="644">
                  <c:v>293.66975814369101</c:v>
                </c:pt>
                <c:pt idx="645">
                  <c:v>440.01010976071973</c:v>
                </c:pt>
                <c:pt idx="646">
                  <c:v>493.89549345236594</c:v>
                </c:pt>
                <c:pt idx="647">
                  <c:v>392.00377257605692</c:v>
                </c:pt>
                <c:pt idx="648">
                  <c:v>493.89549345236594</c:v>
                </c:pt>
                <c:pt idx="649">
                  <c:v>493.89549345236594</c:v>
                </c:pt>
                <c:pt idx="650">
                  <c:v>587.34554108704231</c:v>
                </c:pt>
                <c:pt idx="651">
                  <c:v>554.37989501015818</c:v>
                </c:pt>
                <c:pt idx="652">
                  <c:v>587.34554108704231</c:v>
                </c:pt>
                <c:pt idx="653">
                  <c:v>392.00377257605692</c:v>
                </c:pt>
                <c:pt idx="654">
                  <c:v>293.66975814369101</c:v>
                </c:pt>
                <c:pt idx="655">
                  <c:v>440.01010976071973</c:v>
                </c:pt>
                <c:pt idx="656">
                  <c:v>493.89549345236594</c:v>
                </c:pt>
                <c:pt idx="657">
                  <c:v>392.00377257605692</c:v>
                </c:pt>
                <c:pt idx="658">
                  <c:v>493.89549345236594</c:v>
                </c:pt>
                <c:pt idx="659">
                  <c:v>392.00377257605692</c:v>
                </c:pt>
                <c:pt idx="660">
                  <c:v>587.34554108704231</c:v>
                </c:pt>
                <c:pt idx="661">
                  <c:v>554.37989501015818</c:v>
                </c:pt>
                <c:pt idx="662">
                  <c:v>493.89549345236594</c:v>
                </c:pt>
                <c:pt idx="663">
                  <c:v>392.00377257605692</c:v>
                </c:pt>
                <c:pt idx="664">
                  <c:v>293.66975814369101</c:v>
                </c:pt>
                <c:pt idx="665">
                  <c:v>440.01010976071973</c:v>
                </c:pt>
                <c:pt idx="666">
                  <c:v>493.89549345236594</c:v>
                </c:pt>
                <c:pt idx="667">
                  <c:v>392.00377257605692</c:v>
                </c:pt>
                <c:pt idx="668">
                  <c:v>493.89549345236594</c:v>
                </c:pt>
                <c:pt idx="669">
                  <c:v>392.00377257605692</c:v>
                </c:pt>
                <c:pt idx="670">
                  <c:v>293.66975814369101</c:v>
                </c:pt>
                <c:pt idx="671">
                  <c:v>440.01010976071973</c:v>
                </c:pt>
                <c:pt idx="672">
                  <c:v>493.89549345236594</c:v>
                </c:pt>
                <c:pt idx="673">
                  <c:v>392.00377257605692</c:v>
                </c:pt>
                <c:pt idx="674">
                  <c:v>493.89549345236594</c:v>
                </c:pt>
                <c:pt idx="675">
                  <c:v>392.00377257605692</c:v>
                </c:pt>
                <c:pt idx="676">
                  <c:v>293.66975814369101</c:v>
                </c:pt>
                <c:pt idx="677">
                  <c:v>440.01010976071973</c:v>
                </c:pt>
                <c:pt idx="678">
                  <c:v>493.89549345236594</c:v>
                </c:pt>
                <c:pt idx="679">
                  <c:v>392.00377257605692</c:v>
                </c:pt>
                <c:pt idx="680">
                  <c:v>493.89549345236594</c:v>
                </c:pt>
                <c:pt idx="681">
                  <c:v>392.00377257605692</c:v>
                </c:pt>
                <c:pt idx="682">
                  <c:v>293.66975814369101</c:v>
                </c:pt>
                <c:pt idx="683">
                  <c:v>440.01010976071973</c:v>
                </c:pt>
                <c:pt idx="684">
                  <c:v>493.89549345236594</c:v>
                </c:pt>
                <c:pt idx="685">
                  <c:v>392.00377257605692</c:v>
                </c:pt>
                <c:pt idx="686">
                  <c:v>493.89549345236594</c:v>
                </c:pt>
                <c:pt idx="687">
                  <c:v>392.00377257605692</c:v>
                </c:pt>
                <c:pt idx="688">
                  <c:v>293.66975814369101</c:v>
                </c:pt>
                <c:pt idx="689">
                  <c:v>440.01010976071973</c:v>
                </c:pt>
                <c:pt idx="690">
                  <c:v>493.89549345236594</c:v>
                </c:pt>
                <c:pt idx="691">
                  <c:v>392.00377257605692</c:v>
                </c:pt>
                <c:pt idx="692">
                  <c:v>493.89549345236594</c:v>
                </c:pt>
                <c:pt idx="693">
                  <c:v>392.00377257605692</c:v>
                </c:pt>
                <c:pt idx="694">
                  <c:v>587.34554108704231</c:v>
                </c:pt>
                <c:pt idx="695">
                  <c:v>554.37989501015818</c:v>
                </c:pt>
                <c:pt idx="696">
                  <c:v>587.34554108704231</c:v>
                </c:pt>
                <c:pt idx="697">
                  <c:v>392.00377257605692</c:v>
                </c:pt>
                <c:pt idx="698">
                  <c:v>293.66975814369101</c:v>
                </c:pt>
                <c:pt idx="699">
                  <c:v>440.01010976071973</c:v>
                </c:pt>
                <c:pt idx="700">
                  <c:v>493.89549345236594</c:v>
                </c:pt>
                <c:pt idx="701">
                  <c:v>392.00377257605692</c:v>
                </c:pt>
                <c:pt idx="702">
                  <c:v>493.89549345236594</c:v>
                </c:pt>
                <c:pt idx="703">
                  <c:v>392.00377257605692</c:v>
                </c:pt>
                <c:pt idx="704">
                  <c:v>587.34554108704231</c:v>
                </c:pt>
                <c:pt idx="705">
                  <c:v>554.37989501015818</c:v>
                </c:pt>
                <c:pt idx="706">
                  <c:v>493.89549345236594</c:v>
                </c:pt>
                <c:pt idx="707">
                  <c:v>392.00377257605692</c:v>
                </c:pt>
                <c:pt idx="708">
                  <c:v>293.66975814369101</c:v>
                </c:pt>
                <c:pt idx="709">
                  <c:v>440.01010976071973</c:v>
                </c:pt>
                <c:pt idx="710">
                  <c:v>493.89549345236594</c:v>
                </c:pt>
                <c:pt idx="711">
                  <c:v>392.00377257605692</c:v>
                </c:pt>
                <c:pt idx="712">
                  <c:v>493.89549345236594</c:v>
                </c:pt>
                <c:pt idx="713">
                  <c:v>493.89549345236594</c:v>
                </c:pt>
                <c:pt idx="714">
                  <c:v>587.34554108704231</c:v>
                </c:pt>
                <c:pt idx="715">
                  <c:v>554.37989501015818</c:v>
                </c:pt>
                <c:pt idx="716">
                  <c:v>587.34554108704231</c:v>
                </c:pt>
                <c:pt idx="717">
                  <c:v>392.00377257605692</c:v>
                </c:pt>
                <c:pt idx="718">
                  <c:v>293.66975814369101</c:v>
                </c:pt>
                <c:pt idx="719">
                  <c:v>440.01010976071973</c:v>
                </c:pt>
                <c:pt idx="720">
                  <c:v>493.89549345236594</c:v>
                </c:pt>
                <c:pt idx="721">
                  <c:v>392.00377257605692</c:v>
                </c:pt>
                <c:pt idx="722">
                  <c:v>493.89549345236594</c:v>
                </c:pt>
                <c:pt idx="723">
                  <c:v>392.00377257605692</c:v>
                </c:pt>
                <c:pt idx="724">
                  <c:v>587.34554108704231</c:v>
                </c:pt>
                <c:pt idx="725">
                  <c:v>554.37989501015818</c:v>
                </c:pt>
                <c:pt idx="726">
                  <c:v>493.89549345236594</c:v>
                </c:pt>
                <c:pt idx="727">
                  <c:v>392.00377257605692</c:v>
                </c:pt>
                <c:pt idx="728">
                  <c:v>293.66975814369101</c:v>
                </c:pt>
                <c:pt idx="729">
                  <c:v>440.01010976071973</c:v>
                </c:pt>
                <c:pt idx="730">
                  <c:v>493.89549345236594</c:v>
                </c:pt>
                <c:pt idx="731">
                  <c:v>392.00377257605692</c:v>
                </c:pt>
                <c:pt idx="732">
                  <c:v>493.89549345236594</c:v>
                </c:pt>
                <c:pt idx="733">
                  <c:v>392.00377257605692</c:v>
                </c:pt>
                <c:pt idx="734">
                  <c:v>293.66975814369101</c:v>
                </c:pt>
                <c:pt idx="735">
                  <c:v>440.01010976071973</c:v>
                </c:pt>
                <c:pt idx="736">
                  <c:v>493.89549345236594</c:v>
                </c:pt>
                <c:pt idx="737">
                  <c:v>392.00377257605692</c:v>
                </c:pt>
                <c:pt idx="738">
                  <c:v>493.89549345236594</c:v>
                </c:pt>
                <c:pt idx="739">
                  <c:v>392.00377257605692</c:v>
                </c:pt>
                <c:pt idx="740">
                  <c:v>293.66975814369101</c:v>
                </c:pt>
                <c:pt idx="741">
                  <c:v>440.01010976071973</c:v>
                </c:pt>
                <c:pt idx="742">
                  <c:v>493.89549345236594</c:v>
                </c:pt>
                <c:pt idx="743">
                  <c:v>392.00377257605692</c:v>
                </c:pt>
                <c:pt idx="744">
                  <c:v>493.89549345236594</c:v>
                </c:pt>
                <c:pt idx="745">
                  <c:v>392.00377257605692</c:v>
                </c:pt>
                <c:pt idx="746">
                  <c:v>293.66975814369101</c:v>
                </c:pt>
                <c:pt idx="747">
                  <c:v>440.01010976071973</c:v>
                </c:pt>
                <c:pt idx="748">
                  <c:v>493.89549345236594</c:v>
                </c:pt>
                <c:pt idx="749">
                  <c:v>392.00377257605692</c:v>
                </c:pt>
                <c:pt idx="750">
                  <c:v>493.89549345236594</c:v>
                </c:pt>
                <c:pt idx="751">
                  <c:v>392.00377257605692</c:v>
                </c:pt>
                <c:pt idx="752">
                  <c:v>293.66975814369101</c:v>
                </c:pt>
                <c:pt idx="753">
                  <c:v>440.01010976071973</c:v>
                </c:pt>
                <c:pt idx="754">
                  <c:v>493.89549345236594</c:v>
                </c:pt>
                <c:pt idx="755">
                  <c:v>392.00377257605692</c:v>
                </c:pt>
                <c:pt idx="756">
                  <c:v>493.89549345236594</c:v>
                </c:pt>
                <c:pt idx="757">
                  <c:v>392.00377257605692</c:v>
                </c:pt>
                <c:pt idx="758">
                  <c:v>293.66975814369101</c:v>
                </c:pt>
                <c:pt idx="759">
                  <c:v>440.01010976071973</c:v>
                </c:pt>
                <c:pt idx="760">
                  <c:v>493.89549345236594</c:v>
                </c:pt>
                <c:pt idx="761">
                  <c:v>392.00377257605692</c:v>
                </c:pt>
                <c:pt idx="762">
                  <c:v>493.89549345236594</c:v>
                </c:pt>
                <c:pt idx="763">
                  <c:v>392.00377257605692</c:v>
                </c:pt>
                <c:pt idx="764">
                  <c:v>293.66975814369101</c:v>
                </c:pt>
                <c:pt idx="765">
                  <c:v>440.01010976071973</c:v>
                </c:pt>
                <c:pt idx="766">
                  <c:v>493.89549345236594</c:v>
                </c:pt>
                <c:pt idx="767">
                  <c:v>392.00377257605692</c:v>
                </c:pt>
                <c:pt idx="768">
                  <c:v>493.89549345236594</c:v>
                </c:pt>
                <c:pt idx="769">
                  <c:v>392.00377257605692</c:v>
                </c:pt>
                <c:pt idx="770">
                  <c:v>293.66975814369101</c:v>
                </c:pt>
                <c:pt idx="771">
                  <c:v>440.01010976071973</c:v>
                </c:pt>
                <c:pt idx="772">
                  <c:v>493.89549345236594</c:v>
                </c:pt>
                <c:pt idx="773">
                  <c:v>392.00377257605692</c:v>
                </c:pt>
                <c:pt idx="774">
                  <c:v>493.89549345236594</c:v>
                </c:pt>
                <c:pt idx="775">
                  <c:v>392.00377257605692</c:v>
                </c:pt>
                <c:pt idx="776">
                  <c:v>293.66975814369101</c:v>
                </c:pt>
                <c:pt idx="777">
                  <c:v>440.01010976071973</c:v>
                </c:pt>
                <c:pt idx="778">
                  <c:v>493.89549345236594</c:v>
                </c:pt>
                <c:pt idx="779">
                  <c:v>392.00377257605692</c:v>
                </c:pt>
                <c:pt idx="780">
                  <c:v>493.89549345236594</c:v>
                </c:pt>
                <c:pt idx="781">
                  <c:v>392.00377257605692</c:v>
                </c:pt>
                <c:pt idx="782">
                  <c:v>293.66975814369101</c:v>
                </c:pt>
                <c:pt idx="783">
                  <c:v>440.01010976071973</c:v>
                </c:pt>
                <c:pt idx="784">
                  <c:v>493.89549345236594</c:v>
                </c:pt>
                <c:pt idx="785">
                  <c:v>392.00377257605692</c:v>
                </c:pt>
                <c:pt idx="786">
                  <c:v>493.89549345236594</c:v>
                </c:pt>
                <c:pt idx="787">
                  <c:v>392.00377257605692</c:v>
                </c:pt>
                <c:pt idx="788">
                  <c:v>293.66975814369101</c:v>
                </c:pt>
                <c:pt idx="789">
                  <c:v>440.01010976071973</c:v>
                </c:pt>
                <c:pt idx="790">
                  <c:v>493.89549345236594</c:v>
                </c:pt>
                <c:pt idx="791">
                  <c:v>392.00377257605692</c:v>
                </c:pt>
                <c:pt idx="792">
                  <c:v>493.89549345236594</c:v>
                </c:pt>
                <c:pt idx="793">
                  <c:v>392.00377257605692</c:v>
                </c:pt>
                <c:pt idx="794">
                  <c:v>293.66975814369101</c:v>
                </c:pt>
                <c:pt idx="795">
                  <c:v>440.01010976071973</c:v>
                </c:pt>
                <c:pt idx="796">
                  <c:v>493.89549345236594</c:v>
                </c:pt>
                <c:pt idx="797">
                  <c:v>392.00377257605692</c:v>
                </c:pt>
                <c:pt idx="798">
                  <c:v>493.89549345236594</c:v>
                </c:pt>
                <c:pt idx="799">
                  <c:v>392.00377257605692</c:v>
                </c:pt>
                <c:pt idx="800">
                  <c:v>293.66975814369101</c:v>
                </c:pt>
                <c:pt idx="801">
                  <c:v>440.01010976071973</c:v>
                </c:pt>
                <c:pt idx="802">
                  <c:v>493.89549345236594</c:v>
                </c:pt>
                <c:pt idx="803">
                  <c:v>392.00377257605692</c:v>
                </c:pt>
                <c:pt idx="804">
                  <c:v>493.89549345236594</c:v>
                </c:pt>
                <c:pt idx="805">
                  <c:v>392.00377257605692</c:v>
                </c:pt>
                <c:pt idx="806">
                  <c:v>293.66975814369101</c:v>
                </c:pt>
                <c:pt idx="807">
                  <c:v>440.01010976071973</c:v>
                </c:pt>
                <c:pt idx="808">
                  <c:v>493.89549345236594</c:v>
                </c:pt>
                <c:pt idx="809">
                  <c:v>392.00377257605692</c:v>
                </c:pt>
                <c:pt idx="810">
                  <c:v>493.89549345236594</c:v>
                </c:pt>
                <c:pt idx="811">
                  <c:v>392.00377257605692</c:v>
                </c:pt>
                <c:pt idx="812">
                  <c:v>293.66975814369101</c:v>
                </c:pt>
                <c:pt idx="813">
                  <c:v>440.01010976071973</c:v>
                </c:pt>
                <c:pt idx="814">
                  <c:v>493.89549345236594</c:v>
                </c:pt>
                <c:pt idx="815">
                  <c:v>392.00377257605692</c:v>
                </c:pt>
                <c:pt idx="816">
                  <c:v>493.89549345236594</c:v>
                </c:pt>
                <c:pt idx="817">
                  <c:v>392.00377257605692</c:v>
                </c:pt>
                <c:pt idx="818">
                  <c:v>293.66975814369101</c:v>
                </c:pt>
                <c:pt idx="819">
                  <c:v>440.01010976071973</c:v>
                </c:pt>
                <c:pt idx="820">
                  <c:v>493.89549345236594</c:v>
                </c:pt>
                <c:pt idx="821">
                  <c:v>392.00377257605692</c:v>
                </c:pt>
                <c:pt idx="822">
                  <c:v>493.89549345236594</c:v>
                </c:pt>
                <c:pt idx="823">
                  <c:v>392.00377257605692</c:v>
                </c:pt>
                <c:pt idx="824">
                  <c:v>329.63372180082422</c:v>
                </c:pt>
                <c:pt idx="825">
                  <c:v>349.23506143398839</c:v>
                </c:pt>
                <c:pt idx="826">
                  <c:v>440.01010976071973</c:v>
                </c:pt>
                <c:pt idx="827">
                  <c:v>349.23506143398839</c:v>
                </c:pt>
                <c:pt idx="828">
                  <c:v>329.63372180082422</c:v>
                </c:pt>
                <c:pt idx="829">
                  <c:v>293.66975814369101</c:v>
                </c:pt>
                <c:pt idx="830">
                  <c:v>329.63372180082422</c:v>
                </c:pt>
                <c:pt idx="831">
                  <c:v>349.23506143398839</c:v>
                </c:pt>
                <c:pt idx="832">
                  <c:v>392.00377257605692</c:v>
                </c:pt>
                <c:pt idx="833">
                  <c:v>329.63372180082422</c:v>
                </c:pt>
                <c:pt idx="834">
                  <c:v>293.66975814369101</c:v>
                </c:pt>
                <c:pt idx="835">
                  <c:v>329.63372180082422</c:v>
                </c:pt>
                <c:pt idx="836">
                  <c:v>784.01558732918636</c:v>
                </c:pt>
                <c:pt idx="837">
                  <c:v>1046.5397252143878</c:v>
                </c:pt>
                <c:pt idx="838">
                  <c:v>880.02924657542201</c:v>
                </c:pt>
                <c:pt idx="839">
                  <c:v>1174.7031318970071</c:v>
                </c:pt>
                <c:pt idx="840">
                  <c:v>932.35930569378297</c:v>
                </c:pt>
                <c:pt idx="841">
                  <c:v>659.27420622217721</c:v>
                </c:pt>
                <c:pt idx="842">
                  <c:v>1046.5397252143878</c:v>
                </c:pt>
                <c:pt idx="843">
                  <c:v>1396.9689048949263</c:v>
                </c:pt>
                <c:pt idx="844">
                  <c:v>987.80111944755811</c:v>
                </c:pt>
                <c:pt idx="845">
                  <c:v>1568.0472591775074</c:v>
                </c:pt>
              </c:numCache>
            </c:numRef>
          </c:yVal>
          <c:smooth val="0"/>
        </c:ser>
        <c:ser>
          <c:idx val="3"/>
          <c:order val="1"/>
          <c:tx>
            <c:v>2nd Guitar</c:v>
          </c:tx>
          <c:spPr>
            <a:ln>
              <a:solidFill>
                <a:schemeClr val="accent2"/>
              </a:solidFill>
            </a:ln>
          </c:spPr>
          <c:marker>
            <c:symbol val="x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Sheet4!$F$4:$F$865</c:f>
              <c:numCache>
                <c:formatCode>General</c:formatCode>
                <c:ptCount val="862"/>
                <c:pt idx="0">
                  <c:v>4</c:v>
                </c:pt>
                <c:pt idx="1">
                  <c:v>4.25</c:v>
                </c:pt>
                <c:pt idx="2">
                  <c:v>4.5</c:v>
                </c:pt>
                <c:pt idx="3">
                  <c:v>4.75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8.25</c:v>
                </c:pt>
                <c:pt idx="12">
                  <c:v>8.5</c:v>
                </c:pt>
                <c:pt idx="13">
                  <c:v>8.75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12.25</c:v>
                </c:pt>
                <c:pt idx="22">
                  <c:v>12.5</c:v>
                </c:pt>
                <c:pt idx="23">
                  <c:v>12.75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</c:v>
                </c:pt>
                <c:pt idx="29">
                  <c:v>15.5</c:v>
                </c:pt>
                <c:pt idx="30">
                  <c:v>16</c:v>
                </c:pt>
                <c:pt idx="31">
                  <c:v>16.25</c:v>
                </c:pt>
                <c:pt idx="32">
                  <c:v>16.5</c:v>
                </c:pt>
                <c:pt idx="33">
                  <c:v>16.75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20.25</c:v>
                </c:pt>
                <c:pt idx="42">
                  <c:v>20.5</c:v>
                </c:pt>
                <c:pt idx="43">
                  <c:v>20.75</c:v>
                </c:pt>
                <c:pt idx="44">
                  <c:v>21</c:v>
                </c:pt>
                <c:pt idx="45">
                  <c:v>21.5</c:v>
                </c:pt>
                <c:pt idx="46">
                  <c:v>21.75</c:v>
                </c:pt>
                <c:pt idx="47">
                  <c:v>22</c:v>
                </c:pt>
                <c:pt idx="48">
                  <c:v>22.5</c:v>
                </c:pt>
                <c:pt idx="49">
                  <c:v>23</c:v>
                </c:pt>
                <c:pt idx="50">
                  <c:v>23.5</c:v>
                </c:pt>
                <c:pt idx="51">
                  <c:v>24</c:v>
                </c:pt>
                <c:pt idx="52">
                  <c:v>24.25</c:v>
                </c:pt>
                <c:pt idx="53">
                  <c:v>24.5</c:v>
                </c:pt>
                <c:pt idx="54">
                  <c:v>24.75</c:v>
                </c:pt>
                <c:pt idx="55">
                  <c:v>25</c:v>
                </c:pt>
                <c:pt idx="56">
                  <c:v>25.5</c:v>
                </c:pt>
                <c:pt idx="57">
                  <c:v>25.75</c:v>
                </c:pt>
                <c:pt idx="58">
                  <c:v>26</c:v>
                </c:pt>
                <c:pt idx="59">
                  <c:v>26.5</c:v>
                </c:pt>
                <c:pt idx="60">
                  <c:v>27</c:v>
                </c:pt>
                <c:pt idx="61">
                  <c:v>27.5</c:v>
                </c:pt>
                <c:pt idx="62">
                  <c:v>28</c:v>
                </c:pt>
                <c:pt idx="63">
                  <c:v>28.25</c:v>
                </c:pt>
                <c:pt idx="64">
                  <c:v>28.5</c:v>
                </c:pt>
                <c:pt idx="65">
                  <c:v>28.75</c:v>
                </c:pt>
                <c:pt idx="66">
                  <c:v>29</c:v>
                </c:pt>
                <c:pt idx="67">
                  <c:v>29.5</c:v>
                </c:pt>
                <c:pt idx="68">
                  <c:v>29.75</c:v>
                </c:pt>
                <c:pt idx="69">
                  <c:v>30</c:v>
                </c:pt>
                <c:pt idx="70">
                  <c:v>30.5</c:v>
                </c:pt>
                <c:pt idx="71">
                  <c:v>31</c:v>
                </c:pt>
                <c:pt idx="72">
                  <c:v>31.5</c:v>
                </c:pt>
                <c:pt idx="73">
                  <c:v>32</c:v>
                </c:pt>
                <c:pt idx="74">
                  <c:v>32.25</c:v>
                </c:pt>
                <c:pt idx="75">
                  <c:v>32.5</c:v>
                </c:pt>
                <c:pt idx="76">
                  <c:v>32.75</c:v>
                </c:pt>
                <c:pt idx="77">
                  <c:v>33</c:v>
                </c:pt>
                <c:pt idx="78">
                  <c:v>33.5</c:v>
                </c:pt>
                <c:pt idx="79">
                  <c:v>33.75</c:v>
                </c:pt>
                <c:pt idx="80">
                  <c:v>34</c:v>
                </c:pt>
                <c:pt idx="81">
                  <c:v>34.5</c:v>
                </c:pt>
                <c:pt idx="82">
                  <c:v>35</c:v>
                </c:pt>
                <c:pt idx="83">
                  <c:v>35.5</c:v>
                </c:pt>
                <c:pt idx="84">
                  <c:v>36</c:v>
                </c:pt>
                <c:pt idx="85">
                  <c:v>36.25</c:v>
                </c:pt>
                <c:pt idx="86">
                  <c:v>36.5</c:v>
                </c:pt>
                <c:pt idx="87">
                  <c:v>36.75</c:v>
                </c:pt>
                <c:pt idx="88">
                  <c:v>37</c:v>
                </c:pt>
                <c:pt idx="89">
                  <c:v>37.5</c:v>
                </c:pt>
                <c:pt idx="90">
                  <c:v>37.75</c:v>
                </c:pt>
                <c:pt idx="91">
                  <c:v>38</c:v>
                </c:pt>
                <c:pt idx="92">
                  <c:v>38.5</c:v>
                </c:pt>
                <c:pt idx="93">
                  <c:v>39</c:v>
                </c:pt>
                <c:pt idx="94">
                  <c:v>39.5</c:v>
                </c:pt>
                <c:pt idx="95">
                  <c:v>40</c:v>
                </c:pt>
                <c:pt idx="96">
                  <c:v>40.25</c:v>
                </c:pt>
                <c:pt idx="97">
                  <c:v>40.5</c:v>
                </c:pt>
                <c:pt idx="98">
                  <c:v>40.75</c:v>
                </c:pt>
                <c:pt idx="99">
                  <c:v>41</c:v>
                </c:pt>
                <c:pt idx="100">
                  <c:v>41.5</c:v>
                </c:pt>
                <c:pt idx="101">
                  <c:v>41.75</c:v>
                </c:pt>
                <c:pt idx="102">
                  <c:v>42</c:v>
                </c:pt>
                <c:pt idx="103">
                  <c:v>42.5</c:v>
                </c:pt>
                <c:pt idx="104">
                  <c:v>43</c:v>
                </c:pt>
                <c:pt idx="105">
                  <c:v>43.5</c:v>
                </c:pt>
                <c:pt idx="106">
                  <c:v>44</c:v>
                </c:pt>
                <c:pt idx="107">
                  <c:v>44.25</c:v>
                </c:pt>
                <c:pt idx="108">
                  <c:v>44.5</c:v>
                </c:pt>
                <c:pt idx="109">
                  <c:v>44.75</c:v>
                </c:pt>
                <c:pt idx="110">
                  <c:v>45</c:v>
                </c:pt>
                <c:pt idx="111">
                  <c:v>45.5</c:v>
                </c:pt>
                <c:pt idx="112">
                  <c:v>45.75</c:v>
                </c:pt>
                <c:pt idx="113">
                  <c:v>46</c:v>
                </c:pt>
                <c:pt idx="114">
                  <c:v>46.5</c:v>
                </c:pt>
                <c:pt idx="115">
                  <c:v>47</c:v>
                </c:pt>
                <c:pt idx="116">
                  <c:v>47.5</c:v>
                </c:pt>
                <c:pt idx="117">
                  <c:v>48</c:v>
                </c:pt>
                <c:pt idx="118">
                  <c:v>48.25</c:v>
                </c:pt>
                <c:pt idx="119">
                  <c:v>48.5</c:v>
                </c:pt>
                <c:pt idx="120">
                  <c:v>48.75</c:v>
                </c:pt>
                <c:pt idx="121">
                  <c:v>49</c:v>
                </c:pt>
                <c:pt idx="122">
                  <c:v>49.5</c:v>
                </c:pt>
                <c:pt idx="123">
                  <c:v>49.75</c:v>
                </c:pt>
                <c:pt idx="124">
                  <c:v>50</c:v>
                </c:pt>
                <c:pt idx="125">
                  <c:v>50.5</c:v>
                </c:pt>
                <c:pt idx="126">
                  <c:v>51</c:v>
                </c:pt>
                <c:pt idx="127">
                  <c:v>51.5</c:v>
                </c:pt>
                <c:pt idx="128">
                  <c:v>52</c:v>
                </c:pt>
                <c:pt idx="129">
                  <c:v>52.25</c:v>
                </c:pt>
                <c:pt idx="130">
                  <c:v>52.5</c:v>
                </c:pt>
                <c:pt idx="131">
                  <c:v>52.75</c:v>
                </c:pt>
                <c:pt idx="132">
                  <c:v>53</c:v>
                </c:pt>
                <c:pt idx="133">
                  <c:v>53.5</c:v>
                </c:pt>
                <c:pt idx="134">
                  <c:v>53.75</c:v>
                </c:pt>
                <c:pt idx="135">
                  <c:v>54</c:v>
                </c:pt>
                <c:pt idx="136">
                  <c:v>54.5</c:v>
                </c:pt>
                <c:pt idx="137">
                  <c:v>55</c:v>
                </c:pt>
                <c:pt idx="138">
                  <c:v>55.5</c:v>
                </c:pt>
                <c:pt idx="139">
                  <c:v>56</c:v>
                </c:pt>
                <c:pt idx="140">
                  <c:v>56.25</c:v>
                </c:pt>
                <c:pt idx="141">
                  <c:v>56.5</c:v>
                </c:pt>
                <c:pt idx="142">
                  <c:v>56.75</c:v>
                </c:pt>
                <c:pt idx="143">
                  <c:v>57</c:v>
                </c:pt>
                <c:pt idx="144">
                  <c:v>57.5</c:v>
                </c:pt>
                <c:pt idx="145">
                  <c:v>57.75</c:v>
                </c:pt>
                <c:pt idx="146">
                  <c:v>58</c:v>
                </c:pt>
                <c:pt idx="147">
                  <c:v>58.5</c:v>
                </c:pt>
                <c:pt idx="148">
                  <c:v>59</c:v>
                </c:pt>
                <c:pt idx="149">
                  <c:v>59.5</c:v>
                </c:pt>
                <c:pt idx="150">
                  <c:v>60</c:v>
                </c:pt>
                <c:pt idx="151">
                  <c:v>60.25</c:v>
                </c:pt>
                <c:pt idx="152">
                  <c:v>60.5</c:v>
                </c:pt>
                <c:pt idx="153">
                  <c:v>60.75</c:v>
                </c:pt>
                <c:pt idx="154">
                  <c:v>61</c:v>
                </c:pt>
                <c:pt idx="155">
                  <c:v>61.5</c:v>
                </c:pt>
                <c:pt idx="156">
                  <c:v>61.75</c:v>
                </c:pt>
                <c:pt idx="157">
                  <c:v>62</c:v>
                </c:pt>
                <c:pt idx="158">
                  <c:v>62.5</c:v>
                </c:pt>
                <c:pt idx="159">
                  <c:v>63</c:v>
                </c:pt>
                <c:pt idx="160">
                  <c:v>63.5</c:v>
                </c:pt>
                <c:pt idx="161">
                  <c:v>64</c:v>
                </c:pt>
                <c:pt idx="162">
                  <c:v>64.25</c:v>
                </c:pt>
                <c:pt idx="163">
                  <c:v>64.5</c:v>
                </c:pt>
                <c:pt idx="164">
                  <c:v>64.75</c:v>
                </c:pt>
                <c:pt idx="165">
                  <c:v>65</c:v>
                </c:pt>
                <c:pt idx="166">
                  <c:v>65.5</c:v>
                </c:pt>
                <c:pt idx="167">
                  <c:v>65.75</c:v>
                </c:pt>
                <c:pt idx="168">
                  <c:v>66</c:v>
                </c:pt>
                <c:pt idx="169">
                  <c:v>66.5</c:v>
                </c:pt>
                <c:pt idx="170">
                  <c:v>67</c:v>
                </c:pt>
                <c:pt idx="171">
                  <c:v>67.5</c:v>
                </c:pt>
                <c:pt idx="172">
                  <c:v>68</c:v>
                </c:pt>
                <c:pt idx="173">
                  <c:v>68.25</c:v>
                </c:pt>
                <c:pt idx="174">
                  <c:v>68.5</c:v>
                </c:pt>
                <c:pt idx="175">
                  <c:v>68.75</c:v>
                </c:pt>
                <c:pt idx="176">
                  <c:v>69</c:v>
                </c:pt>
                <c:pt idx="177">
                  <c:v>69.5</c:v>
                </c:pt>
                <c:pt idx="178">
                  <c:v>69.75</c:v>
                </c:pt>
                <c:pt idx="179">
                  <c:v>70</c:v>
                </c:pt>
                <c:pt idx="180">
                  <c:v>70.5</c:v>
                </c:pt>
                <c:pt idx="181">
                  <c:v>71</c:v>
                </c:pt>
                <c:pt idx="182">
                  <c:v>71.5</c:v>
                </c:pt>
                <c:pt idx="183">
                  <c:v>72</c:v>
                </c:pt>
                <c:pt idx="184">
                  <c:v>72.25</c:v>
                </c:pt>
                <c:pt idx="185">
                  <c:v>72.5</c:v>
                </c:pt>
                <c:pt idx="186">
                  <c:v>72.75</c:v>
                </c:pt>
                <c:pt idx="187">
                  <c:v>73</c:v>
                </c:pt>
                <c:pt idx="188">
                  <c:v>73.5</c:v>
                </c:pt>
                <c:pt idx="189">
                  <c:v>73.75</c:v>
                </c:pt>
                <c:pt idx="190">
                  <c:v>74</c:v>
                </c:pt>
                <c:pt idx="191">
                  <c:v>74.5</c:v>
                </c:pt>
                <c:pt idx="192">
                  <c:v>75</c:v>
                </c:pt>
                <c:pt idx="193">
                  <c:v>75.5</c:v>
                </c:pt>
                <c:pt idx="194">
                  <c:v>76</c:v>
                </c:pt>
                <c:pt idx="195">
                  <c:v>76.25</c:v>
                </c:pt>
                <c:pt idx="196">
                  <c:v>76.5</c:v>
                </c:pt>
                <c:pt idx="197">
                  <c:v>76.75</c:v>
                </c:pt>
                <c:pt idx="198">
                  <c:v>77</c:v>
                </c:pt>
                <c:pt idx="199">
                  <c:v>77.5</c:v>
                </c:pt>
                <c:pt idx="200">
                  <c:v>77.75</c:v>
                </c:pt>
                <c:pt idx="201">
                  <c:v>78</c:v>
                </c:pt>
                <c:pt idx="202">
                  <c:v>78.5</c:v>
                </c:pt>
                <c:pt idx="203">
                  <c:v>79</c:v>
                </c:pt>
                <c:pt idx="204">
                  <c:v>79.5</c:v>
                </c:pt>
                <c:pt idx="205">
                  <c:v>80</c:v>
                </c:pt>
                <c:pt idx="206">
                  <c:v>80.25</c:v>
                </c:pt>
                <c:pt idx="207">
                  <c:v>80.5</c:v>
                </c:pt>
                <c:pt idx="208">
                  <c:v>80.75</c:v>
                </c:pt>
                <c:pt idx="209">
                  <c:v>81</c:v>
                </c:pt>
                <c:pt idx="210">
                  <c:v>81.5</c:v>
                </c:pt>
                <c:pt idx="211">
                  <c:v>81.75</c:v>
                </c:pt>
                <c:pt idx="212">
                  <c:v>82</c:v>
                </c:pt>
                <c:pt idx="213">
                  <c:v>82.5</c:v>
                </c:pt>
                <c:pt idx="214">
                  <c:v>83</c:v>
                </c:pt>
                <c:pt idx="215">
                  <c:v>83.5</c:v>
                </c:pt>
                <c:pt idx="216">
                  <c:v>84</c:v>
                </c:pt>
                <c:pt idx="217">
                  <c:v>84.25</c:v>
                </c:pt>
                <c:pt idx="218">
                  <c:v>84.5</c:v>
                </c:pt>
                <c:pt idx="219">
                  <c:v>84.75</c:v>
                </c:pt>
                <c:pt idx="220">
                  <c:v>85</c:v>
                </c:pt>
                <c:pt idx="221">
                  <c:v>85.5</c:v>
                </c:pt>
                <c:pt idx="222">
                  <c:v>86</c:v>
                </c:pt>
                <c:pt idx="223">
                  <c:v>86.25</c:v>
                </c:pt>
                <c:pt idx="224">
                  <c:v>86.5</c:v>
                </c:pt>
                <c:pt idx="225">
                  <c:v>86.75</c:v>
                </c:pt>
                <c:pt idx="226">
                  <c:v>87</c:v>
                </c:pt>
                <c:pt idx="227">
                  <c:v>87.5</c:v>
                </c:pt>
                <c:pt idx="228">
                  <c:v>88</c:v>
                </c:pt>
                <c:pt idx="229">
                  <c:v>88.25</c:v>
                </c:pt>
                <c:pt idx="230">
                  <c:v>88.5</c:v>
                </c:pt>
                <c:pt idx="231">
                  <c:v>88.75</c:v>
                </c:pt>
                <c:pt idx="232">
                  <c:v>89</c:v>
                </c:pt>
                <c:pt idx="233">
                  <c:v>89.5</c:v>
                </c:pt>
                <c:pt idx="234">
                  <c:v>90</c:v>
                </c:pt>
                <c:pt idx="235">
                  <c:v>90.25</c:v>
                </c:pt>
                <c:pt idx="236">
                  <c:v>90.5</c:v>
                </c:pt>
                <c:pt idx="237">
                  <c:v>90.75</c:v>
                </c:pt>
                <c:pt idx="238">
                  <c:v>91</c:v>
                </c:pt>
                <c:pt idx="239">
                  <c:v>91.5</c:v>
                </c:pt>
                <c:pt idx="240">
                  <c:v>92</c:v>
                </c:pt>
                <c:pt idx="241">
                  <c:v>92.25</c:v>
                </c:pt>
                <c:pt idx="242">
                  <c:v>92.5</c:v>
                </c:pt>
                <c:pt idx="243">
                  <c:v>92.75</c:v>
                </c:pt>
                <c:pt idx="244">
                  <c:v>93</c:v>
                </c:pt>
                <c:pt idx="245">
                  <c:v>93.25</c:v>
                </c:pt>
                <c:pt idx="246">
                  <c:v>93.5</c:v>
                </c:pt>
                <c:pt idx="247">
                  <c:v>93.75</c:v>
                </c:pt>
                <c:pt idx="248">
                  <c:v>94</c:v>
                </c:pt>
                <c:pt idx="249">
                  <c:v>94.25</c:v>
                </c:pt>
                <c:pt idx="250">
                  <c:v>94.5</c:v>
                </c:pt>
                <c:pt idx="251">
                  <c:v>94.75</c:v>
                </c:pt>
                <c:pt idx="252">
                  <c:v>95</c:v>
                </c:pt>
                <c:pt idx="253">
                  <c:v>95.25</c:v>
                </c:pt>
                <c:pt idx="254">
                  <c:v>95.5</c:v>
                </c:pt>
                <c:pt idx="255">
                  <c:v>95.75</c:v>
                </c:pt>
                <c:pt idx="256">
                  <c:v>96</c:v>
                </c:pt>
                <c:pt idx="257">
                  <c:v>96.25</c:v>
                </c:pt>
                <c:pt idx="258">
                  <c:v>96.5</c:v>
                </c:pt>
                <c:pt idx="259">
                  <c:v>96.75</c:v>
                </c:pt>
                <c:pt idx="260">
                  <c:v>97</c:v>
                </c:pt>
                <c:pt idx="261">
                  <c:v>97.5</c:v>
                </c:pt>
                <c:pt idx="262">
                  <c:v>98</c:v>
                </c:pt>
                <c:pt idx="263">
                  <c:v>98.5</c:v>
                </c:pt>
                <c:pt idx="264">
                  <c:v>99</c:v>
                </c:pt>
                <c:pt idx="265">
                  <c:v>99.5</c:v>
                </c:pt>
                <c:pt idx="266">
                  <c:v>100</c:v>
                </c:pt>
                <c:pt idx="267">
                  <c:v>100.25</c:v>
                </c:pt>
                <c:pt idx="268">
                  <c:v>100.5</c:v>
                </c:pt>
                <c:pt idx="269">
                  <c:v>100.75</c:v>
                </c:pt>
                <c:pt idx="270">
                  <c:v>101</c:v>
                </c:pt>
                <c:pt idx="271">
                  <c:v>101.25</c:v>
                </c:pt>
                <c:pt idx="272">
                  <c:v>101.5</c:v>
                </c:pt>
                <c:pt idx="273">
                  <c:v>101.75</c:v>
                </c:pt>
                <c:pt idx="274">
                  <c:v>102</c:v>
                </c:pt>
                <c:pt idx="275">
                  <c:v>102.25</c:v>
                </c:pt>
                <c:pt idx="276">
                  <c:v>102.5</c:v>
                </c:pt>
                <c:pt idx="277">
                  <c:v>102.75</c:v>
                </c:pt>
                <c:pt idx="278">
                  <c:v>103</c:v>
                </c:pt>
                <c:pt idx="279">
                  <c:v>103.25</c:v>
                </c:pt>
                <c:pt idx="280">
                  <c:v>103.5</c:v>
                </c:pt>
                <c:pt idx="281">
                  <c:v>103.75</c:v>
                </c:pt>
                <c:pt idx="282">
                  <c:v>104</c:v>
                </c:pt>
                <c:pt idx="283">
                  <c:v>104.25</c:v>
                </c:pt>
                <c:pt idx="284">
                  <c:v>104.5</c:v>
                </c:pt>
                <c:pt idx="285">
                  <c:v>104.75</c:v>
                </c:pt>
                <c:pt idx="286">
                  <c:v>105</c:v>
                </c:pt>
                <c:pt idx="287">
                  <c:v>105.5</c:v>
                </c:pt>
                <c:pt idx="288">
                  <c:v>106</c:v>
                </c:pt>
                <c:pt idx="289">
                  <c:v>106.5</c:v>
                </c:pt>
                <c:pt idx="290">
                  <c:v>107</c:v>
                </c:pt>
                <c:pt idx="291">
                  <c:v>107.5</c:v>
                </c:pt>
                <c:pt idx="292">
                  <c:v>108</c:v>
                </c:pt>
                <c:pt idx="293">
                  <c:v>108.25</c:v>
                </c:pt>
                <c:pt idx="294">
                  <c:v>108.5</c:v>
                </c:pt>
                <c:pt idx="295">
                  <c:v>108.75</c:v>
                </c:pt>
                <c:pt idx="296">
                  <c:v>109</c:v>
                </c:pt>
                <c:pt idx="297">
                  <c:v>109.25</c:v>
                </c:pt>
                <c:pt idx="298">
                  <c:v>109.5</c:v>
                </c:pt>
                <c:pt idx="299">
                  <c:v>109.75</c:v>
                </c:pt>
                <c:pt idx="300">
                  <c:v>110</c:v>
                </c:pt>
                <c:pt idx="301">
                  <c:v>110.25</c:v>
                </c:pt>
                <c:pt idx="302">
                  <c:v>110.5</c:v>
                </c:pt>
                <c:pt idx="303">
                  <c:v>110.75</c:v>
                </c:pt>
                <c:pt idx="304">
                  <c:v>111</c:v>
                </c:pt>
                <c:pt idx="305">
                  <c:v>111.25</c:v>
                </c:pt>
                <c:pt idx="306">
                  <c:v>111.5</c:v>
                </c:pt>
                <c:pt idx="307">
                  <c:v>111.75</c:v>
                </c:pt>
                <c:pt idx="308">
                  <c:v>112</c:v>
                </c:pt>
                <c:pt idx="309">
                  <c:v>112.25</c:v>
                </c:pt>
                <c:pt idx="310">
                  <c:v>112.5</c:v>
                </c:pt>
                <c:pt idx="311">
                  <c:v>112.75</c:v>
                </c:pt>
                <c:pt idx="312">
                  <c:v>113</c:v>
                </c:pt>
                <c:pt idx="313">
                  <c:v>113.5</c:v>
                </c:pt>
                <c:pt idx="314">
                  <c:v>114</c:v>
                </c:pt>
                <c:pt idx="315">
                  <c:v>114.5</c:v>
                </c:pt>
                <c:pt idx="316">
                  <c:v>115</c:v>
                </c:pt>
                <c:pt idx="317">
                  <c:v>115.5</c:v>
                </c:pt>
                <c:pt idx="318">
                  <c:v>116</c:v>
                </c:pt>
                <c:pt idx="319">
                  <c:v>116.25</c:v>
                </c:pt>
                <c:pt idx="320">
                  <c:v>116.5</c:v>
                </c:pt>
                <c:pt idx="321">
                  <c:v>116.75</c:v>
                </c:pt>
                <c:pt idx="322">
                  <c:v>117</c:v>
                </c:pt>
                <c:pt idx="323">
                  <c:v>117.25</c:v>
                </c:pt>
                <c:pt idx="324">
                  <c:v>117.5</c:v>
                </c:pt>
                <c:pt idx="325">
                  <c:v>117.75</c:v>
                </c:pt>
                <c:pt idx="326">
                  <c:v>118</c:v>
                </c:pt>
                <c:pt idx="327">
                  <c:v>118.25</c:v>
                </c:pt>
                <c:pt idx="328">
                  <c:v>118.5</c:v>
                </c:pt>
                <c:pt idx="329">
                  <c:v>118.75</c:v>
                </c:pt>
                <c:pt idx="330">
                  <c:v>119</c:v>
                </c:pt>
                <c:pt idx="331">
                  <c:v>119.25</c:v>
                </c:pt>
                <c:pt idx="332">
                  <c:v>119.5</c:v>
                </c:pt>
                <c:pt idx="333">
                  <c:v>119.75</c:v>
                </c:pt>
                <c:pt idx="334">
                  <c:v>120</c:v>
                </c:pt>
                <c:pt idx="335">
                  <c:v>120.25</c:v>
                </c:pt>
                <c:pt idx="336">
                  <c:v>120.5</c:v>
                </c:pt>
                <c:pt idx="337">
                  <c:v>120.75</c:v>
                </c:pt>
                <c:pt idx="338">
                  <c:v>121</c:v>
                </c:pt>
                <c:pt idx="339">
                  <c:v>121.5</c:v>
                </c:pt>
                <c:pt idx="340">
                  <c:v>122</c:v>
                </c:pt>
                <c:pt idx="341">
                  <c:v>122.5</c:v>
                </c:pt>
                <c:pt idx="342">
                  <c:v>123</c:v>
                </c:pt>
                <c:pt idx="343">
                  <c:v>123.5</c:v>
                </c:pt>
                <c:pt idx="344">
                  <c:v>124</c:v>
                </c:pt>
                <c:pt idx="345">
                  <c:v>124.25</c:v>
                </c:pt>
                <c:pt idx="346">
                  <c:v>124.5</c:v>
                </c:pt>
                <c:pt idx="347">
                  <c:v>124.75</c:v>
                </c:pt>
                <c:pt idx="348">
                  <c:v>125</c:v>
                </c:pt>
                <c:pt idx="349">
                  <c:v>125.5</c:v>
                </c:pt>
                <c:pt idx="350">
                  <c:v>125.75</c:v>
                </c:pt>
                <c:pt idx="351">
                  <c:v>126</c:v>
                </c:pt>
                <c:pt idx="352">
                  <c:v>126.5</c:v>
                </c:pt>
                <c:pt idx="353">
                  <c:v>127</c:v>
                </c:pt>
                <c:pt idx="354">
                  <c:v>127.5</c:v>
                </c:pt>
                <c:pt idx="355">
                  <c:v>128</c:v>
                </c:pt>
                <c:pt idx="356">
                  <c:v>128.25</c:v>
                </c:pt>
                <c:pt idx="357">
                  <c:v>128.5</c:v>
                </c:pt>
                <c:pt idx="358">
                  <c:v>128.75</c:v>
                </c:pt>
                <c:pt idx="359">
                  <c:v>129</c:v>
                </c:pt>
                <c:pt idx="360">
                  <c:v>129.5</c:v>
                </c:pt>
                <c:pt idx="361">
                  <c:v>129.75</c:v>
                </c:pt>
                <c:pt idx="362">
                  <c:v>130</c:v>
                </c:pt>
                <c:pt idx="363">
                  <c:v>130.5</c:v>
                </c:pt>
                <c:pt idx="364">
                  <c:v>131</c:v>
                </c:pt>
                <c:pt idx="365">
                  <c:v>131.5</c:v>
                </c:pt>
                <c:pt idx="366">
                  <c:v>132</c:v>
                </c:pt>
                <c:pt idx="367">
                  <c:v>132.25</c:v>
                </c:pt>
                <c:pt idx="368">
                  <c:v>132.5</c:v>
                </c:pt>
                <c:pt idx="369">
                  <c:v>132.75</c:v>
                </c:pt>
                <c:pt idx="370">
                  <c:v>133</c:v>
                </c:pt>
                <c:pt idx="371">
                  <c:v>133.5</c:v>
                </c:pt>
                <c:pt idx="372">
                  <c:v>133.75</c:v>
                </c:pt>
                <c:pt idx="373">
                  <c:v>134</c:v>
                </c:pt>
                <c:pt idx="374">
                  <c:v>134.5</c:v>
                </c:pt>
                <c:pt idx="375">
                  <c:v>135</c:v>
                </c:pt>
                <c:pt idx="376">
                  <c:v>135.5</c:v>
                </c:pt>
                <c:pt idx="377">
                  <c:v>136</c:v>
                </c:pt>
                <c:pt idx="378">
                  <c:v>136.25</c:v>
                </c:pt>
                <c:pt idx="379">
                  <c:v>136.5</c:v>
                </c:pt>
                <c:pt idx="380">
                  <c:v>136.75</c:v>
                </c:pt>
                <c:pt idx="381">
                  <c:v>137</c:v>
                </c:pt>
                <c:pt idx="382">
                  <c:v>137.5</c:v>
                </c:pt>
                <c:pt idx="383">
                  <c:v>137.75</c:v>
                </c:pt>
                <c:pt idx="384">
                  <c:v>138</c:v>
                </c:pt>
                <c:pt idx="385">
                  <c:v>138.5</c:v>
                </c:pt>
                <c:pt idx="386">
                  <c:v>139</c:v>
                </c:pt>
                <c:pt idx="387">
                  <c:v>139.5</c:v>
                </c:pt>
                <c:pt idx="388">
                  <c:v>140</c:v>
                </c:pt>
                <c:pt idx="389">
                  <c:v>140.25</c:v>
                </c:pt>
                <c:pt idx="390">
                  <c:v>140.5</c:v>
                </c:pt>
                <c:pt idx="391">
                  <c:v>140.75</c:v>
                </c:pt>
                <c:pt idx="392">
                  <c:v>141</c:v>
                </c:pt>
                <c:pt idx="393">
                  <c:v>141.5</c:v>
                </c:pt>
                <c:pt idx="394">
                  <c:v>141.75</c:v>
                </c:pt>
                <c:pt idx="395">
                  <c:v>142</c:v>
                </c:pt>
                <c:pt idx="396">
                  <c:v>142.5</c:v>
                </c:pt>
                <c:pt idx="397">
                  <c:v>143</c:v>
                </c:pt>
                <c:pt idx="398">
                  <c:v>143.5</c:v>
                </c:pt>
                <c:pt idx="399">
                  <c:v>144</c:v>
                </c:pt>
                <c:pt idx="400">
                  <c:v>144.25</c:v>
                </c:pt>
                <c:pt idx="401">
                  <c:v>144.5</c:v>
                </c:pt>
                <c:pt idx="402">
                  <c:v>144.75</c:v>
                </c:pt>
                <c:pt idx="403">
                  <c:v>145</c:v>
                </c:pt>
                <c:pt idx="404">
                  <c:v>145.5</c:v>
                </c:pt>
                <c:pt idx="405">
                  <c:v>145.75</c:v>
                </c:pt>
                <c:pt idx="406">
                  <c:v>146</c:v>
                </c:pt>
                <c:pt idx="407">
                  <c:v>146.5</c:v>
                </c:pt>
                <c:pt idx="408">
                  <c:v>147</c:v>
                </c:pt>
                <c:pt idx="409">
                  <c:v>147.5</c:v>
                </c:pt>
                <c:pt idx="410">
                  <c:v>148</c:v>
                </c:pt>
                <c:pt idx="411">
                  <c:v>148.25</c:v>
                </c:pt>
                <c:pt idx="412">
                  <c:v>148.5</c:v>
                </c:pt>
                <c:pt idx="413">
                  <c:v>148.75</c:v>
                </c:pt>
                <c:pt idx="414">
                  <c:v>149</c:v>
                </c:pt>
                <c:pt idx="415">
                  <c:v>149.5</c:v>
                </c:pt>
                <c:pt idx="416">
                  <c:v>149.75</c:v>
                </c:pt>
                <c:pt idx="417">
                  <c:v>150</c:v>
                </c:pt>
                <c:pt idx="418">
                  <c:v>150.5</c:v>
                </c:pt>
                <c:pt idx="419">
                  <c:v>151</c:v>
                </c:pt>
                <c:pt idx="420">
                  <c:v>151.5</c:v>
                </c:pt>
                <c:pt idx="421">
                  <c:v>152</c:v>
                </c:pt>
                <c:pt idx="422">
                  <c:v>152.25</c:v>
                </c:pt>
                <c:pt idx="423">
                  <c:v>152.5</c:v>
                </c:pt>
                <c:pt idx="424">
                  <c:v>152.75</c:v>
                </c:pt>
                <c:pt idx="425">
                  <c:v>153</c:v>
                </c:pt>
                <c:pt idx="426">
                  <c:v>153.5</c:v>
                </c:pt>
                <c:pt idx="427">
                  <c:v>153.75</c:v>
                </c:pt>
                <c:pt idx="428">
                  <c:v>154</c:v>
                </c:pt>
                <c:pt idx="429">
                  <c:v>154.5</c:v>
                </c:pt>
                <c:pt idx="430">
                  <c:v>155</c:v>
                </c:pt>
                <c:pt idx="431">
                  <c:v>155.5</c:v>
                </c:pt>
                <c:pt idx="432">
                  <c:v>156</c:v>
                </c:pt>
                <c:pt idx="433">
                  <c:v>156.25</c:v>
                </c:pt>
                <c:pt idx="434">
                  <c:v>156.5</c:v>
                </c:pt>
                <c:pt idx="435">
                  <c:v>156.75</c:v>
                </c:pt>
                <c:pt idx="436">
                  <c:v>157</c:v>
                </c:pt>
                <c:pt idx="437">
                  <c:v>157.5</c:v>
                </c:pt>
                <c:pt idx="438">
                  <c:v>157.75</c:v>
                </c:pt>
                <c:pt idx="439">
                  <c:v>158</c:v>
                </c:pt>
                <c:pt idx="440">
                  <c:v>158.5</c:v>
                </c:pt>
                <c:pt idx="441">
                  <c:v>159</c:v>
                </c:pt>
                <c:pt idx="442">
                  <c:v>159.5</c:v>
                </c:pt>
                <c:pt idx="443">
                  <c:v>160</c:v>
                </c:pt>
                <c:pt idx="444">
                  <c:v>160.25</c:v>
                </c:pt>
                <c:pt idx="445">
                  <c:v>160.5</c:v>
                </c:pt>
                <c:pt idx="446">
                  <c:v>160.75</c:v>
                </c:pt>
                <c:pt idx="447">
                  <c:v>161</c:v>
                </c:pt>
                <c:pt idx="448">
                  <c:v>161.5</c:v>
                </c:pt>
                <c:pt idx="449">
                  <c:v>161.75</c:v>
                </c:pt>
                <c:pt idx="450">
                  <c:v>162</c:v>
                </c:pt>
                <c:pt idx="451">
                  <c:v>162.5</c:v>
                </c:pt>
                <c:pt idx="452">
                  <c:v>163</c:v>
                </c:pt>
                <c:pt idx="453">
                  <c:v>163.5</c:v>
                </c:pt>
                <c:pt idx="454">
                  <c:v>164</c:v>
                </c:pt>
                <c:pt idx="455">
                  <c:v>164.25</c:v>
                </c:pt>
                <c:pt idx="456">
                  <c:v>164.5</c:v>
                </c:pt>
                <c:pt idx="457">
                  <c:v>164.75</c:v>
                </c:pt>
                <c:pt idx="458">
                  <c:v>165</c:v>
                </c:pt>
                <c:pt idx="459">
                  <c:v>165.5</c:v>
                </c:pt>
                <c:pt idx="460">
                  <c:v>165.75</c:v>
                </c:pt>
                <c:pt idx="461">
                  <c:v>166</c:v>
                </c:pt>
                <c:pt idx="462">
                  <c:v>166.5</c:v>
                </c:pt>
                <c:pt idx="463">
                  <c:v>167</c:v>
                </c:pt>
                <c:pt idx="464">
                  <c:v>167.5</c:v>
                </c:pt>
                <c:pt idx="465">
                  <c:v>168</c:v>
                </c:pt>
                <c:pt idx="466">
                  <c:v>168.25</c:v>
                </c:pt>
                <c:pt idx="467">
                  <c:v>168.5</c:v>
                </c:pt>
                <c:pt idx="468">
                  <c:v>168.75</c:v>
                </c:pt>
                <c:pt idx="469">
                  <c:v>169</c:v>
                </c:pt>
                <c:pt idx="470">
                  <c:v>169.5</c:v>
                </c:pt>
                <c:pt idx="471">
                  <c:v>169.75</c:v>
                </c:pt>
                <c:pt idx="472">
                  <c:v>170</c:v>
                </c:pt>
                <c:pt idx="473">
                  <c:v>170.5</c:v>
                </c:pt>
                <c:pt idx="474">
                  <c:v>171</c:v>
                </c:pt>
                <c:pt idx="475">
                  <c:v>171.5</c:v>
                </c:pt>
                <c:pt idx="476">
                  <c:v>172</c:v>
                </c:pt>
                <c:pt idx="477">
                  <c:v>172.25</c:v>
                </c:pt>
                <c:pt idx="478">
                  <c:v>172.5</c:v>
                </c:pt>
                <c:pt idx="479">
                  <c:v>172.75</c:v>
                </c:pt>
                <c:pt idx="480">
                  <c:v>173</c:v>
                </c:pt>
                <c:pt idx="481">
                  <c:v>173.5</c:v>
                </c:pt>
                <c:pt idx="482">
                  <c:v>173.75</c:v>
                </c:pt>
                <c:pt idx="483">
                  <c:v>174</c:v>
                </c:pt>
                <c:pt idx="484">
                  <c:v>174.5</c:v>
                </c:pt>
                <c:pt idx="485">
                  <c:v>175</c:v>
                </c:pt>
                <c:pt idx="486">
                  <c:v>175.5</c:v>
                </c:pt>
                <c:pt idx="487">
                  <c:v>176</c:v>
                </c:pt>
                <c:pt idx="488">
                  <c:v>176.25</c:v>
                </c:pt>
                <c:pt idx="489">
                  <c:v>176.5</c:v>
                </c:pt>
                <c:pt idx="490">
                  <c:v>176.75</c:v>
                </c:pt>
                <c:pt idx="491">
                  <c:v>177</c:v>
                </c:pt>
                <c:pt idx="492">
                  <c:v>177.5</c:v>
                </c:pt>
                <c:pt idx="493">
                  <c:v>177.75</c:v>
                </c:pt>
                <c:pt idx="494">
                  <c:v>178</c:v>
                </c:pt>
                <c:pt idx="495">
                  <c:v>178.5</c:v>
                </c:pt>
                <c:pt idx="496">
                  <c:v>179</c:v>
                </c:pt>
                <c:pt idx="497">
                  <c:v>179.5</c:v>
                </c:pt>
                <c:pt idx="498">
                  <c:v>180</c:v>
                </c:pt>
                <c:pt idx="499">
                  <c:v>180.25</c:v>
                </c:pt>
                <c:pt idx="500">
                  <c:v>180.5</c:v>
                </c:pt>
                <c:pt idx="501">
                  <c:v>180.75</c:v>
                </c:pt>
                <c:pt idx="502">
                  <c:v>181</c:v>
                </c:pt>
                <c:pt idx="503">
                  <c:v>181.5</c:v>
                </c:pt>
                <c:pt idx="504">
                  <c:v>181.75</c:v>
                </c:pt>
                <c:pt idx="505">
                  <c:v>182</c:v>
                </c:pt>
                <c:pt idx="506">
                  <c:v>182.5</c:v>
                </c:pt>
                <c:pt idx="507">
                  <c:v>183</c:v>
                </c:pt>
                <c:pt idx="508">
                  <c:v>183.5</c:v>
                </c:pt>
                <c:pt idx="509">
                  <c:v>184</c:v>
                </c:pt>
                <c:pt idx="510">
                  <c:v>184.25</c:v>
                </c:pt>
                <c:pt idx="511">
                  <c:v>184.5</c:v>
                </c:pt>
                <c:pt idx="512">
                  <c:v>184.75</c:v>
                </c:pt>
                <c:pt idx="513">
                  <c:v>185</c:v>
                </c:pt>
                <c:pt idx="514">
                  <c:v>185.5</c:v>
                </c:pt>
                <c:pt idx="515">
                  <c:v>185.75</c:v>
                </c:pt>
                <c:pt idx="516">
                  <c:v>186</c:v>
                </c:pt>
                <c:pt idx="517">
                  <c:v>186.5</c:v>
                </c:pt>
                <c:pt idx="518">
                  <c:v>187</c:v>
                </c:pt>
                <c:pt idx="519">
                  <c:v>187.5</c:v>
                </c:pt>
                <c:pt idx="520">
                  <c:v>188</c:v>
                </c:pt>
                <c:pt idx="521">
                  <c:v>188.25</c:v>
                </c:pt>
                <c:pt idx="522">
                  <c:v>188.5</c:v>
                </c:pt>
                <c:pt idx="523">
                  <c:v>188.75</c:v>
                </c:pt>
                <c:pt idx="524">
                  <c:v>189</c:v>
                </c:pt>
                <c:pt idx="525">
                  <c:v>189.5</c:v>
                </c:pt>
                <c:pt idx="526">
                  <c:v>190</c:v>
                </c:pt>
                <c:pt idx="527">
                  <c:v>190.25</c:v>
                </c:pt>
                <c:pt idx="528">
                  <c:v>190.5</c:v>
                </c:pt>
                <c:pt idx="529">
                  <c:v>190.75</c:v>
                </c:pt>
                <c:pt idx="530">
                  <c:v>191</c:v>
                </c:pt>
                <c:pt idx="531">
                  <c:v>191.5</c:v>
                </c:pt>
                <c:pt idx="532">
                  <c:v>192</c:v>
                </c:pt>
                <c:pt idx="533">
                  <c:v>192.25</c:v>
                </c:pt>
                <c:pt idx="534">
                  <c:v>192.5</c:v>
                </c:pt>
                <c:pt idx="535">
                  <c:v>192.75</c:v>
                </c:pt>
                <c:pt idx="536">
                  <c:v>193</c:v>
                </c:pt>
                <c:pt idx="537">
                  <c:v>193.5</c:v>
                </c:pt>
                <c:pt idx="538">
                  <c:v>194</c:v>
                </c:pt>
                <c:pt idx="539">
                  <c:v>194.25</c:v>
                </c:pt>
                <c:pt idx="540">
                  <c:v>194.5</c:v>
                </c:pt>
                <c:pt idx="541">
                  <c:v>194.75</c:v>
                </c:pt>
                <c:pt idx="542">
                  <c:v>195</c:v>
                </c:pt>
                <c:pt idx="543">
                  <c:v>195.5</c:v>
                </c:pt>
                <c:pt idx="544">
                  <c:v>196</c:v>
                </c:pt>
                <c:pt idx="545">
                  <c:v>196.25</c:v>
                </c:pt>
                <c:pt idx="546">
                  <c:v>196.5</c:v>
                </c:pt>
                <c:pt idx="547">
                  <c:v>196.75</c:v>
                </c:pt>
                <c:pt idx="548">
                  <c:v>197</c:v>
                </c:pt>
                <c:pt idx="549">
                  <c:v>197.25</c:v>
                </c:pt>
                <c:pt idx="550">
                  <c:v>197.5</c:v>
                </c:pt>
                <c:pt idx="551">
                  <c:v>197.75</c:v>
                </c:pt>
                <c:pt idx="552">
                  <c:v>198</c:v>
                </c:pt>
                <c:pt idx="553">
                  <c:v>198.25</c:v>
                </c:pt>
                <c:pt idx="554">
                  <c:v>198.5</c:v>
                </c:pt>
                <c:pt idx="555">
                  <c:v>198.75</c:v>
                </c:pt>
                <c:pt idx="556">
                  <c:v>199</c:v>
                </c:pt>
                <c:pt idx="557">
                  <c:v>199.25</c:v>
                </c:pt>
                <c:pt idx="558">
                  <c:v>199.5</c:v>
                </c:pt>
                <c:pt idx="559">
                  <c:v>199.75</c:v>
                </c:pt>
                <c:pt idx="560">
                  <c:v>200</c:v>
                </c:pt>
                <c:pt idx="561">
                  <c:v>200.25</c:v>
                </c:pt>
                <c:pt idx="562">
                  <c:v>200.5</c:v>
                </c:pt>
                <c:pt idx="563">
                  <c:v>200.75</c:v>
                </c:pt>
                <c:pt idx="564">
                  <c:v>201</c:v>
                </c:pt>
                <c:pt idx="565">
                  <c:v>201.5</c:v>
                </c:pt>
                <c:pt idx="566">
                  <c:v>202</c:v>
                </c:pt>
                <c:pt idx="567">
                  <c:v>202.5</c:v>
                </c:pt>
                <c:pt idx="568">
                  <c:v>203</c:v>
                </c:pt>
                <c:pt idx="569">
                  <c:v>203.5</c:v>
                </c:pt>
                <c:pt idx="570">
                  <c:v>204</c:v>
                </c:pt>
                <c:pt idx="571">
                  <c:v>204.25</c:v>
                </c:pt>
                <c:pt idx="572">
                  <c:v>204.5</c:v>
                </c:pt>
                <c:pt idx="573">
                  <c:v>204.75</c:v>
                </c:pt>
                <c:pt idx="574">
                  <c:v>205</c:v>
                </c:pt>
                <c:pt idx="575">
                  <c:v>205.25</c:v>
                </c:pt>
                <c:pt idx="576">
                  <c:v>205.5</c:v>
                </c:pt>
                <c:pt idx="577">
                  <c:v>205.75</c:v>
                </c:pt>
                <c:pt idx="578">
                  <c:v>206</c:v>
                </c:pt>
                <c:pt idx="579">
                  <c:v>206.25</c:v>
                </c:pt>
                <c:pt idx="580">
                  <c:v>206.5</c:v>
                </c:pt>
                <c:pt idx="581">
                  <c:v>206.75</c:v>
                </c:pt>
                <c:pt idx="582">
                  <c:v>207</c:v>
                </c:pt>
                <c:pt idx="583">
                  <c:v>207.25</c:v>
                </c:pt>
                <c:pt idx="584">
                  <c:v>207.5</c:v>
                </c:pt>
                <c:pt idx="585">
                  <c:v>207.75</c:v>
                </c:pt>
                <c:pt idx="586">
                  <c:v>208</c:v>
                </c:pt>
                <c:pt idx="587">
                  <c:v>208.25</c:v>
                </c:pt>
                <c:pt idx="588">
                  <c:v>208.5</c:v>
                </c:pt>
                <c:pt idx="589">
                  <c:v>208.75</c:v>
                </c:pt>
                <c:pt idx="590">
                  <c:v>209</c:v>
                </c:pt>
                <c:pt idx="591">
                  <c:v>209.5</c:v>
                </c:pt>
                <c:pt idx="592">
                  <c:v>210</c:v>
                </c:pt>
                <c:pt idx="593">
                  <c:v>210.5</c:v>
                </c:pt>
                <c:pt idx="594">
                  <c:v>211</c:v>
                </c:pt>
                <c:pt idx="595">
                  <c:v>211.5</c:v>
                </c:pt>
                <c:pt idx="596">
                  <c:v>212</c:v>
                </c:pt>
                <c:pt idx="597">
                  <c:v>212.25</c:v>
                </c:pt>
                <c:pt idx="598">
                  <c:v>212.5</c:v>
                </c:pt>
                <c:pt idx="599">
                  <c:v>212.75</c:v>
                </c:pt>
                <c:pt idx="600">
                  <c:v>213</c:v>
                </c:pt>
                <c:pt idx="601">
                  <c:v>213.25</c:v>
                </c:pt>
                <c:pt idx="602">
                  <c:v>213.5</c:v>
                </c:pt>
                <c:pt idx="603">
                  <c:v>213.75</c:v>
                </c:pt>
                <c:pt idx="604">
                  <c:v>214</c:v>
                </c:pt>
                <c:pt idx="605">
                  <c:v>214.25</c:v>
                </c:pt>
                <c:pt idx="606">
                  <c:v>214.5</c:v>
                </c:pt>
                <c:pt idx="607">
                  <c:v>214.75</c:v>
                </c:pt>
                <c:pt idx="608">
                  <c:v>215</c:v>
                </c:pt>
                <c:pt idx="609">
                  <c:v>215.25</c:v>
                </c:pt>
                <c:pt idx="610">
                  <c:v>215.5</c:v>
                </c:pt>
                <c:pt idx="611">
                  <c:v>215.75</c:v>
                </c:pt>
                <c:pt idx="612">
                  <c:v>216</c:v>
                </c:pt>
                <c:pt idx="613">
                  <c:v>216.25</c:v>
                </c:pt>
                <c:pt idx="614">
                  <c:v>216.5</c:v>
                </c:pt>
                <c:pt idx="615">
                  <c:v>216.75</c:v>
                </c:pt>
                <c:pt idx="616">
                  <c:v>217</c:v>
                </c:pt>
                <c:pt idx="617">
                  <c:v>217.5</c:v>
                </c:pt>
                <c:pt idx="618">
                  <c:v>218</c:v>
                </c:pt>
                <c:pt idx="619">
                  <c:v>218.5</c:v>
                </c:pt>
                <c:pt idx="620">
                  <c:v>219</c:v>
                </c:pt>
                <c:pt idx="621">
                  <c:v>219.5</c:v>
                </c:pt>
                <c:pt idx="622">
                  <c:v>220</c:v>
                </c:pt>
                <c:pt idx="623">
                  <c:v>220.25</c:v>
                </c:pt>
                <c:pt idx="624">
                  <c:v>220.5</c:v>
                </c:pt>
                <c:pt idx="625">
                  <c:v>220.75</c:v>
                </c:pt>
                <c:pt idx="626">
                  <c:v>221</c:v>
                </c:pt>
                <c:pt idx="627">
                  <c:v>221.25</c:v>
                </c:pt>
                <c:pt idx="628">
                  <c:v>221.5</c:v>
                </c:pt>
                <c:pt idx="629">
                  <c:v>221.75</c:v>
                </c:pt>
                <c:pt idx="630">
                  <c:v>222</c:v>
                </c:pt>
                <c:pt idx="631">
                  <c:v>222.25</c:v>
                </c:pt>
                <c:pt idx="632">
                  <c:v>222.5</c:v>
                </c:pt>
                <c:pt idx="633">
                  <c:v>222.75</c:v>
                </c:pt>
                <c:pt idx="634">
                  <c:v>223</c:v>
                </c:pt>
                <c:pt idx="635">
                  <c:v>223.25</c:v>
                </c:pt>
                <c:pt idx="636">
                  <c:v>223.5</c:v>
                </c:pt>
                <c:pt idx="637">
                  <c:v>223.75</c:v>
                </c:pt>
                <c:pt idx="638">
                  <c:v>224</c:v>
                </c:pt>
                <c:pt idx="639">
                  <c:v>224.25</c:v>
                </c:pt>
                <c:pt idx="640">
                  <c:v>224.5</c:v>
                </c:pt>
                <c:pt idx="641">
                  <c:v>224.75</c:v>
                </c:pt>
                <c:pt idx="642">
                  <c:v>225</c:v>
                </c:pt>
                <c:pt idx="643">
                  <c:v>225.5</c:v>
                </c:pt>
                <c:pt idx="644">
                  <c:v>226</c:v>
                </c:pt>
                <c:pt idx="645">
                  <c:v>226.5</c:v>
                </c:pt>
                <c:pt idx="646">
                  <c:v>227</c:v>
                </c:pt>
                <c:pt idx="647">
                  <c:v>227.5</c:v>
                </c:pt>
                <c:pt idx="648">
                  <c:v>228</c:v>
                </c:pt>
                <c:pt idx="649">
                  <c:v>228.25</c:v>
                </c:pt>
                <c:pt idx="650">
                  <c:v>228.5</c:v>
                </c:pt>
                <c:pt idx="651">
                  <c:v>228.75</c:v>
                </c:pt>
                <c:pt idx="652">
                  <c:v>229</c:v>
                </c:pt>
                <c:pt idx="653">
                  <c:v>229.5</c:v>
                </c:pt>
                <c:pt idx="654">
                  <c:v>230</c:v>
                </c:pt>
                <c:pt idx="655">
                  <c:v>230.5</c:v>
                </c:pt>
                <c:pt idx="656">
                  <c:v>231</c:v>
                </c:pt>
                <c:pt idx="657">
                  <c:v>231.5</c:v>
                </c:pt>
                <c:pt idx="658">
                  <c:v>232</c:v>
                </c:pt>
                <c:pt idx="659">
                  <c:v>232.25</c:v>
                </c:pt>
                <c:pt idx="660">
                  <c:v>232.5</c:v>
                </c:pt>
                <c:pt idx="661">
                  <c:v>232.75</c:v>
                </c:pt>
                <c:pt idx="662">
                  <c:v>233</c:v>
                </c:pt>
                <c:pt idx="663">
                  <c:v>233.5</c:v>
                </c:pt>
                <c:pt idx="664">
                  <c:v>234</c:v>
                </c:pt>
                <c:pt idx="665">
                  <c:v>234.5</c:v>
                </c:pt>
                <c:pt idx="666">
                  <c:v>235</c:v>
                </c:pt>
                <c:pt idx="667">
                  <c:v>235.5</c:v>
                </c:pt>
                <c:pt idx="668">
                  <c:v>236</c:v>
                </c:pt>
                <c:pt idx="669">
                  <c:v>236.25</c:v>
                </c:pt>
                <c:pt idx="670">
                  <c:v>236.5</c:v>
                </c:pt>
                <c:pt idx="671">
                  <c:v>236.75</c:v>
                </c:pt>
                <c:pt idx="672">
                  <c:v>237</c:v>
                </c:pt>
                <c:pt idx="673">
                  <c:v>237.5</c:v>
                </c:pt>
                <c:pt idx="674">
                  <c:v>238</c:v>
                </c:pt>
                <c:pt idx="675">
                  <c:v>238.5</c:v>
                </c:pt>
                <c:pt idx="676">
                  <c:v>239</c:v>
                </c:pt>
                <c:pt idx="677">
                  <c:v>239.5</c:v>
                </c:pt>
                <c:pt idx="678">
                  <c:v>240</c:v>
                </c:pt>
                <c:pt idx="679">
                  <c:v>240.25</c:v>
                </c:pt>
                <c:pt idx="680">
                  <c:v>240.5</c:v>
                </c:pt>
                <c:pt idx="681">
                  <c:v>240.75</c:v>
                </c:pt>
                <c:pt idx="682">
                  <c:v>241</c:v>
                </c:pt>
                <c:pt idx="683">
                  <c:v>241.5</c:v>
                </c:pt>
                <c:pt idx="684">
                  <c:v>242</c:v>
                </c:pt>
                <c:pt idx="685">
                  <c:v>242.5</c:v>
                </c:pt>
                <c:pt idx="686">
                  <c:v>243</c:v>
                </c:pt>
                <c:pt idx="687">
                  <c:v>243.5</c:v>
                </c:pt>
                <c:pt idx="688">
                  <c:v>244</c:v>
                </c:pt>
                <c:pt idx="689">
                  <c:v>244.25</c:v>
                </c:pt>
                <c:pt idx="690">
                  <c:v>244.5</c:v>
                </c:pt>
                <c:pt idx="691">
                  <c:v>244.75</c:v>
                </c:pt>
                <c:pt idx="692">
                  <c:v>245</c:v>
                </c:pt>
                <c:pt idx="693">
                  <c:v>245.5</c:v>
                </c:pt>
                <c:pt idx="694">
                  <c:v>246</c:v>
                </c:pt>
                <c:pt idx="695">
                  <c:v>246.25</c:v>
                </c:pt>
                <c:pt idx="696">
                  <c:v>246.5</c:v>
                </c:pt>
                <c:pt idx="697">
                  <c:v>246.75</c:v>
                </c:pt>
                <c:pt idx="698">
                  <c:v>247</c:v>
                </c:pt>
                <c:pt idx="699">
                  <c:v>247.5</c:v>
                </c:pt>
                <c:pt idx="700">
                  <c:v>248</c:v>
                </c:pt>
                <c:pt idx="701">
                  <c:v>248.25</c:v>
                </c:pt>
                <c:pt idx="702">
                  <c:v>248.5</c:v>
                </c:pt>
                <c:pt idx="703">
                  <c:v>248.75</c:v>
                </c:pt>
                <c:pt idx="704">
                  <c:v>249</c:v>
                </c:pt>
                <c:pt idx="705">
                  <c:v>249.5</c:v>
                </c:pt>
                <c:pt idx="706">
                  <c:v>250</c:v>
                </c:pt>
                <c:pt idx="707">
                  <c:v>250.25</c:v>
                </c:pt>
                <c:pt idx="708">
                  <c:v>250.5</c:v>
                </c:pt>
                <c:pt idx="709">
                  <c:v>250.75</c:v>
                </c:pt>
                <c:pt idx="710">
                  <c:v>251</c:v>
                </c:pt>
                <c:pt idx="711">
                  <c:v>251.5</c:v>
                </c:pt>
                <c:pt idx="712">
                  <c:v>252</c:v>
                </c:pt>
                <c:pt idx="713">
                  <c:v>252.25</c:v>
                </c:pt>
                <c:pt idx="714">
                  <c:v>252.5</c:v>
                </c:pt>
                <c:pt idx="715">
                  <c:v>252.75</c:v>
                </c:pt>
                <c:pt idx="716">
                  <c:v>253</c:v>
                </c:pt>
                <c:pt idx="717">
                  <c:v>253.5</c:v>
                </c:pt>
                <c:pt idx="718">
                  <c:v>254</c:v>
                </c:pt>
                <c:pt idx="719">
                  <c:v>254.5</c:v>
                </c:pt>
                <c:pt idx="720">
                  <c:v>255</c:v>
                </c:pt>
                <c:pt idx="721">
                  <c:v>255.5</c:v>
                </c:pt>
                <c:pt idx="722">
                  <c:v>256</c:v>
                </c:pt>
                <c:pt idx="723">
                  <c:v>256.25</c:v>
                </c:pt>
                <c:pt idx="724">
                  <c:v>256.5</c:v>
                </c:pt>
                <c:pt idx="725">
                  <c:v>256.75</c:v>
                </c:pt>
                <c:pt idx="726">
                  <c:v>257</c:v>
                </c:pt>
                <c:pt idx="727">
                  <c:v>257.5</c:v>
                </c:pt>
                <c:pt idx="728">
                  <c:v>258</c:v>
                </c:pt>
                <c:pt idx="729">
                  <c:v>258.5</c:v>
                </c:pt>
                <c:pt idx="730">
                  <c:v>259</c:v>
                </c:pt>
                <c:pt idx="731">
                  <c:v>259.5</c:v>
                </c:pt>
                <c:pt idx="732">
                  <c:v>260</c:v>
                </c:pt>
                <c:pt idx="733">
                  <c:v>260.25</c:v>
                </c:pt>
                <c:pt idx="734">
                  <c:v>260.5</c:v>
                </c:pt>
                <c:pt idx="735">
                  <c:v>260.75</c:v>
                </c:pt>
                <c:pt idx="736">
                  <c:v>261</c:v>
                </c:pt>
                <c:pt idx="737">
                  <c:v>261.5</c:v>
                </c:pt>
                <c:pt idx="738">
                  <c:v>262</c:v>
                </c:pt>
                <c:pt idx="739">
                  <c:v>262.5</c:v>
                </c:pt>
                <c:pt idx="740">
                  <c:v>263</c:v>
                </c:pt>
                <c:pt idx="741">
                  <c:v>263.5</c:v>
                </c:pt>
                <c:pt idx="742">
                  <c:v>264</c:v>
                </c:pt>
                <c:pt idx="743">
                  <c:v>264.25</c:v>
                </c:pt>
                <c:pt idx="744">
                  <c:v>264.5</c:v>
                </c:pt>
                <c:pt idx="745">
                  <c:v>264.75</c:v>
                </c:pt>
                <c:pt idx="746">
                  <c:v>265</c:v>
                </c:pt>
                <c:pt idx="747">
                  <c:v>265.5</c:v>
                </c:pt>
                <c:pt idx="748">
                  <c:v>266</c:v>
                </c:pt>
                <c:pt idx="749">
                  <c:v>266.5</c:v>
                </c:pt>
                <c:pt idx="750">
                  <c:v>267</c:v>
                </c:pt>
                <c:pt idx="751">
                  <c:v>267.5</c:v>
                </c:pt>
                <c:pt idx="752">
                  <c:v>268</c:v>
                </c:pt>
                <c:pt idx="753">
                  <c:v>268.25</c:v>
                </c:pt>
                <c:pt idx="754">
                  <c:v>268.5</c:v>
                </c:pt>
                <c:pt idx="755">
                  <c:v>268.75</c:v>
                </c:pt>
                <c:pt idx="756">
                  <c:v>269</c:v>
                </c:pt>
                <c:pt idx="757">
                  <c:v>269.5</c:v>
                </c:pt>
                <c:pt idx="758">
                  <c:v>270</c:v>
                </c:pt>
                <c:pt idx="759">
                  <c:v>270.25</c:v>
                </c:pt>
                <c:pt idx="760">
                  <c:v>270.5</c:v>
                </c:pt>
                <c:pt idx="761">
                  <c:v>270.75</c:v>
                </c:pt>
                <c:pt idx="762">
                  <c:v>271</c:v>
                </c:pt>
                <c:pt idx="763">
                  <c:v>271.5</c:v>
                </c:pt>
                <c:pt idx="764">
                  <c:v>272</c:v>
                </c:pt>
                <c:pt idx="765">
                  <c:v>272.25</c:v>
                </c:pt>
                <c:pt idx="766">
                  <c:v>272.5</c:v>
                </c:pt>
                <c:pt idx="767">
                  <c:v>272.75</c:v>
                </c:pt>
                <c:pt idx="768">
                  <c:v>273</c:v>
                </c:pt>
                <c:pt idx="769">
                  <c:v>273.5</c:v>
                </c:pt>
                <c:pt idx="770">
                  <c:v>274</c:v>
                </c:pt>
                <c:pt idx="771">
                  <c:v>274.25</c:v>
                </c:pt>
                <c:pt idx="772">
                  <c:v>274.5</c:v>
                </c:pt>
                <c:pt idx="773">
                  <c:v>274.75</c:v>
                </c:pt>
                <c:pt idx="774">
                  <c:v>275</c:v>
                </c:pt>
                <c:pt idx="775">
                  <c:v>275.5</c:v>
                </c:pt>
                <c:pt idx="776">
                  <c:v>276</c:v>
                </c:pt>
                <c:pt idx="777">
                  <c:v>276.25</c:v>
                </c:pt>
                <c:pt idx="778">
                  <c:v>276.5</c:v>
                </c:pt>
                <c:pt idx="779">
                  <c:v>276.75</c:v>
                </c:pt>
                <c:pt idx="780">
                  <c:v>277</c:v>
                </c:pt>
                <c:pt idx="781">
                  <c:v>277.5</c:v>
                </c:pt>
                <c:pt idx="782">
                  <c:v>278</c:v>
                </c:pt>
                <c:pt idx="783">
                  <c:v>278.25</c:v>
                </c:pt>
                <c:pt idx="784">
                  <c:v>278.5</c:v>
                </c:pt>
                <c:pt idx="785">
                  <c:v>278.75</c:v>
                </c:pt>
                <c:pt idx="786">
                  <c:v>279</c:v>
                </c:pt>
                <c:pt idx="787">
                  <c:v>279.5</c:v>
                </c:pt>
                <c:pt idx="788">
                  <c:v>280</c:v>
                </c:pt>
                <c:pt idx="789">
                  <c:v>280.25</c:v>
                </c:pt>
                <c:pt idx="790">
                  <c:v>280.5</c:v>
                </c:pt>
                <c:pt idx="791">
                  <c:v>280.75</c:v>
                </c:pt>
                <c:pt idx="792">
                  <c:v>281</c:v>
                </c:pt>
                <c:pt idx="793">
                  <c:v>281.5</c:v>
                </c:pt>
                <c:pt idx="794">
                  <c:v>282</c:v>
                </c:pt>
                <c:pt idx="795">
                  <c:v>282.25</c:v>
                </c:pt>
                <c:pt idx="796">
                  <c:v>282.5</c:v>
                </c:pt>
                <c:pt idx="797">
                  <c:v>282.75</c:v>
                </c:pt>
                <c:pt idx="798">
                  <c:v>283</c:v>
                </c:pt>
                <c:pt idx="799">
                  <c:v>283.5</c:v>
                </c:pt>
                <c:pt idx="800">
                  <c:v>284</c:v>
                </c:pt>
                <c:pt idx="801">
                  <c:v>284.25</c:v>
                </c:pt>
                <c:pt idx="802">
                  <c:v>284.5</c:v>
                </c:pt>
                <c:pt idx="803">
                  <c:v>284.75</c:v>
                </c:pt>
                <c:pt idx="804">
                  <c:v>285</c:v>
                </c:pt>
                <c:pt idx="805">
                  <c:v>285.5</c:v>
                </c:pt>
                <c:pt idx="806">
                  <c:v>286</c:v>
                </c:pt>
                <c:pt idx="807">
                  <c:v>286.25</c:v>
                </c:pt>
                <c:pt idx="808">
                  <c:v>286.5</c:v>
                </c:pt>
                <c:pt idx="809">
                  <c:v>286.75</c:v>
                </c:pt>
                <c:pt idx="810">
                  <c:v>287</c:v>
                </c:pt>
                <c:pt idx="811">
                  <c:v>287.5</c:v>
                </c:pt>
                <c:pt idx="812">
                  <c:v>288</c:v>
                </c:pt>
                <c:pt idx="813">
                  <c:v>288.25</c:v>
                </c:pt>
                <c:pt idx="814">
                  <c:v>288.5</c:v>
                </c:pt>
                <c:pt idx="815">
                  <c:v>288.75</c:v>
                </c:pt>
                <c:pt idx="816">
                  <c:v>289</c:v>
                </c:pt>
                <c:pt idx="817">
                  <c:v>289.5</c:v>
                </c:pt>
                <c:pt idx="818">
                  <c:v>290</c:v>
                </c:pt>
                <c:pt idx="819">
                  <c:v>290.25</c:v>
                </c:pt>
                <c:pt idx="820">
                  <c:v>290.5</c:v>
                </c:pt>
                <c:pt idx="821">
                  <c:v>290.75</c:v>
                </c:pt>
                <c:pt idx="822">
                  <c:v>291</c:v>
                </c:pt>
                <c:pt idx="823">
                  <c:v>291.5</c:v>
                </c:pt>
                <c:pt idx="824">
                  <c:v>292</c:v>
                </c:pt>
                <c:pt idx="825">
                  <c:v>292.25</c:v>
                </c:pt>
                <c:pt idx="826">
                  <c:v>292.5</c:v>
                </c:pt>
                <c:pt idx="827">
                  <c:v>292.75</c:v>
                </c:pt>
                <c:pt idx="828">
                  <c:v>293</c:v>
                </c:pt>
                <c:pt idx="829">
                  <c:v>293.5</c:v>
                </c:pt>
                <c:pt idx="830">
                  <c:v>294</c:v>
                </c:pt>
                <c:pt idx="831">
                  <c:v>294.25</c:v>
                </c:pt>
                <c:pt idx="832">
                  <c:v>294.5</c:v>
                </c:pt>
                <c:pt idx="833">
                  <c:v>294.75</c:v>
                </c:pt>
                <c:pt idx="834">
                  <c:v>295</c:v>
                </c:pt>
                <c:pt idx="835">
                  <c:v>295.5</c:v>
                </c:pt>
                <c:pt idx="836">
                  <c:v>296</c:v>
                </c:pt>
                <c:pt idx="837">
                  <c:v>296.25</c:v>
                </c:pt>
                <c:pt idx="838">
                  <c:v>296.5</c:v>
                </c:pt>
                <c:pt idx="839">
                  <c:v>296.75</c:v>
                </c:pt>
                <c:pt idx="840">
                  <c:v>297</c:v>
                </c:pt>
                <c:pt idx="841">
                  <c:v>297.5</c:v>
                </c:pt>
                <c:pt idx="842">
                  <c:v>298</c:v>
                </c:pt>
                <c:pt idx="843">
                  <c:v>298.25</c:v>
                </c:pt>
                <c:pt idx="844">
                  <c:v>298.5</c:v>
                </c:pt>
                <c:pt idx="845">
                  <c:v>298.75</c:v>
                </c:pt>
                <c:pt idx="846">
                  <c:v>299</c:v>
                </c:pt>
                <c:pt idx="847">
                  <c:v>299.5</c:v>
                </c:pt>
                <c:pt idx="848">
                  <c:v>300</c:v>
                </c:pt>
                <c:pt idx="849">
                  <c:v>307.75</c:v>
                </c:pt>
                <c:pt idx="850">
                  <c:v>308</c:v>
                </c:pt>
                <c:pt idx="851">
                  <c:v>308.5</c:v>
                </c:pt>
                <c:pt idx="852">
                  <c:v>310.75</c:v>
                </c:pt>
                <c:pt idx="853">
                  <c:v>311</c:v>
                </c:pt>
                <c:pt idx="854">
                  <c:v>311.5</c:v>
                </c:pt>
                <c:pt idx="855">
                  <c:v>313.75</c:v>
                </c:pt>
                <c:pt idx="856">
                  <c:v>314</c:v>
                </c:pt>
                <c:pt idx="857">
                  <c:v>314.5</c:v>
                </c:pt>
                <c:pt idx="858">
                  <c:v>316.75</c:v>
                </c:pt>
                <c:pt idx="859">
                  <c:v>317</c:v>
                </c:pt>
                <c:pt idx="860">
                  <c:v>317.5</c:v>
                </c:pt>
                <c:pt idx="861">
                  <c:v>320</c:v>
                </c:pt>
              </c:numCache>
            </c:numRef>
          </c:xVal>
          <c:yVal>
            <c:numRef>
              <c:f>Sheet4!$I$4:$I$865</c:f>
              <c:numCache>
                <c:formatCode>General</c:formatCode>
                <c:ptCount val="862"/>
                <c:pt idx="0">
                  <c:v>220.00279814001337</c:v>
                </c:pt>
                <c:pt idx="1">
                  <c:v>349.23506143398839</c:v>
                </c:pt>
                <c:pt idx="2">
                  <c:v>392.00377257605692</c:v>
                </c:pt>
                <c:pt idx="3">
                  <c:v>293.66975814369101</c:v>
                </c:pt>
                <c:pt idx="4">
                  <c:v>392.00377257605692</c:v>
                </c:pt>
                <c:pt idx="5">
                  <c:v>293.66975814369101</c:v>
                </c:pt>
                <c:pt idx="6">
                  <c:v>392.00377257605692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293.66975814369101</c:v>
                </c:pt>
                <c:pt idx="10">
                  <c:v>220.00279814001337</c:v>
                </c:pt>
                <c:pt idx="11">
                  <c:v>349.23506143398839</c:v>
                </c:pt>
                <c:pt idx="12">
                  <c:v>392.00377257605692</c:v>
                </c:pt>
                <c:pt idx="13">
                  <c:v>293.66975814369101</c:v>
                </c:pt>
                <c:pt idx="14">
                  <c:v>392.00377257605692</c:v>
                </c:pt>
                <c:pt idx="15">
                  <c:v>293.66975814369101</c:v>
                </c:pt>
                <c:pt idx="16">
                  <c:v>392.00377257605692</c:v>
                </c:pt>
                <c:pt idx="17">
                  <c:v>392.00377257605692</c:v>
                </c:pt>
                <c:pt idx="18">
                  <c:v>392.00377257605692</c:v>
                </c:pt>
                <c:pt idx="19">
                  <c:v>293.66975814369101</c:v>
                </c:pt>
                <c:pt idx="20">
                  <c:v>220.00279814001337</c:v>
                </c:pt>
                <c:pt idx="21">
                  <c:v>349.23506143398839</c:v>
                </c:pt>
                <c:pt idx="22">
                  <c:v>392.00377257605692</c:v>
                </c:pt>
                <c:pt idx="23">
                  <c:v>293.66975814369101</c:v>
                </c:pt>
                <c:pt idx="24">
                  <c:v>392.00377257605692</c:v>
                </c:pt>
                <c:pt idx="25">
                  <c:v>293.66975814369101</c:v>
                </c:pt>
                <c:pt idx="26">
                  <c:v>392.00377257605692</c:v>
                </c:pt>
                <c:pt idx="27">
                  <c:v>392.00377257605692</c:v>
                </c:pt>
                <c:pt idx="28">
                  <c:v>392.00377257605692</c:v>
                </c:pt>
                <c:pt idx="29">
                  <c:v>293.66975814369101</c:v>
                </c:pt>
                <c:pt idx="30">
                  <c:v>220.00279814001337</c:v>
                </c:pt>
                <c:pt idx="31">
                  <c:v>349.23506143398839</c:v>
                </c:pt>
                <c:pt idx="32">
                  <c:v>392.00377257605692</c:v>
                </c:pt>
                <c:pt idx="33">
                  <c:v>293.66975814369101</c:v>
                </c:pt>
                <c:pt idx="34">
                  <c:v>392.00377257605692</c:v>
                </c:pt>
                <c:pt idx="35">
                  <c:v>293.66975814369101</c:v>
                </c:pt>
                <c:pt idx="36">
                  <c:v>392.00377257605692</c:v>
                </c:pt>
                <c:pt idx="37">
                  <c:v>392.00377257605692</c:v>
                </c:pt>
                <c:pt idx="38">
                  <c:v>392.00377257605692</c:v>
                </c:pt>
                <c:pt idx="39">
                  <c:v>293.66975814369101</c:v>
                </c:pt>
                <c:pt idx="40">
                  <c:v>220.00279814001337</c:v>
                </c:pt>
                <c:pt idx="41">
                  <c:v>349.23506143398839</c:v>
                </c:pt>
                <c:pt idx="42">
                  <c:v>392.00377257605692</c:v>
                </c:pt>
                <c:pt idx="43">
                  <c:v>293.66975814369101</c:v>
                </c:pt>
                <c:pt idx="44">
                  <c:v>392.00377257605692</c:v>
                </c:pt>
                <c:pt idx="45">
                  <c:v>493.89549345236594</c:v>
                </c:pt>
                <c:pt idx="46">
                  <c:v>293.66975814369101</c:v>
                </c:pt>
                <c:pt idx="47">
                  <c:v>392.00377257605692</c:v>
                </c:pt>
                <c:pt idx="48">
                  <c:v>392.00377257605692</c:v>
                </c:pt>
                <c:pt idx="49">
                  <c:v>493.89549345236594</c:v>
                </c:pt>
                <c:pt idx="50">
                  <c:v>293.66975814369101</c:v>
                </c:pt>
                <c:pt idx="51">
                  <c:v>220.00279814001337</c:v>
                </c:pt>
                <c:pt idx="52">
                  <c:v>349.23506143398839</c:v>
                </c:pt>
                <c:pt idx="53">
                  <c:v>392.00377257605692</c:v>
                </c:pt>
                <c:pt idx="54">
                  <c:v>293.66975814369101</c:v>
                </c:pt>
                <c:pt idx="55">
                  <c:v>392.00377257605692</c:v>
                </c:pt>
                <c:pt idx="56">
                  <c:v>493.89549345236594</c:v>
                </c:pt>
                <c:pt idx="57">
                  <c:v>293.66975814369101</c:v>
                </c:pt>
                <c:pt idx="58">
                  <c:v>392.00377257605692</c:v>
                </c:pt>
                <c:pt idx="59">
                  <c:v>392.00377257605692</c:v>
                </c:pt>
                <c:pt idx="60">
                  <c:v>493.89549345236594</c:v>
                </c:pt>
                <c:pt idx="61">
                  <c:v>293.66975814369101</c:v>
                </c:pt>
                <c:pt idx="62">
                  <c:v>220.00279814001337</c:v>
                </c:pt>
                <c:pt idx="63">
                  <c:v>329.63372180082422</c:v>
                </c:pt>
                <c:pt idx="64">
                  <c:v>349.23506143398839</c:v>
                </c:pt>
                <c:pt idx="65">
                  <c:v>293.66975814369101</c:v>
                </c:pt>
                <c:pt idx="66">
                  <c:v>349.23506143398839</c:v>
                </c:pt>
                <c:pt idx="67">
                  <c:v>440.01010976071973</c:v>
                </c:pt>
                <c:pt idx="68">
                  <c:v>293.66975814369101</c:v>
                </c:pt>
                <c:pt idx="69">
                  <c:v>349.23506143398839</c:v>
                </c:pt>
                <c:pt idx="70">
                  <c:v>392.00377257605692</c:v>
                </c:pt>
                <c:pt idx="71">
                  <c:v>440.01010976071973</c:v>
                </c:pt>
                <c:pt idx="72">
                  <c:v>293.66975814369101</c:v>
                </c:pt>
                <c:pt idx="73">
                  <c:v>220.00279814001337</c:v>
                </c:pt>
                <c:pt idx="74">
                  <c:v>246.94521361646048</c:v>
                </c:pt>
                <c:pt idx="75">
                  <c:v>261.62956379894968</c:v>
                </c:pt>
                <c:pt idx="76">
                  <c:v>293.66975814369101</c:v>
                </c:pt>
                <c:pt idx="77">
                  <c:v>261.62956379894968</c:v>
                </c:pt>
                <c:pt idx="78">
                  <c:v>329.63372180082422</c:v>
                </c:pt>
                <c:pt idx="79">
                  <c:v>293.66975814369101</c:v>
                </c:pt>
                <c:pt idx="80">
                  <c:v>261.62956379894968</c:v>
                </c:pt>
                <c:pt idx="81">
                  <c:v>392.00377257605692</c:v>
                </c:pt>
                <c:pt idx="82">
                  <c:v>329.63372180082422</c:v>
                </c:pt>
                <c:pt idx="83">
                  <c:v>293.66975814369101</c:v>
                </c:pt>
                <c:pt idx="84">
                  <c:v>220.00279814001337</c:v>
                </c:pt>
                <c:pt idx="85">
                  <c:v>349.23506143398839</c:v>
                </c:pt>
                <c:pt idx="86">
                  <c:v>392.00377257605692</c:v>
                </c:pt>
                <c:pt idx="87">
                  <c:v>293.66975814369101</c:v>
                </c:pt>
                <c:pt idx="88">
                  <c:v>392.00377257605692</c:v>
                </c:pt>
                <c:pt idx="89">
                  <c:v>493.89549345236594</c:v>
                </c:pt>
                <c:pt idx="90">
                  <c:v>293.66975814369101</c:v>
                </c:pt>
                <c:pt idx="91">
                  <c:v>392.00377257605692</c:v>
                </c:pt>
                <c:pt idx="92">
                  <c:v>392.00377257605692</c:v>
                </c:pt>
                <c:pt idx="93">
                  <c:v>493.89549345236594</c:v>
                </c:pt>
                <c:pt idx="94">
                  <c:v>293.66975814369101</c:v>
                </c:pt>
                <c:pt idx="95">
                  <c:v>220.00279814001337</c:v>
                </c:pt>
                <c:pt idx="96">
                  <c:v>349.23506143398839</c:v>
                </c:pt>
                <c:pt idx="97">
                  <c:v>392.00377257605692</c:v>
                </c:pt>
                <c:pt idx="98">
                  <c:v>293.66975814369101</c:v>
                </c:pt>
                <c:pt idx="99">
                  <c:v>392.00377257605692</c:v>
                </c:pt>
                <c:pt idx="100">
                  <c:v>493.89549345236594</c:v>
                </c:pt>
                <c:pt idx="101">
                  <c:v>293.66975814369101</c:v>
                </c:pt>
                <c:pt idx="102">
                  <c:v>392.00377257605692</c:v>
                </c:pt>
                <c:pt idx="103">
                  <c:v>392.00377257605692</c:v>
                </c:pt>
                <c:pt idx="104">
                  <c:v>493.89549345236594</c:v>
                </c:pt>
                <c:pt idx="105">
                  <c:v>293.66975814369101</c:v>
                </c:pt>
                <c:pt idx="106">
                  <c:v>220.00279814001337</c:v>
                </c:pt>
                <c:pt idx="107">
                  <c:v>329.63372180082422</c:v>
                </c:pt>
                <c:pt idx="108">
                  <c:v>349.23506143398839</c:v>
                </c:pt>
                <c:pt idx="109">
                  <c:v>293.66975814369101</c:v>
                </c:pt>
                <c:pt idx="110">
                  <c:v>349.23506143398839</c:v>
                </c:pt>
                <c:pt idx="111">
                  <c:v>440.01010976071973</c:v>
                </c:pt>
                <c:pt idx="112">
                  <c:v>293.66975814369101</c:v>
                </c:pt>
                <c:pt idx="113">
                  <c:v>349.23506143398839</c:v>
                </c:pt>
                <c:pt idx="114">
                  <c:v>392.00377257605692</c:v>
                </c:pt>
                <c:pt idx="115">
                  <c:v>440.01010976071973</c:v>
                </c:pt>
                <c:pt idx="116">
                  <c:v>293.66975814369101</c:v>
                </c:pt>
                <c:pt idx="117">
                  <c:v>220.00279814001337</c:v>
                </c:pt>
                <c:pt idx="118">
                  <c:v>246.94521361646048</c:v>
                </c:pt>
                <c:pt idx="119">
                  <c:v>261.62956379894968</c:v>
                </c:pt>
                <c:pt idx="120">
                  <c:v>293.66975814369101</c:v>
                </c:pt>
                <c:pt idx="121">
                  <c:v>261.62956379894968</c:v>
                </c:pt>
                <c:pt idx="122">
                  <c:v>329.63372180082422</c:v>
                </c:pt>
                <c:pt idx="123">
                  <c:v>293.66975814369101</c:v>
                </c:pt>
                <c:pt idx="124">
                  <c:v>261.62956379894968</c:v>
                </c:pt>
                <c:pt idx="125">
                  <c:v>392.00377257605692</c:v>
                </c:pt>
                <c:pt idx="126">
                  <c:v>329.63372180082422</c:v>
                </c:pt>
                <c:pt idx="127">
                  <c:v>293.66975814369101</c:v>
                </c:pt>
                <c:pt idx="128">
                  <c:v>220.00279814001337</c:v>
                </c:pt>
                <c:pt idx="129">
                  <c:v>349.23506143398839</c:v>
                </c:pt>
                <c:pt idx="130">
                  <c:v>392.00377257605692</c:v>
                </c:pt>
                <c:pt idx="131">
                  <c:v>293.66975814369101</c:v>
                </c:pt>
                <c:pt idx="132">
                  <c:v>392.00377257605692</c:v>
                </c:pt>
                <c:pt idx="133">
                  <c:v>493.89549345236594</c:v>
                </c:pt>
                <c:pt idx="134">
                  <c:v>293.66975814369101</c:v>
                </c:pt>
                <c:pt idx="135">
                  <c:v>392.00377257605692</c:v>
                </c:pt>
                <c:pt idx="136">
                  <c:v>392.00377257605692</c:v>
                </c:pt>
                <c:pt idx="137">
                  <c:v>493.89549345236594</c:v>
                </c:pt>
                <c:pt idx="138">
                  <c:v>293.66975814369101</c:v>
                </c:pt>
                <c:pt idx="139">
                  <c:v>220.00279814001337</c:v>
                </c:pt>
                <c:pt idx="140">
                  <c:v>349.23506143398839</c:v>
                </c:pt>
                <c:pt idx="141">
                  <c:v>392.00377257605692</c:v>
                </c:pt>
                <c:pt idx="142">
                  <c:v>293.66975814369101</c:v>
                </c:pt>
                <c:pt idx="143">
                  <c:v>392.00377257605692</c:v>
                </c:pt>
                <c:pt idx="144">
                  <c:v>493.89549345236594</c:v>
                </c:pt>
                <c:pt idx="145">
                  <c:v>293.66975814369101</c:v>
                </c:pt>
                <c:pt idx="146">
                  <c:v>392.00377257605692</c:v>
                </c:pt>
                <c:pt idx="147">
                  <c:v>392.00377257605692</c:v>
                </c:pt>
                <c:pt idx="148">
                  <c:v>493.89549345236594</c:v>
                </c:pt>
                <c:pt idx="149">
                  <c:v>293.66975814369101</c:v>
                </c:pt>
                <c:pt idx="150">
                  <c:v>220.00279814001337</c:v>
                </c:pt>
                <c:pt idx="151">
                  <c:v>329.63372180082422</c:v>
                </c:pt>
                <c:pt idx="152">
                  <c:v>349.23506143398839</c:v>
                </c:pt>
                <c:pt idx="153">
                  <c:v>293.66975814369101</c:v>
                </c:pt>
                <c:pt idx="154">
                  <c:v>349.23506143398839</c:v>
                </c:pt>
                <c:pt idx="155">
                  <c:v>440.01010976071973</c:v>
                </c:pt>
                <c:pt idx="156">
                  <c:v>293.66975814369101</c:v>
                </c:pt>
                <c:pt idx="157">
                  <c:v>349.23506143398839</c:v>
                </c:pt>
                <c:pt idx="158">
                  <c:v>392.00377257605692</c:v>
                </c:pt>
                <c:pt idx="159">
                  <c:v>440.01010976071973</c:v>
                </c:pt>
                <c:pt idx="160">
                  <c:v>293.66975814369101</c:v>
                </c:pt>
                <c:pt idx="161">
                  <c:v>220.00279814001337</c:v>
                </c:pt>
                <c:pt idx="162">
                  <c:v>246.94521361646048</c:v>
                </c:pt>
                <c:pt idx="163">
                  <c:v>261.62956379894968</c:v>
                </c:pt>
                <c:pt idx="164">
                  <c:v>293.66975814369101</c:v>
                </c:pt>
                <c:pt idx="165">
                  <c:v>261.62956379894968</c:v>
                </c:pt>
                <c:pt idx="166">
                  <c:v>329.63372180082422</c:v>
                </c:pt>
                <c:pt idx="167">
                  <c:v>293.66975814369101</c:v>
                </c:pt>
                <c:pt idx="168">
                  <c:v>261.62956379894968</c:v>
                </c:pt>
                <c:pt idx="169">
                  <c:v>392.00377257605692</c:v>
                </c:pt>
                <c:pt idx="170">
                  <c:v>329.63372180082422</c:v>
                </c:pt>
                <c:pt idx="171">
                  <c:v>293.66975814369101</c:v>
                </c:pt>
                <c:pt idx="172">
                  <c:v>220.00279814001337</c:v>
                </c:pt>
                <c:pt idx="173">
                  <c:v>349.23506143398839</c:v>
                </c:pt>
                <c:pt idx="174">
                  <c:v>392.00377257605692</c:v>
                </c:pt>
                <c:pt idx="175">
                  <c:v>293.66975814369101</c:v>
                </c:pt>
                <c:pt idx="176">
                  <c:v>392.00377257605692</c:v>
                </c:pt>
                <c:pt idx="177">
                  <c:v>493.89549345236594</c:v>
                </c:pt>
                <c:pt idx="178">
                  <c:v>293.66975814369101</c:v>
                </c:pt>
                <c:pt idx="179">
                  <c:v>392.00377257605692</c:v>
                </c:pt>
                <c:pt idx="180">
                  <c:v>392.00377257605692</c:v>
                </c:pt>
                <c:pt idx="181">
                  <c:v>493.89549345236594</c:v>
                </c:pt>
                <c:pt idx="182">
                  <c:v>293.66975814369101</c:v>
                </c:pt>
                <c:pt idx="183">
                  <c:v>220.00279814001337</c:v>
                </c:pt>
                <c:pt idx="184">
                  <c:v>349.23506143398839</c:v>
                </c:pt>
                <c:pt idx="185">
                  <c:v>392.00377257605692</c:v>
                </c:pt>
                <c:pt idx="186">
                  <c:v>293.66975814369101</c:v>
                </c:pt>
                <c:pt idx="187">
                  <c:v>392.00377257605692</c:v>
                </c:pt>
                <c:pt idx="188">
                  <c:v>493.89549345236594</c:v>
                </c:pt>
                <c:pt idx="189">
                  <c:v>293.66975814369101</c:v>
                </c:pt>
                <c:pt idx="190">
                  <c:v>392.00377257605692</c:v>
                </c:pt>
                <c:pt idx="191">
                  <c:v>392.00377257605692</c:v>
                </c:pt>
                <c:pt idx="192">
                  <c:v>493.89549345236594</c:v>
                </c:pt>
                <c:pt idx="193">
                  <c:v>293.66975814369101</c:v>
                </c:pt>
                <c:pt idx="194">
                  <c:v>220.00279814001337</c:v>
                </c:pt>
                <c:pt idx="195">
                  <c:v>329.63372180082422</c:v>
                </c:pt>
                <c:pt idx="196">
                  <c:v>349.23506143398839</c:v>
                </c:pt>
                <c:pt idx="197">
                  <c:v>293.66975814369101</c:v>
                </c:pt>
                <c:pt idx="198">
                  <c:v>349.23506143398839</c:v>
                </c:pt>
                <c:pt idx="199">
                  <c:v>440.01010976071973</c:v>
                </c:pt>
                <c:pt idx="200">
                  <c:v>293.66975814369101</c:v>
                </c:pt>
                <c:pt idx="201">
                  <c:v>349.23506143398839</c:v>
                </c:pt>
                <c:pt idx="202">
                  <c:v>392.00377257605692</c:v>
                </c:pt>
                <c:pt idx="203">
                  <c:v>440.01010976071973</c:v>
                </c:pt>
                <c:pt idx="204">
                  <c:v>293.66975814369101</c:v>
                </c:pt>
                <c:pt idx="205">
                  <c:v>220.00279814001337</c:v>
                </c:pt>
                <c:pt idx="206">
                  <c:v>246.94521361646048</c:v>
                </c:pt>
                <c:pt idx="207">
                  <c:v>261.62956379894968</c:v>
                </c:pt>
                <c:pt idx="208">
                  <c:v>293.66975814369101</c:v>
                </c:pt>
                <c:pt idx="209">
                  <c:v>261.62956379894968</c:v>
                </c:pt>
                <c:pt idx="210">
                  <c:v>329.63372180082422</c:v>
                </c:pt>
                <c:pt idx="211">
                  <c:v>293.66975814369101</c:v>
                </c:pt>
                <c:pt idx="212">
                  <c:v>261.62956379894968</c:v>
                </c:pt>
                <c:pt idx="213">
                  <c:v>392.00377257605692</c:v>
                </c:pt>
                <c:pt idx="214">
                  <c:v>329.63372180082422</c:v>
                </c:pt>
                <c:pt idx="215">
                  <c:v>293.66975814369101</c:v>
                </c:pt>
                <c:pt idx="216">
                  <c:v>220.00279814001337</c:v>
                </c:pt>
                <c:pt idx="217">
                  <c:v>233.08504452861115</c:v>
                </c:pt>
                <c:pt idx="218">
                  <c:v>246.94521361646048</c:v>
                </c:pt>
                <c:pt idx="219">
                  <c:v>293.66975814369101</c:v>
                </c:pt>
                <c:pt idx="220">
                  <c:v>493.89549345236594</c:v>
                </c:pt>
                <c:pt idx="221">
                  <c:v>392.00377257605692</c:v>
                </c:pt>
                <c:pt idx="222">
                  <c:v>220.00279814001337</c:v>
                </c:pt>
                <c:pt idx="223">
                  <c:v>233.08504452861115</c:v>
                </c:pt>
                <c:pt idx="224">
                  <c:v>246.94521361646048</c:v>
                </c:pt>
                <c:pt idx="225">
                  <c:v>293.66975814369101</c:v>
                </c:pt>
                <c:pt idx="226">
                  <c:v>493.89549345236594</c:v>
                </c:pt>
                <c:pt idx="227">
                  <c:v>392.00377257605692</c:v>
                </c:pt>
                <c:pt idx="228">
                  <c:v>220.00279814001337</c:v>
                </c:pt>
                <c:pt idx="229">
                  <c:v>233.08504452861115</c:v>
                </c:pt>
                <c:pt idx="230">
                  <c:v>246.94521361646048</c:v>
                </c:pt>
                <c:pt idx="231">
                  <c:v>293.66975814369101</c:v>
                </c:pt>
                <c:pt idx="232">
                  <c:v>493.89549345236594</c:v>
                </c:pt>
                <c:pt idx="233">
                  <c:v>392.00377257605692</c:v>
                </c:pt>
                <c:pt idx="234">
                  <c:v>220.00279814001337</c:v>
                </c:pt>
                <c:pt idx="235">
                  <c:v>233.08504452861115</c:v>
                </c:pt>
                <c:pt idx="236">
                  <c:v>246.94521361646048</c:v>
                </c:pt>
                <c:pt idx="237">
                  <c:v>293.66975814369101</c:v>
                </c:pt>
                <c:pt idx="238">
                  <c:v>493.89549345236594</c:v>
                </c:pt>
                <c:pt idx="239">
                  <c:v>392.00377257605692</c:v>
                </c:pt>
                <c:pt idx="240">
                  <c:v>164.8151702626221</c:v>
                </c:pt>
                <c:pt idx="241">
                  <c:v>174.61573954711864</c:v>
                </c:pt>
                <c:pt idx="242">
                  <c:v>195.99987576438383</c:v>
                </c:pt>
                <c:pt idx="243">
                  <c:v>293.66975814369101</c:v>
                </c:pt>
                <c:pt idx="244">
                  <c:v>164.8151702626221</c:v>
                </c:pt>
                <c:pt idx="245">
                  <c:v>195.99987576438383</c:v>
                </c:pt>
                <c:pt idx="246">
                  <c:v>220.00279814001337</c:v>
                </c:pt>
                <c:pt idx="247">
                  <c:v>293.66975814369101</c:v>
                </c:pt>
                <c:pt idx="248">
                  <c:v>164.8151702626221</c:v>
                </c:pt>
                <c:pt idx="249">
                  <c:v>220.00279814001337</c:v>
                </c:pt>
                <c:pt idx="250">
                  <c:v>246.94521361646048</c:v>
                </c:pt>
                <c:pt idx="251">
                  <c:v>293.66975814369101</c:v>
                </c:pt>
                <c:pt idx="252">
                  <c:v>164.8151702626221</c:v>
                </c:pt>
                <c:pt idx="253">
                  <c:v>195.99987576438383</c:v>
                </c:pt>
                <c:pt idx="254">
                  <c:v>246.94521361646048</c:v>
                </c:pt>
                <c:pt idx="255">
                  <c:v>293.66975814369101</c:v>
                </c:pt>
                <c:pt idx="256">
                  <c:v>164.8151702626221</c:v>
                </c:pt>
                <c:pt idx="257">
                  <c:v>174.61573954711864</c:v>
                </c:pt>
                <c:pt idx="258">
                  <c:v>195.99987576438383</c:v>
                </c:pt>
                <c:pt idx="259">
                  <c:v>293.66975814369101</c:v>
                </c:pt>
                <c:pt idx="260">
                  <c:v>195.99987576438383</c:v>
                </c:pt>
                <c:pt idx="261">
                  <c:v>392.00377257605692</c:v>
                </c:pt>
                <c:pt idx="262">
                  <c:v>195.99987576438383</c:v>
                </c:pt>
                <c:pt idx="263">
                  <c:v>293.66975814369101</c:v>
                </c:pt>
                <c:pt idx="264">
                  <c:v>195.99987576438383</c:v>
                </c:pt>
                <c:pt idx="265">
                  <c:v>293.66975814369101</c:v>
                </c:pt>
                <c:pt idx="266">
                  <c:v>164.8151702626221</c:v>
                </c:pt>
                <c:pt idx="267">
                  <c:v>174.61573954711864</c:v>
                </c:pt>
                <c:pt idx="268">
                  <c:v>195.99987576438383</c:v>
                </c:pt>
                <c:pt idx="269">
                  <c:v>293.66975814369101</c:v>
                </c:pt>
                <c:pt idx="270">
                  <c:v>164.8151702626221</c:v>
                </c:pt>
                <c:pt idx="271">
                  <c:v>195.99987576438383</c:v>
                </c:pt>
                <c:pt idx="272">
                  <c:v>220.00279814001337</c:v>
                </c:pt>
                <c:pt idx="273">
                  <c:v>293.66975814369101</c:v>
                </c:pt>
                <c:pt idx="274">
                  <c:v>164.8151702626221</c:v>
                </c:pt>
                <c:pt idx="275">
                  <c:v>220.00279814001337</c:v>
                </c:pt>
                <c:pt idx="276">
                  <c:v>246.94521361646048</c:v>
                </c:pt>
                <c:pt idx="277">
                  <c:v>293.66975814369101</c:v>
                </c:pt>
                <c:pt idx="278">
                  <c:v>164.8151702626221</c:v>
                </c:pt>
                <c:pt idx="279">
                  <c:v>195.99987576438383</c:v>
                </c:pt>
                <c:pt idx="280">
                  <c:v>246.94521361646048</c:v>
                </c:pt>
                <c:pt idx="281">
                  <c:v>293.66975814369101</c:v>
                </c:pt>
                <c:pt idx="282">
                  <c:v>164.8151702626221</c:v>
                </c:pt>
                <c:pt idx="283">
                  <c:v>174.61573954711864</c:v>
                </c:pt>
                <c:pt idx="284">
                  <c:v>195.99987576438383</c:v>
                </c:pt>
                <c:pt idx="285">
                  <c:v>293.66975814369101</c:v>
                </c:pt>
                <c:pt idx="286">
                  <c:v>195.99987576438383</c:v>
                </c:pt>
                <c:pt idx="287">
                  <c:v>392.00377257605692</c:v>
                </c:pt>
                <c:pt idx="288">
                  <c:v>195.99987576438383</c:v>
                </c:pt>
                <c:pt idx="289">
                  <c:v>293.66975814369101</c:v>
                </c:pt>
                <c:pt idx="290">
                  <c:v>195.99987576438383</c:v>
                </c:pt>
                <c:pt idx="291">
                  <c:v>293.66975814369101</c:v>
                </c:pt>
                <c:pt idx="292">
                  <c:v>164.8151702626221</c:v>
                </c:pt>
                <c:pt idx="293">
                  <c:v>174.61573954711864</c:v>
                </c:pt>
                <c:pt idx="294">
                  <c:v>195.99987576438383</c:v>
                </c:pt>
                <c:pt idx="295">
                  <c:v>293.66975814369101</c:v>
                </c:pt>
                <c:pt idx="296">
                  <c:v>164.8151702626221</c:v>
                </c:pt>
                <c:pt idx="297">
                  <c:v>195.99987576438383</c:v>
                </c:pt>
                <c:pt idx="298">
                  <c:v>220.00279814001337</c:v>
                </c:pt>
                <c:pt idx="299">
                  <c:v>293.66975814369101</c:v>
                </c:pt>
                <c:pt idx="300">
                  <c:v>164.8151702626221</c:v>
                </c:pt>
                <c:pt idx="301">
                  <c:v>220.00279814001337</c:v>
                </c:pt>
                <c:pt idx="302">
                  <c:v>246.94521361646048</c:v>
                </c:pt>
                <c:pt idx="303">
                  <c:v>293.66975814369101</c:v>
                </c:pt>
                <c:pt idx="304">
                  <c:v>164.8151702626221</c:v>
                </c:pt>
                <c:pt idx="305">
                  <c:v>195.99987576438383</c:v>
                </c:pt>
                <c:pt idx="306">
                  <c:v>246.94521361646048</c:v>
                </c:pt>
                <c:pt idx="307">
                  <c:v>293.66975814369101</c:v>
                </c:pt>
                <c:pt idx="308">
                  <c:v>164.8151702626221</c:v>
                </c:pt>
                <c:pt idx="309">
                  <c:v>174.61573954711864</c:v>
                </c:pt>
                <c:pt idx="310">
                  <c:v>195.99987576438383</c:v>
                </c:pt>
                <c:pt idx="311">
                  <c:v>293.66975814369101</c:v>
                </c:pt>
                <c:pt idx="312">
                  <c:v>195.99987576438383</c:v>
                </c:pt>
                <c:pt idx="313">
                  <c:v>392.00377257605692</c:v>
                </c:pt>
                <c:pt idx="314">
                  <c:v>195.99987576438383</c:v>
                </c:pt>
                <c:pt idx="315">
                  <c:v>293.66975814369101</c:v>
                </c:pt>
                <c:pt idx="316">
                  <c:v>195.99987576438383</c:v>
                </c:pt>
                <c:pt idx="317">
                  <c:v>293.66975814369101</c:v>
                </c:pt>
                <c:pt idx="318">
                  <c:v>164.8151702626221</c:v>
                </c:pt>
                <c:pt idx="319">
                  <c:v>174.61573954711864</c:v>
                </c:pt>
                <c:pt idx="320">
                  <c:v>195.99987576438383</c:v>
                </c:pt>
                <c:pt idx="321">
                  <c:v>293.66975814369101</c:v>
                </c:pt>
                <c:pt idx="322">
                  <c:v>164.8151702626221</c:v>
                </c:pt>
                <c:pt idx="323">
                  <c:v>195.99987576438383</c:v>
                </c:pt>
                <c:pt idx="324">
                  <c:v>220.00279814001337</c:v>
                </c:pt>
                <c:pt idx="325">
                  <c:v>293.66975814369101</c:v>
                </c:pt>
                <c:pt idx="326">
                  <c:v>164.8151702626221</c:v>
                </c:pt>
                <c:pt idx="327">
                  <c:v>220.00279814001337</c:v>
                </c:pt>
                <c:pt idx="328">
                  <c:v>246.94521361646048</c:v>
                </c:pt>
                <c:pt idx="329">
                  <c:v>293.66975814369101</c:v>
                </c:pt>
                <c:pt idx="330">
                  <c:v>164.8151702626221</c:v>
                </c:pt>
                <c:pt idx="331">
                  <c:v>195.99987576438383</c:v>
                </c:pt>
                <c:pt idx="332">
                  <c:v>246.94521361646048</c:v>
                </c:pt>
                <c:pt idx="333">
                  <c:v>293.66975814369101</c:v>
                </c:pt>
                <c:pt idx="334">
                  <c:v>164.8151702626221</c:v>
                </c:pt>
                <c:pt idx="335">
                  <c:v>174.61573954711864</c:v>
                </c:pt>
                <c:pt idx="336">
                  <c:v>195.99987576438383</c:v>
                </c:pt>
                <c:pt idx="337">
                  <c:v>293.66975814369101</c:v>
                </c:pt>
                <c:pt idx="338">
                  <c:v>195.99987576438383</c:v>
                </c:pt>
                <c:pt idx="339">
                  <c:v>392.00377257605692</c:v>
                </c:pt>
                <c:pt idx="340">
                  <c:v>195.99987576438383</c:v>
                </c:pt>
                <c:pt idx="341">
                  <c:v>293.66975814369101</c:v>
                </c:pt>
                <c:pt idx="342">
                  <c:v>195.99987576438383</c:v>
                </c:pt>
                <c:pt idx="343">
                  <c:v>293.66975814369101</c:v>
                </c:pt>
                <c:pt idx="344">
                  <c:v>220.00279814001337</c:v>
                </c:pt>
                <c:pt idx="345">
                  <c:v>349.23506143398839</c:v>
                </c:pt>
                <c:pt idx="346">
                  <c:v>392.00377257605692</c:v>
                </c:pt>
                <c:pt idx="347">
                  <c:v>293.66975814369101</c:v>
                </c:pt>
                <c:pt idx="348">
                  <c:v>392.00377257605692</c:v>
                </c:pt>
                <c:pt idx="349">
                  <c:v>493.89549345236594</c:v>
                </c:pt>
                <c:pt idx="350">
                  <c:v>293.66975814369101</c:v>
                </c:pt>
                <c:pt idx="351">
                  <c:v>392.00377257605692</c:v>
                </c:pt>
                <c:pt idx="352">
                  <c:v>392.00377257605692</c:v>
                </c:pt>
                <c:pt idx="353">
                  <c:v>493.89549345236594</c:v>
                </c:pt>
                <c:pt idx="354">
                  <c:v>293.66975814369101</c:v>
                </c:pt>
                <c:pt idx="355">
                  <c:v>220.00279814001337</c:v>
                </c:pt>
                <c:pt idx="356">
                  <c:v>349.23506143398839</c:v>
                </c:pt>
                <c:pt idx="357">
                  <c:v>392.00377257605692</c:v>
                </c:pt>
                <c:pt idx="358">
                  <c:v>293.66975814369101</c:v>
                </c:pt>
                <c:pt idx="359">
                  <c:v>392.00377257605692</c:v>
                </c:pt>
                <c:pt idx="360">
                  <c:v>493.89549345236594</c:v>
                </c:pt>
                <c:pt idx="361">
                  <c:v>293.66975814369101</c:v>
                </c:pt>
                <c:pt idx="362">
                  <c:v>392.00377257605692</c:v>
                </c:pt>
                <c:pt idx="363">
                  <c:v>392.00377257605692</c:v>
                </c:pt>
                <c:pt idx="364">
                  <c:v>493.89549345236594</c:v>
                </c:pt>
                <c:pt idx="365">
                  <c:v>293.66975814369101</c:v>
                </c:pt>
                <c:pt idx="366">
                  <c:v>220.00279814001337</c:v>
                </c:pt>
                <c:pt idx="367">
                  <c:v>329.63372180082422</c:v>
                </c:pt>
                <c:pt idx="368">
                  <c:v>349.23506143398839</c:v>
                </c:pt>
                <c:pt idx="369">
                  <c:v>293.66975814369101</c:v>
                </c:pt>
                <c:pt idx="370">
                  <c:v>349.23506143398839</c:v>
                </c:pt>
                <c:pt idx="371">
                  <c:v>440.01010976071973</c:v>
                </c:pt>
                <c:pt idx="372">
                  <c:v>293.66975814369101</c:v>
                </c:pt>
                <c:pt idx="373">
                  <c:v>349.23506143398839</c:v>
                </c:pt>
                <c:pt idx="374">
                  <c:v>392.00377257605692</c:v>
                </c:pt>
                <c:pt idx="375">
                  <c:v>440.01010976071973</c:v>
                </c:pt>
                <c:pt idx="376">
                  <c:v>293.66975814369101</c:v>
                </c:pt>
                <c:pt idx="377">
                  <c:v>220.00279814001337</c:v>
                </c:pt>
                <c:pt idx="378">
                  <c:v>246.94521361646048</c:v>
                </c:pt>
                <c:pt idx="379">
                  <c:v>261.62956379894968</c:v>
                </c:pt>
                <c:pt idx="380">
                  <c:v>293.66975814369101</c:v>
                </c:pt>
                <c:pt idx="381">
                  <c:v>261.62956379894968</c:v>
                </c:pt>
                <c:pt idx="382">
                  <c:v>329.63372180082422</c:v>
                </c:pt>
                <c:pt idx="383">
                  <c:v>293.66975814369101</c:v>
                </c:pt>
                <c:pt idx="384">
                  <c:v>261.62956379894968</c:v>
                </c:pt>
                <c:pt idx="385">
                  <c:v>392.00377257605692</c:v>
                </c:pt>
                <c:pt idx="386">
                  <c:v>329.63372180082422</c:v>
                </c:pt>
                <c:pt idx="387">
                  <c:v>293.66975814369101</c:v>
                </c:pt>
                <c:pt idx="388">
                  <c:v>220.00279814001337</c:v>
                </c:pt>
                <c:pt idx="389">
                  <c:v>349.23506143398839</c:v>
                </c:pt>
                <c:pt idx="390">
                  <c:v>392.00377257605692</c:v>
                </c:pt>
                <c:pt idx="391">
                  <c:v>293.66975814369101</c:v>
                </c:pt>
                <c:pt idx="392">
                  <c:v>392.00377257605692</c:v>
                </c:pt>
                <c:pt idx="393">
                  <c:v>493.89549345236594</c:v>
                </c:pt>
                <c:pt idx="394">
                  <c:v>293.66975814369101</c:v>
                </c:pt>
                <c:pt idx="395">
                  <c:v>392.00377257605692</c:v>
                </c:pt>
                <c:pt idx="396">
                  <c:v>392.00377257605692</c:v>
                </c:pt>
                <c:pt idx="397">
                  <c:v>493.89549345236594</c:v>
                </c:pt>
                <c:pt idx="398">
                  <c:v>293.66975814369101</c:v>
                </c:pt>
                <c:pt idx="399">
                  <c:v>220.00279814001337</c:v>
                </c:pt>
                <c:pt idx="400">
                  <c:v>349.23506143398839</c:v>
                </c:pt>
                <c:pt idx="401">
                  <c:v>392.00377257605692</c:v>
                </c:pt>
                <c:pt idx="402">
                  <c:v>293.66975814369101</c:v>
                </c:pt>
                <c:pt idx="403">
                  <c:v>392.00377257605692</c:v>
                </c:pt>
                <c:pt idx="404">
                  <c:v>493.89549345236594</c:v>
                </c:pt>
                <c:pt idx="405">
                  <c:v>293.66975814369101</c:v>
                </c:pt>
                <c:pt idx="406">
                  <c:v>392.00377257605692</c:v>
                </c:pt>
                <c:pt idx="407">
                  <c:v>392.00377257605692</c:v>
                </c:pt>
                <c:pt idx="408">
                  <c:v>493.89549345236594</c:v>
                </c:pt>
                <c:pt idx="409">
                  <c:v>293.66975814369101</c:v>
                </c:pt>
                <c:pt idx="410">
                  <c:v>220.00279814001337</c:v>
                </c:pt>
                <c:pt idx="411">
                  <c:v>329.63372180082422</c:v>
                </c:pt>
                <c:pt idx="412">
                  <c:v>349.23506143398839</c:v>
                </c:pt>
                <c:pt idx="413">
                  <c:v>293.66975814369101</c:v>
                </c:pt>
                <c:pt idx="414">
                  <c:v>349.23506143398839</c:v>
                </c:pt>
                <c:pt idx="415">
                  <c:v>440.01010976071973</c:v>
                </c:pt>
                <c:pt idx="416">
                  <c:v>293.66975814369101</c:v>
                </c:pt>
                <c:pt idx="417">
                  <c:v>349.23506143398839</c:v>
                </c:pt>
                <c:pt idx="418">
                  <c:v>392.00377257605692</c:v>
                </c:pt>
                <c:pt idx="419">
                  <c:v>440.01010976071973</c:v>
                </c:pt>
                <c:pt idx="420">
                  <c:v>293.66975814369101</c:v>
                </c:pt>
                <c:pt idx="421">
                  <c:v>220.00279814001337</c:v>
                </c:pt>
                <c:pt idx="422">
                  <c:v>246.94521361646048</c:v>
                </c:pt>
                <c:pt idx="423">
                  <c:v>261.62956379894968</c:v>
                </c:pt>
                <c:pt idx="424">
                  <c:v>293.66975814369101</c:v>
                </c:pt>
                <c:pt idx="425">
                  <c:v>261.62956379894968</c:v>
                </c:pt>
                <c:pt idx="426">
                  <c:v>329.63372180082422</c:v>
                </c:pt>
                <c:pt idx="427">
                  <c:v>293.66975814369101</c:v>
                </c:pt>
                <c:pt idx="428">
                  <c:v>261.62956379894968</c:v>
                </c:pt>
                <c:pt idx="429">
                  <c:v>392.00377257605692</c:v>
                </c:pt>
                <c:pt idx="430">
                  <c:v>329.63372180082422</c:v>
                </c:pt>
                <c:pt idx="431">
                  <c:v>293.66975814369101</c:v>
                </c:pt>
                <c:pt idx="432">
                  <c:v>220.00279814001337</c:v>
                </c:pt>
                <c:pt idx="433">
                  <c:v>349.23506143398839</c:v>
                </c:pt>
                <c:pt idx="434">
                  <c:v>392.00377257605692</c:v>
                </c:pt>
                <c:pt idx="435">
                  <c:v>293.66975814369101</c:v>
                </c:pt>
                <c:pt idx="436">
                  <c:v>392.00377257605692</c:v>
                </c:pt>
                <c:pt idx="437">
                  <c:v>493.89549345236594</c:v>
                </c:pt>
                <c:pt idx="438">
                  <c:v>293.66975814369101</c:v>
                </c:pt>
                <c:pt idx="439">
                  <c:v>392.00377257605692</c:v>
                </c:pt>
                <c:pt idx="440">
                  <c:v>392.00377257605692</c:v>
                </c:pt>
                <c:pt idx="441">
                  <c:v>493.89549345236594</c:v>
                </c:pt>
                <c:pt idx="442">
                  <c:v>293.66975814369101</c:v>
                </c:pt>
                <c:pt idx="443">
                  <c:v>220.00279814001337</c:v>
                </c:pt>
                <c:pt idx="444">
                  <c:v>349.23506143398839</c:v>
                </c:pt>
                <c:pt idx="445">
                  <c:v>392.00377257605692</c:v>
                </c:pt>
                <c:pt idx="446">
                  <c:v>293.66975814369101</c:v>
                </c:pt>
                <c:pt idx="447">
                  <c:v>392.00377257605692</c:v>
                </c:pt>
                <c:pt idx="448">
                  <c:v>493.89549345236594</c:v>
                </c:pt>
                <c:pt idx="449">
                  <c:v>293.66975814369101</c:v>
                </c:pt>
                <c:pt idx="450">
                  <c:v>392.00377257605692</c:v>
                </c:pt>
                <c:pt idx="451">
                  <c:v>392.00377257605692</c:v>
                </c:pt>
                <c:pt idx="452">
                  <c:v>493.89549345236594</c:v>
                </c:pt>
                <c:pt idx="453">
                  <c:v>293.66975814369101</c:v>
                </c:pt>
                <c:pt idx="454">
                  <c:v>220.00279814001337</c:v>
                </c:pt>
                <c:pt idx="455">
                  <c:v>329.63372180082422</c:v>
                </c:pt>
                <c:pt idx="456">
                  <c:v>349.23506143398839</c:v>
                </c:pt>
                <c:pt idx="457">
                  <c:v>293.66975814369101</c:v>
                </c:pt>
                <c:pt idx="458">
                  <c:v>349.23506143398839</c:v>
                </c:pt>
                <c:pt idx="459">
                  <c:v>440.01010976071973</c:v>
                </c:pt>
                <c:pt idx="460">
                  <c:v>293.66975814369101</c:v>
                </c:pt>
                <c:pt idx="461">
                  <c:v>349.23506143398839</c:v>
                </c:pt>
                <c:pt idx="462">
                  <c:v>392.00377257605692</c:v>
                </c:pt>
                <c:pt idx="463">
                  <c:v>440.01010976071973</c:v>
                </c:pt>
                <c:pt idx="464">
                  <c:v>293.66975814369101</c:v>
                </c:pt>
                <c:pt idx="465">
                  <c:v>220.00279814001337</c:v>
                </c:pt>
                <c:pt idx="466">
                  <c:v>246.94521361646048</c:v>
                </c:pt>
                <c:pt idx="467">
                  <c:v>261.62956379894968</c:v>
                </c:pt>
                <c:pt idx="468">
                  <c:v>293.66975814369101</c:v>
                </c:pt>
                <c:pt idx="469">
                  <c:v>261.62956379894968</c:v>
                </c:pt>
                <c:pt idx="470">
                  <c:v>329.63372180082422</c:v>
                </c:pt>
                <c:pt idx="471">
                  <c:v>293.66975814369101</c:v>
                </c:pt>
                <c:pt idx="472">
                  <c:v>261.62956379894968</c:v>
                </c:pt>
                <c:pt idx="473">
                  <c:v>392.00377257605692</c:v>
                </c:pt>
                <c:pt idx="474">
                  <c:v>329.63372180082422</c:v>
                </c:pt>
                <c:pt idx="475">
                  <c:v>293.66975814369101</c:v>
                </c:pt>
                <c:pt idx="476">
                  <c:v>220.00279814001337</c:v>
                </c:pt>
                <c:pt idx="477">
                  <c:v>349.23506143398839</c:v>
                </c:pt>
                <c:pt idx="478">
                  <c:v>392.00377257605692</c:v>
                </c:pt>
                <c:pt idx="479">
                  <c:v>293.66975814369101</c:v>
                </c:pt>
                <c:pt idx="480">
                  <c:v>392.00377257605692</c:v>
                </c:pt>
                <c:pt idx="481">
                  <c:v>493.89549345236594</c:v>
                </c:pt>
                <c:pt idx="482">
                  <c:v>293.66975814369101</c:v>
                </c:pt>
                <c:pt idx="483">
                  <c:v>392.00377257605692</c:v>
                </c:pt>
                <c:pt idx="484">
                  <c:v>392.00377257605692</c:v>
                </c:pt>
                <c:pt idx="485">
                  <c:v>493.89549345236594</c:v>
                </c:pt>
                <c:pt idx="486">
                  <c:v>293.66975814369101</c:v>
                </c:pt>
                <c:pt idx="487">
                  <c:v>220.00279814001337</c:v>
                </c:pt>
                <c:pt idx="488">
                  <c:v>349.23506143398839</c:v>
                </c:pt>
                <c:pt idx="489">
                  <c:v>392.00377257605692</c:v>
                </c:pt>
                <c:pt idx="490">
                  <c:v>293.66975814369101</c:v>
                </c:pt>
                <c:pt idx="491">
                  <c:v>392.00377257605692</c:v>
                </c:pt>
                <c:pt idx="492">
                  <c:v>493.89549345236594</c:v>
                </c:pt>
                <c:pt idx="493">
                  <c:v>293.66975814369101</c:v>
                </c:pt>
                <c:pt idx="494">
                  <c:v>392.00377257605692</c:v>
                </c:pt>
                <c:pt idx="495">
                  <c:v>392.00377257605692</c:v>
                </c:pt>
                <c:pt idx="496">
                  <c:v>493.89549345236594</c:v>
                </c:pt>
                <c:pt idx="497">
                  <c:v>293.66975814369101</c:v>
                </c:pt>
                <c:pt idx="498">
                  <c:v>220.00279814001337</c:v>
                </c:pt>
                <c:pt idx="499">
                  <c:v>329.63372180082422</c:v>
                </c:pt>
                <c:pt idx="500">
                  <c:v>349.23506143398839</c:v>
                </c:pt>
                <c:pt idx="501">
                  <c:v>293.66975814369101</c:v>
                </c:pt>
                <c:pt idx="502">
                  <c:v>349.23506143398839</c:v>
                </c:pt>
                <c:pt idx="503">
                  <c:v>440.01010976071973</c:v>
                </c:pt>
                <c:pt idx="504">
                  <c:v>293.66975814369101</c:v>
                </c:pt>
                <c:pt idx="505">
                  <c:v>349.23506143398839</c:v>
                </c:pt>
                <c:pt idx="506">
                  <c:v>392.00377257605692</c:v>
                </c:pt>
                <c:pt idx="507">
                  <c:v>440.01010976071973</c:v>
                </c:pt>
                <c:pt idx="508">
                  <c:v>293.66975814369101</c:v>
                </c:pt>
                <c:pt idx="509">
                  <c:v>220.00279814001337</c:v>
                </c:pt>
                <c:pt idx="510">
                  <c:v>246.94521361646048</c:v>
                </c:pt>
                <c:pt idx="511">
                  <c:v>261.62956379894968</c:v>
                </c:pt>
                <c:pt idx="512">
                  <c:v>293.66975814369101</c:v>
                </c:pt>
                <c:pt idx="513">
                  <c:v>261.62956379894968</c:v>
                </c:pt>
                <c:pt idx="514">
                  <c:v>329.63372180082422</c:v>
                </c:pt>
                <c:pt idx="515">
                  <c:v>293.66975814369101</c:v>
                </c:pt>
                <c:pt idx="516">
                  <c:v>261.62956379894968</c:v>
                </c:pt>
                <c:pt idx="517">
                  <c:v>392.00377257605692</c:v>
                </c:pt>
                <c:pt idx="518">
                  <c:v>329.63372180082422</c:v>
                </c:pt>
                <c:pt idx="519">
                  <c:v>293.66975814369101</c:v>
                </c:pt>
                <c:pt idx="520">
                  <c:v>220.00279814001337</c:v>
                </c:pt>
                <c:pt idx="521">
                  <c:v>233.08504452861115</c:v>
                </c:pt>
                <c:pt idx="522">
                  <c:v>246.94521361646048</c:v>
                </c:pt>
                <c:pt idx="523">
                  <c:v>293.66975814369101</c:v>
                </c:pt>
                <c:pt idx="524">
                  <c:v>493.89549345236594</c:v>
                </c:pt>
                <c:pt idx="525">
                  <c:v>392.00377257605692</c:v>
                </c:pt>
                <c:pt idx="526">
                  <c:v>220.00279814001337</c:v>
                </c:pt>
                <c:pt idx="527">
                  <c:v>233.08504452861115</c:v>
                </c:pt>
                <c:pt idx="528">
                  <c:v>246.94521361646048</c:v>
                </c:pt>
                <c:pt idx="529">
                  <c:v>293.66975814369101</c:v>
                </c:pt>
                <c:pt idx="530">
                  <c:v>493.89549345236594</c:v>
                </c:pt>
                <c:pt idx="531">
                  <c:v>392.00377257605692</c:v>
                </c:pt>
                <c:pt idx="532">
                  <c:v>220.00279814001337</c:v>
                </c:pt>
                <c:pt idx="533">
                  <c:v>233.08504452861115</c:v>
                </c:pt>
                <c:pt idx="534">
                  <c:v>246.94521361646048</c:v>
                </c:pt>
                <c:pt idx="535">
                  <c:v>293.66975814369101</c:v>
                </c:pt>
                <c:pt idx="536">
                  <c:v>493.89549345236594</c:v>
                </c:pt>
                <c:pt idx="537">
                  <c:v>392.00377257605692</c:v>
                </c:pt>
                <c:pt idx="538">
                  <c:v>220.00279814001337</c:v>
                </c:pt>
                <c:pt idx="539">
                  <c:v>233.08504452861115</c:v>
                </c:pt>
                <c:pt idx="540">
                  <c:v>246.94521361646048</c:v>
                </c:pt>
                <c:pt idx="541">
                  <c:v>293.66975814369101</c:v>
                </c:pt>
                <c:pt idx="542">
                  <c:v>493.89549345236594</c:v>
                </c:pt>
                <c:pt idx="543">
                  <c:v>392.00377257605692</c:v>
                </c:pt>
                <c:pt idx="544">
                  <c:v>164.8151702626221</c:v>
                </c:pt>
                <c:pt idx="545">
                  <c:v>174.61573954711864</c:v>
                </c:pt>
                <c:pt idx="546">
                  <c:v>195.99987576438383</c:v>
                </c:pt>
                <c:pt idx="547">
                  <c:v>293.66975814369101</c:v>
                </c:pt>
                <c:pt idx="548">
                  <c:v>164.8151702626221</c:v>
                </c:pt>
                <c:pt idx="549">
                  <c:v>195.99987576438383</c:v>
                </c:pt>
                <c:pt idx="550">
                  <c:v>220.00279814001337</c:v>
                </c:pt>
                <c:pt idx="551">
                  <c:v>293.66975814369101</c:v>
                </c:pt>
                <c:pt idx="552">
                  <c:v>164.8151702626221</c:v>
                </c:pt>
                <c:pt idx="553">
                  <c:v>220.00279814001337</c:v>
                </c:pt>
                <c:pt idx="554">
                  <c:v>246.94521361646048</c:v>
                </c:pt>
                <c:pt idx="555">
                  <c:v>293.66975814369101</c:v>
                </c:pt>
                <c:pt idx="556">
                  <c:v>164.8151702626221</c:v>
                </c:pt>
                <c:pt idx="557">
                  <c:v>195.99987576438383</c:v>
                </c:pt>
                <c:pt idx="558">
                  <c:v>220.00279814001337</c:v>
                </c:pt>
                <c:pt idx="559">
                  <c:v>293.66975814369101</c:v>
                </c:pt>
                <c:pt idx="560">
                  <c:v>164.8151702626221</c:v>
                </c:pt>
                <c:pt idx="561">
                  <c:v>174.61573954711864</c:v>
                </c:pt>
                <c:pt idx="562">
                  <c:v>195.99987576438383</c:v>
                </c:pt>
                <c:pt idx="563">
                  <c:v>293.66975814369101</c:v>
                </c:pt>
                <c:pt idx="564">
                  <c:v>195.99987576438383</c:v>
                </c:pt>
                <c:pt idx="565">
                  <c:v>392.00377257605692</c:v>
                </c:pt>
                <c:pt idx="566">
                  <c:v>195.99987576438383</c:v>
                </c:pt>
                <c:pt idx="567">
                  <c:v>392.00377257605692</c:v>
                </c:pt>
                <c:pt idx="568">
                  <c:v>195.99987576438383</c:v>
                </c:pt>
                <c:pt idx="569">
                  <c:v>392.00377257605692</c:v>
                </c:pt>
                <c:pt idx="570">
                  <c:v>164.8151702626221</c:v>
                </c:pt>
                <c:pt idx="571">
                  <c:v>174.61573954711864</c:v>
                </c:pt>
                <c:pt idx="572">
                  <c:v>195.99987576438383</c:v>
                </c:pt>
                <c:pt idx="573">
                  <c:v>293.66975814369101</c:v>
                </c:pt>
                <c:pt idx="574">
                  <c:v>164.8151702626221</c:v>
                </c:pt>
                <c:pt idx="575">
                  <c:v>195.99987576438383</c:v>
                </c:pt>
                <c:pt idx="576">
                  <c:v>220.00279814001337</c:v>
                </c:pt>
                <c:pt idx="577">
                  <c:v>293.66975814369101</c:v>
                </c:pt>
                <c:pt idx="578">
                  <c:v>164.8151702626221</c:v>
                </c:pt>
                <c:pt idx="579">
                  <c:v>220.00279814001337</c:v>
                </c:pt>
                <c:pt idx="580">
                  <c:v>246.94521361646048</c:v>
                </c:pt>
                <c:pt idx="581">
                  <c:v>293.66975814369101</c:v>
                </c:pt>
                <c:pt idx="582">
                  <c:v>164.8151702626221</c:v>
                </c:pt>
                <c:pt idx="583">
                  <c:v>195.99987576438383</c:v>
                </c:pt>
                <c:pt idx="584">
                  <c:v>220.00279814001337</c:v>
                </c:pt>
                <c:pt idx="585">
                  <c:v>293.66975814369101</c:v>
                </c:pt>
                <c:pt idx="586">
                  <c:v>164.8151702626221</c:v>
                </c:pt>
                <c:pt idx="587">
                  <c:v>174.61573954711864</c:v>
                </c:pt>
                <c:pt idx="588">
                  <c:v>195.99987576438383</c:v>
                </c:pt>
                <c:pt idx="589">
                  <c:v>293.66975814369101</c:v>
                </c:pt>
                <c:pt idx="590">
                  <c:v>195.99987576438383</c:v>
                </c:pt>
                <c:pt idx="591">
                  <c:v>392.00377257605692</c:v>
                </c:pt>
                <c:pt idx="592">
                  <c:v>195.99987576438383</c:v>
                </c:pt>
                <c:pt idx="593">
                  <c:v>392.00377257605692</c:v>
                </c:pt>
                <c:pt idx="594">
                  <c:v>195.99987576438383</c:v>
                </c:pt>
                <c:pt idx="595">
                  <c:v>392.00377257605692</c:v>
                </c:pt>
                <c:pt idx="596">
                  <c:v>164.8151702626221</c:v>
                </c:pt>
                <c:pt idx="597">
                  <c:v>174.61573954711864</c:v>
                </c:pt>
                <c:pt idx="598">
                  <c:v>195.99987576438383</c:v>
                </c:pt>
                <c:pt idx="599">
                  <c:v>293.66975814369101</c:v>
                </c:pt>
                <c:pt idx="600">
                  <c:v>164.8151702626221</c:v>
                </c:pt>
                <c:pt idx="601">
                  <c:v>195.99987576438383</c:v>
                </c:pt>
                <c:pt idx="602">
                  <c:v>220.00279814001337</c:v>
                </c:pt>
                <c:pt idx="603">
                  <c:v>293.66975814369101</c:v>
                </c:pt>
                <c:pt idx="604">
                  <c:v>164.8151702626221</c:v>
                </c:pt>
                <c:pt idx="605">
                  <c:v>220.00279814001337</c:v>
                </c:pt>
                <c:pt idx="606">
                  <c:v>246.94521361646048</c:v>
                </c:pt>
                <c:pt idx="607">
                  <c:v>293.66975814369101</c:v>
                </c:pt>
                <c:pt idx="608">
                  <c:v>164.8151702626221</c:v>
                </c:pt>
                <c:pt idx="609">
                  <c:v>195.99987576438383</c:v>
                </c:pt>
                <c:pt idx="610">
                  <c:v>220.00279814001337</c:v>
                </c:pt>
                <c:pt idx="611">
                  <c:v>293.66975814369101</c:v>
                </c:pt>
                <c:pt idx="612">
                  <c:v>164.8151702626221</c:v>
                </c:pt>
                <c:pt idx="613">
                  <c:v>174.61573954711864</c:v>
                </c:pt>
                <c:pt idx="614">
                  <c:v>195.99987576438383</c:v>
                </c:pt>
                <c:pt idx="615">
                  <c:v>293.66975814369101</c:v>
                </c:pt>
                <c:pt idx="616">
                  <c:v>195.99987576438383</c:v>
                </c:pt>
                <c:pt idx="617">
                  <c:v>392.00377257605692</c:v>
                </c:pt>
                <c:pt idx="618">
                  <c:v>195.99987576438383</c:v>
                </c:pt>
                <c:pt idx="619">
                  <c:v>392.00377257605692</c:v>
                </c:pt>
                <c:pt idx="620">
                  <c:v>195.99987576438383</c:v>
                </c:pt>
                <c:pt idx="621">
                  <c:v>392.00377257605692</c:v>
                </c:pt>
                <c:pt idx="622">
                  <c:v>164.8151702626221</c:v>
                </c:pt>
                <c:pt idx="623">
                  <c:v>174.61573954711864</c:v>
                </c:pt>
                <c:pt idx="624">
                  <c:v>195.99987576438383</c:v>
                </c:pt>
                <c:pt idx="625">
                  <c:v>293.66975814369101</c:v>
                </c:pt>
                <c:pt idx="626">
                  <c:v>164.8151702626221</c:v>
                </c:pt>
                <c:pt idx="627">
                  <c:v>195.99987576438383</c:v>
                </c:pt>
                <c:pt idx="628">
                  <c:v>220.00279814001337</c:v>
                </c:pt>
                <c:pt idx="629">
                  <c:v>293.66975814369101</c:v>
                </c:pt>
                <c:pt idx="630">
                  <c:v>164.8151702626221</c:v>
                </c:pt>
                <c:pt idx="631">
                  <c:v>220.00279814001337</c:v>
                </c:pt>
                <c:pt idx="632">
                  <c:v>246.94521361646048</c:v>
                </c:pt>
                <c:pt idx="633">
                  <c:v>293.66975814369101</c:v>
                </c:pt>
                <c:pt idx="634">
                  <c:v>164.8151702626221</c:v>
                </c:pt>
                <c:pt idx="635">
                  <c:v>195.99987576438383</c:v>
                </c:pt>
                <c:pt idx="636">
                  <c:v>220.00279814001337</c:v>
                </c:pt>
                <c:pt idx="637">
                  <c:v>293.66975814369101</c:v>
                </c:pt>
                <c:pt idx="638">
                  <c:v>164.8151702626221</c:v>
                </c:pt>
                <c:pt idx="639">
                  <c:v>174.61573954711864</c:v>
                </c:pt>
                <c:pt idx="640">
                  <c:v>195.99987576438383</c:v>
                </c:pt>
                <c:pt idx="641">
                  <c:v>293.66975814369101</c:v>
                </c:pt>
                <c:pt idx="642">
                  <c:v>195.99987576438383</c:v>
                </c:pt>
                <c:pt idx="643">
                  <c:v>392.00377257605692</c:v>
                </c:pt>
                <c:pt idx="644">
                  <c:v>195.99987576438383</c:v>
                </c:pt>
                <c:pt idx="645">
                  <c:v>392.00377257605692</c:v>
                </c:pt>
                <c:pt idx="646">
                  <c:v>195.99987576438383</c:v>
                </c:pt>
                <c:pt idx="647">
                  <c:v>392.00377257605692</c:v>
                </c:pt>
                <c:pt idx="648">
                  <c:v>220.00279814001337</c:v>
                </c:pt>
                <c:pt idx="649">
                  <c:v>349.23506143398839</c:v>
                </c:pt>
                <c:pt idx="650">
                  <c:v>392.00377257605692</c:v>
                </c:pt>
                <c:pt idx="651">
                  <c:v>293.66975814369101</c:v>
                </c:pt>
                <c:pt idx="652">
                  <c:v>392.00377257605692</c:v>
                </c:pt>
                <c:pt idx="653">
                  <c:v>392.00377257605692</c:v>
                </c:pt>
                <c:pt idx="654">
                  <c:v>493.89549345236594</c:v>
                </c:pt>
                <c:pt idx="655">
                  <c:v>466.17487092753117</c:v>
                </c:pt>
                <c:pt idx="656">
                  <c:v>493.89549345236594</c:v>
                </c:pt>
                <c:pt idx="657">
                  <c:v>392.00377257605692</c:v>
                </c:pt>
                <c:pt idx="658">
                  <c:v>220.00279814001337</c:v>
                </c:pt>
                <c:pt idx="659">
                  <c:v>349.23506143398839</c:v>
                </c:pt>
                <c:pt idx="660">
                  <c:v>392.00377257605692</c:v>
                </c:pt>
                <c:pt idx="661">
                  <c:v>293.66975814369101</c:v>
                </c:pt>
                <c:pt idx="662">
                  <c:v>392.00377257605692</c:v>
                </c:pt>
                <c:pt idx="663">
                  <c:v>392.00377257605692</c:v>
                </c:pt>
                <c:pt idx="664">
                  <c:v>493.89549345236594</c:v>
                </c:pt>
                <c:pt idx="665">
                  <c:v>466.17487092753117</c:v>
                </c:pt>
                <c:pt idx="666">
                  <c:v>392.00377257605692</c:v>
                </c:pt>
                <c:pt idx="667">
                  <c:v>392.00377257605692</c:v>
                </c:pt>
                <c:pt idx="668">
                  <c:v>220.00279814001337</c:v>
                </c:pt>
                <c:pt idx="669">
                  <c:v>349.23506143398839</c:v>
                </c:pt>
                <c:pt idx="670">
                  <c:v>392.00377257605692</c:v>
                </c:pt>
                <c:pt idx="671">
                  <c:v>293.66975814369101</c:v>
                </c:pt>
                <c:pt idx="672">
                  <c:v>392.00377257605692</c:v>
                </c:pt>
                <c:pt idx="673">
                  <c:v>392.00377257605692</c:v>
                </c:pt>
                <c:pt idx="674">
                  <c:v>493.89549345236594</c:v>
                </c:pt>
                <c:pt idx="675">
                  <c:v>466.17487092753117</c:v>
                </c:pt>
                <c:pt idx="676">
                  <c:v>493.89549345236594</c:v>
                </c:pt>
                <c:pt idx="677">
                  <c:v>392.00377257605692</c:v>
                </c:pt>
                <c:pt idx="678">
                  <c:v>220.00279814001337</c:v>
                </c:pt>
                <c:pt idx="679">
                  <c:v>174.61573954711864</c:v>
                </c:pt>
                <c:pt idx="680">
                  <c:v>392.00377257605692</c:v>
                </c:pt>
                <c:pt idx="681">
                  <c:v>293.66975814369101</c:v>
                </c:pt>
                <c:pt idx="682">
                  <c:v>392.00377257605692</c:v>
                </c:pt>
                <c:pt idx="683">
                  <c:v>392.00377257605692</c:v>
                </c:pt>
                <c:pt idx="684">
                  <c:v>493.89549345236594</c:v>
                </c:pt>
                <c:pt idx="685">
                  <c:v>466.17487092753117</c:v>
                </c:pt>
                <c:pt idx="686">
                  <c:v>392.00377257605692</c:v>
                </c:pt>
                <c:pt idx="687">
                  <c:v>392.00377257605692</c:v>
                </c:pt>
                <c:pt idx="688">
                  <c:v>220.00279814001337</c:v>
                </c:pt>
                <c:pt idx="689">
                  <c:v>349.23506143398839</c:v>
                </c:pt>
                <c:pt idx="690">
                  <c:v>392.00377257605692</c:v>
                </c:pt>
                <c:pt idx="691">
                  <c:v>293.66975814369101</c:v>
                </c:pt>
                <c:pt idx="692">
                  <c:v>392.00377257605692</c:v>
                </c:pt>
                <c:pt idx="693">
                  <c:v>392.00377257605692</c:v>
                </c:pt>
                <c:pt idx="694">
                  <c:v>220.00279814001337</c:v>
                </c:pt>
                <c:pt idx="695">
                  <c:v>349.23506143398839</c:v>
                </c:pt>
                <c:pt idx="696">
                  <c:v>392.00377257605692</c:v>
                </c:pt>
                <c:pt idx="697">
                  <c:v>293.66975814369101</c:v>
                </c:pt>
                <c:pt idx="698">
                  <c:v>392.00377257605692</c:v>
                </c:pt>
                <c:pt idx="699">
                  <c:v>392.00377257605692</c:v>
                </c:pt>
                <c:pt idx="700">
                  <c:v>220.00279814001337</c:v>
                </c:pt>
                <c:pt idx="701">
                  <c:v>349.23506143398839</c:v>
                </c:pt>
                <c:pt idx="702">
                  <c:v>392.00377257605692</c:v>
                </c:pt>
                <c:pt idx="703">
                  <c:v>293.66975814369101</c:v>
                </c:pt>
                <c:pt idx="704">
                  <c:v>392.00377257605692</c:v>
                </c:pt>
                <c:pt idx="705">
                  <c:v>392.00377257605692</c:v>
                </c:pt>
                <c:pt idx="706">
                  <c:v>220.00279814001337</c:v>
                </c:pt>
                <c:pt idx="707">
                  <c:v>349.23506143398839</c:v>
                </c:pt>
                <c:pt idx="708">
                  <c:v>392.00377257605692</c:v>
                </c:pt>
                <c:pt idx="709">
                  <c:v>293.66975814369101</c:v>
                </c:pt>
                <c:pt idx="710">
                  <c:v>392.00377257605692</c:v>
                </c:pt>
                <c:pt idx="711">
                  <c:v>392.00377257605692</c:v>
                </c:pt>
                <c:pt idx="712">
                  <c:v>220.00279814001337</c:v>
                </c:pt>
                <c:pt idx="713">
                  <c:v>349.23506143398839</c:v>
                </c:pt>
                <c:pt idx="714">
                  <c:v>392.00377257605692</c:v>
                </c:pt>
                <c:pt idx="715">
                  <c:v>293.66975814369101</c:v>
                </c:pt>
                <c:pt idx="716">
                  <c:v>392.00377257605692</c:v>
                </c:pt>
                <c:pt idx="717">
                  <c:v>392.00377257605692</c:v>
                </c:pt>
                <c:pt idx="718">
                  <c:v>493.89549345236594</c:v>
                </c:pt>
                <c:pt idx="719">
                  <c:v>466.17487092753117</c:v>
                </c:pt>
                <c:pt idx="720">
                  <c:v>493.89549345236594</c:v>
                </c:pt>
                <c:pt idx="721">
                  <c:v>392.00377257605692</c:v>
                </c:pt>
                <c:pt idx="722">
                  <c:v>220.00279814001337</c:v>
                </c:pt>
                <c:pt idx="723">
                  <c:v>349.23506143398839</c:v>
                </c:pt>
                <c:pt idx="724">
                  <c:v>392.00377257605692</c:v>
                </c:pt>
                <c:pt idx="725">
                  <c:v>293.66975814369101</c:v>
                </c:pt>
                <c:pt idx="726">
                  <c:v>392.00377257605692</c:v>
                </c:pt>
                <c:pt idx="727">
                  <c:v>392.00377257605692</c:v>
                </c:pt>
                <c:pt idx="728">
                  <c:v>493.89549345236594</c:v>
                </c:pt>
                <c:pt idx="729">
                  <c:v>466.17487092753117</c:v>
                </c:pt>
                <c:pt idx="730">
                  <c:v>392.00377257605692</c:v>
                </c:pt>
                <c:pt idx="731">
                  <c:v>392.00377257605692</c:v>
                </c:pt>
                <c:pt idx="732">
                  <c:v>220.00279814001337</c:v>
                </c:pt>
                <c:pt idx="733">
                  <c:v>349.23506143398839</c:v>
                </c:pt>
                <c:pt idx="734">
                  <c:v>392.00377257605692</c:v>
                </c:pt>
                <c:pt idx="735">
                  <c:v>293.66975814369101</c:v>
                </c:pt>
                <c:pt idx="736">
                  <c:v>392.00377257605692</c:v>
                </c:pt>
                <c:pt idx="737">
                  <c:v>392.00377257605692</c:v>
                </c:pt>
                <c:pt idx="738">
                  <c:v>493.89549345236594</c:v>
                </c:pt>
                <c:pt idx="739">
                  <c:v>466.17487092753117</c:v>
                </c:pt>
                <c:pt idx="740">
                  <c:v>493.89549345236594</c:v>
                </c:pt>
                <c:pt idx="741">
                  <c:v>392.00377257605692</c:v>
                </c:pt>
                <c:pt idx="742">
                  <c:v>220.00279814001337</c:v>
                </c:pt>
                <c:pt idx="743">
                  <c:v>174.61573954711864</c:v>
                </c:pt>
                <c:pt idx="744">
                  <c:v>392.00377257605692</c:v>
                </c:pt>
                <c:pt idx="745">
                  <c:v>293.66975814369101</c:v>
                </c:pt>
                <c:pt idx="746">
                  <c:v>392.00377257605692</c:v>
                </c:pt>
                <c:pt idx="747">
                  <c:v>392.00377257605692</c:v>
                </c:pt>
                <c:pt idx="748">
                  <c:v>493.89549345236594</c:v>
                </c:pt>
                <c:pt idx="749">
                  <c:v>466.17487092753117</c:v>
                </c:pt>
                <c:pt idx="750">
                  <c:v>392.00377257605692</c:v>
                </c:pt>
                <c:pt idx="751">
                  <c:v>392.00377257605692</c:v>
                </c:pt>
                <c:pt idx="752">
                  <c:v>220.00279814001337</c:v>
                </c:pt>
                <c:pt idx="753">
                  <c:v>349.23506143398839</c:v>
                </c:pt>
                <c:pt idx="754">
                  <c:v>392.00377257605692</c:v>
                </c:pt>
                <c:pt idx="755">
                  <c:v>293.66975814369101</c:v>
                </c:pt>
                <c:pt idx="756">
                  <c:v>392.00377257605692</c:v>
                </c:pt>
                <c:pt idx="757">
                  <c:v>392.00377257605692</c:v>
                </c:pt>
                <c:pt idx="758">
                  <c:v>220.00279814001337</c:v>
                </c:pt>
                <c:pt idx="759">
                  <c:v>349.23506143398839</c:v>
                </c:pt>
                <c:pt idx="760">
                  <c:v>392.00377257605692</c:v>
                </c:pt>
                <c:pt idx="761">
                  <c:v>293.66975814369101</c:v>
                </c:pt>
                <c:pt idx="762">
                  <c:v>392.00377257605692</c:v>
                </c:pt>
                <c:pt idx="763">
                  <c:v>392.00377257605692</c:v>
                </c:pt>
                <c:pt idx="764">
                  <c:v>220.00279814001337</c:v>
                </c:pt>
                <c:pt idx="765">
                  <c:v>349.23506143398839</c:v>
                </c:pt>
                <c:pt idx="766">
                  <c:v>392.00377257605692</c:v>
                </c:pt>
                <c:pt idx="767">
                  <c:v>293.66975814369101</c:v>
                </c:pt>
                <c:pt idx="768">
                  <c:v>392.00377257605692</c:v>
                </c:pt>
                <c:pt idx="769">
                  <c:v>392.00377257605692</c:v>
                </c:pt>
                <c:pt idx="770">
                  <c:v>220.00279814001337</c:v>
                </c:pt>
                <c:pt idx="771">
                  <c:v>349.23506143398839</c:v>
                </c:pt>
                <c:pt idx="772">
                  <c:v>392.00377257605692</c:v>
                </c:pt>
                <c:pt idx="773">
                  <c:v>293.66975814369101</c:v>
                </c:pt>
                <c:pt idx="774">
                  <c:v>392.00377257605692</c:v>
                </c:pt>
                <c:pt idx="775">
                  <c:v>392.00377257605692</c:v>
                </c:pt>
                <c:pt idx="776">
                  <c:v>220.00279814001337</c:v>
                </c:pt>
                <c:pt idx="777">
                  <c:v>349.23506143398839</c:v>
                </c:pt>
                <c:pt idx="778">
                  <c:v>392.00377257605692</c:v>
                </c:pt>
                <c:pt idx="779">
                  <c:v>293.66975814369101</c:v>
                </c:pt>
                <c:pt idx="780">
                  <c:v>392.00377257605692</c:v>
                </c:pt>
                <c:pt idx="781">
                  <c:v>392.00377257605692</c:v>
                </c:pt>
                <c:pt idx="782">
                  <c:v>220.00279814001337</c:v>
                </c:pt>
                <c:pt idx="783">
                  <c:v>349.23506143398839</c:v>
                </c:pt>
                <c:pt idx="784">
                  <c:v>392.00377257605692</c:v>
                </c:pt>
                <c:pt idx="785">
                  <c:v>293.66975814369101</c:v>
                </c:pt>
                <c:pt idx="786">
                  <c:v>392.00377257605692</c:v>
                </c:pt>
                <c:pt idx="787">
                  <c:v>392.00377257605692</c:v>
                </c:pt>
                <c:pt idx="788">
                  <c:v>220.00279814001337</c:v>
                </c:pt>
                <c:pt idx="789">
                  <c:v>349.23506143398839</c:v>
                </c:pt>
                <c:pt idx="790">
                  <c:v>392.00377257605692</c:v>
                </c:pt>
                <c:pt idx="791">
                  <c:v>293.66975814369101</c:v>
                </c:pt>
                <c:pt idx="792">
                  <c:v>392.00377257605692</c:v>
                </c:pt>
                <c:pt idx="793">
                  <c:v>392.00377257605692</c:v>
                </c:pt>
                <c:pt idx="794">
                  <c:v>220.00279814001337</c:v>
                </c:pt>
                <c:pt idx="795">
                  <c:v>349.23506143398839</c:v>
                </c:pt>
                <c:pt idx="796">
                  <c:v>392.00377257605692</c:v>
                </c:pt>
                <c:pt idx="797">
                  <c:v>293.66975814369101</c:v>
                </c:pt>
                <c:pt idx="798">
                  <c:v>392.00377257605692</c:v>
                </c:pt>
                <c:pt idx="799">
                  <c:v>392.00377257605692</c:v>
                </c:pt>
                <c:pt idx="800">
                  <c:v>220.00279814001337</c:v>
                </c:pt>
                <c:pt idx="801">
                  <c:v>349.23506143398839</c:v>
                </c:pt>
                <c:pt idx="802">
                  <c:v>392.00377257605692</c:v>
                </c:pt>
                <c:pt idx="803">
                  <c:v>293.66975814369101</c:v>
                </c:pt>
                <c:pt idx="804">
                  <c:v>392.00377257605692</c:v>
                </c:pt>
                <c:pt idx="805">
                  <c:v>392.00377257605692</c:v>
                </c:pt>
                <c:pt idx="806">
                  <c:v>220.00279814001337</c:v>
                </c:pt>
                <c:pt idx="807">
                  <c:v>349.23506143398839</c:v>
                </c:pt>
                <c:pt idx="808">
                  <c:v>392.00377257605692</c:v>
                </c:pt>
                <c:pt idx="809">
                  <c:v>293.66975814369101</c:v>
                </c:pt>
                <c:pt idx="810">
                  <c:v>392.00377257605692</c:v>
                </c:pt>
                <c:pt idx="811">
                  <c:v>392.00377257605692</c:v>
                </c:pt>
                <c:pt idx="812">
                  <c:v>220.00279814001337</c:v>
                </c:pt>
                <c:pt idx="813">
                  <c:v>349.23506143398839</c:v>
                </c:pt>
                <c:pt idx="814">
                  <c:v>392.00377257605692</c:v>
                </c:pt>
                <c:pt idx="815">
                  <c:v>293.66975814369101</c:v>
                </c:pt>
                <c:pt idx="816">
                  <c:v>392.00377257605692</c:v>
                </c:pt>
                <c:pt idx="817">
                  <c:v>392.00377257605692</c:v>
                </c:pt>
                <c:pt idx="818">
                  <c:v>220.00279814001337</c:v>
                </c:pt>
                <c:pt idx="819">
                  <c:v>349.23506143398839</c:v>
                </c:pt>
                <c:pt idx="820">
                  <c:v>392.00377257605692</c:v>
                </c:pt>
                <c:pt idx="821">
                  <c:v>293.66975814369101</c:v>
                </c:pt>
                <c:pt idx="822">
                  <c:v>392.00377257605692</c:v>
                </c:pt>
                <c:pt idx="823">
                  <c:v>392.00377257605692</c:v>
                </c:pt>
                <c:pt idx="824">
                  <c:v>220.00279814001337</c:v>
                </c:pt>
                <c:pt idx="825">
                  <c:v>349.23506143398839</c:v>
                </c:pt>
                <c:pt idx="826">
                  <c:v>392.00377257605692</c:v>
                </c:pt>
                <c:pt idx="827">
                  <c:v>293.66975814369101</c:v>
                </c:pt>
                <c:pt idx="828">
                  <c:v>392.00377257605692</c:v>
                </c:pt>
                <c:pt idx="829">
                  <c:v>392.00377257605692</c:v>
                </c:pt>
                <c:pt idx="830">
                  <c:v>220.00279814001337</c:v>
                </c:pt>
                <c:pt idx="831">
                  <c:v>349.23506143398839</c:v>
                </c:pt>
                <c:pt idx="832">
                  <c:v>392.00377257605692</c:v>
                </c:pt>
                <c:pt idx="833">
                  <c:v>293.66975814369101</c:v>
                </c:pt>
                <c:pt idx="834">
                  <c:v>392.00377257605692</c:v>
                </c:pt>
                <c:pt idx="835">
                  <c:v>392.00377257605692</c:v>
                </c:pt>
                <c:pt idx="836">
                  <c:v>220.00279814001337</c:v>
                </c:pt>
                <c:pt idx="837">
                  <c:v>349.23506143398839</c:v>
                </c:pt>
                <c:pt idx="838">
                  <c:v>392.00377257605692</c:v>
                </c:pt>
                <c:pt idx="839">
                  <c:v>293.66975814369101</c:v>
                </c:pt>
                <c:pt idx="840">
                  <c:v>392.00377257605692</c:v>
                </c:pt>
                <c:pt idx="841">
                  <c:v>392.00377257605692</c:v>
                </c:pt>
                <c:pt idx="842">
                  <c:v>220.00279814001337</c:v>
                </c:pt>
                <c:pt idx="843">
                  <c:v>349.23506143398839</c:v>
                </c:pt>
                <c:pt idx="844">
                  <c:v>392.00377257605692</c:v>
                </c:pt>
                <c:pt idx="845">
                  <c:v>293.66975814369101</c:v>
                </c:pt>
                <c:pt idx="846">
                  <c:v>392.00377257605692</c:v>
                </c:pt>
                <c:pt idx="847">
                  <c:v>392.00377257605692</c:v>
                </c:pt>
                <c:pt idx="848">
                  <c:v>261.62956379894968</c:v>
                </c:pt>
                <c:pt idx="849">
                  <c:v>329.63372180082422</c:v>
                </c:pt>
                <c:pt idx="850">
                  <c:v>392.00377257605692</c:v>
                </c:pt>
                <c:pt idx="851">
                  <c:v>659.27420622217721</c:v>
                </c:pt>
                <c:pt idx="852">
                  <c:v>392.00377257605692</c:v>
                </c:pt>
                <c:pt idx="853">
                  <c:v>440.01010976071973</c:v>
                </c:pt>
                <c:pt idx="854">
                  <c:v>698.47728762097279</c:v>
                </c:pt>
                <c:pt idx="855">
                  <c:v>440.01010976071973</c:v>
                </c:pt>
                <c:pt idx="856">
                  <c:v>466.17487092753117</c:v>
                </c:pt>
                <c:pt idx="857">
                  <c:v>784.01558732918636</c:v>
                </c:pt>
                <c:pt idx="858">
                  <c:v>466.17487092753117</c:v>
                </c:pt>
                <c:pt idx="859">
                  <c:v>523.26449507501752</c:v>
                </c:pt>
                <c:pt idx="860">
                  <c:v>880.02924657542201</c:v>
                </c:pt>
                <c:pt idx="861">
                  <c:v>195.99987576438383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4432"/>
        <c:axId val="123535360"/>
      </c:scatterChart>
      <c:valAx>
        <c:axId val="12335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535360"/>
        <c:crosses val="autoZero"/>
        <c:crossBetween val="midCat"/>
      </c:valAx>
      <c:valAx>
        <c:axId val="123535360"/>
        <c:scaling>
          <c:logBase val="10"/>
          <c:orientation val="minMax"/>
          <c:max val="18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3544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50268738977739"/>
          <c:y val="0.31317505071691398"/>
          <c:w val="4.0177112417229002E-2"/>
          <c:h val="0.42867173262730801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 Written Notes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936454303181399E-2"/>
          <c:y val="0.181659388646288"/>
          <c:w val="0.92040701068724495"/>
          <c:h val="0.65119726300588199"/>
        </c:manualLayout>
      </c:layout>
      <c:scatterChart>
        <c:scatterStyle val="lineMarker"/>
        <c:varyColors val="0"/>
        <c:ser>
          <c:idx val="0"/>
          <c:order val="0"/>
          <c:tx>
            <c:v>1st Guitar</c:v>
          </c:tx>
          <c:xVal>
            <c:numRef>
              <c:f>Sheet4!$A$870:$A$1292</c:f>
              <c:numCache>
                <c:formatCode>General</c:formatCode>
                <c:ptCount val="423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12.5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21.75</c:v>
                </c:pt>
                <c:pt idx="24">
                  <c:v>22.5</c:v>
                </c:pt>
                <c:pt idx="25">
                  <c:v>23.5</c:v>
                </c:pt>
                <c:pt idx="26">
                  <c:v>24.25</c:v>
                </c:pt>
                <c:pt idx="27">
                  <c:v>24.75</c:v>
                </c:pt>
                <c:pt idx="28">
                  <c:v>25.5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28.5</c:v>
                </c:pt>
                <c:pt idx="33">
                  <c:v>29</c:v>
                </c:pt>
                <c:pt idx="34">
                  <c:v>29.75</c:v>
                </c:pt>
                <c:pt idx="35">
                  <c:v>30.5</c:v>
                </c:pt>
                <c:pt idx="36">
                  <c:v>31.5</c:v>
                </c:pt>
                <c:pt idx="37">
                  <c:v>32.25</c:v>
                </c:pt>
                <c:pt idx="38">
                  <c:v>32.75</c:v>
                </c:pt>
                <c:pt idx="39">
                  <c:v>33.5</c:v>
                </c:pt>
                <c:pt idx="40">
                  <c:v>34.5</c:v>
                </c:pt>
                <c:pt idx="41">
                  <c:v>35.5</c:v>
                </c:pt>
                <c:pt idx="42">
                  <c:v>36.25</c:v>
                </c:pt>
                <c:pt idx="43">
                  <c:v>36.75</c:v>
                </c:pt>
                <c:pt idx="44">
                  <c:v>37.5</c:v>
                </c:pt>
                <c:pt idx="45">
                  <c:v>38</c:v>
                </c:pt>
                <c:pt idx="46">
                  <c:v>39</c:v>
                </c:pt>
                <c:pt idx="47">
                  <c:v>40</c:v>
                </c:pt>
                <c:pt idx="48">
                  <c:v>40.5</c:v>
                </c:pt>
                <c:pt idx="49">
                  <c:v>41</c:v>
                </c:pt>
                <c:pt idx="50">
                  <c:v>41.75</c:v>
                </c:pt>
                <c:pt idx="51">
                  <c:v>42.5</c:v>
                </c:pt>
                <c:pt idx="52">
                  <c:v>43.5</c:v>
                </c:pt>
                <c:pt idx="53">
                  <c:v>44.25</c:v>
                </c:pt>
                <c:pt idx="54">
                  <c:v>44.75</c:v>
                </c:pt>
                <c:pt idx="55">
                  <c:v>45.5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48.5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52</c:v>
                </c:pt>
                <c:pt idx="64">
                  <c:v>52.5</c:v>
                </c:pt>
                <c:pt idx="65">
                  <c:v>53</c:v>
                </c:pt>
                <c:pt idx="66">
                  <c:v>53.75</c:v>
                </c:pt>
                <c:pt idx="67">
                  <c:v>54.5</c:v>
                </c:pt>
                <c:pt idx="68">
                  <c:v>55.5</c:v>
                </c:pt>
                <c:pt idx="69">
                  <c:v>56.25</c:v>
                </c:pt>
                <c:pt idx="70">
                  <c:v>56.75</c:v>
                </c:pt>
                <c:pt idx="71">
                  <c:v>57.5</c:v>
                </c:pt>
                <c:pt idx="72">
                  <c:v>58</c:v>
                </c:pt>
                <c:pt idx="73">
                  <c:v>59</c:v>
                </c:pt>
                <c:pt idx="74">
                  <c:v>60</c:v>
                </c:pt>
                <c:pt idx="75">
                  <c:v>60.5</c:v>
                </c:pt>
                <c:pt idx="76">
                  <c:v>61</c:v>
                </c:pt>
                <c:pt idx="77">
                  <c:v>61.75</c:v>
                </c:pt>
                <c:pt idx="78">
                  <c:v>62.5</c:v>
                </c:pt>
                <c:pt idx="79">
                  <c:v>63.5</c:v>
                </c:pt>
                <c:pt idx="80">
                  <c:v>64.25</c:v>
                </c:pt>
                <c:pt idx="81">
                  <c:v>64.75</c:v>
                </c:pt>
                <c:pt idx="82">
                  <c:v>65.5</c:v>
                </c:pt>
                <c:pt idx="83">
                  <c:v>66.5</c:v>
                </c:pt>
                <c:pt idx="84">
                  <c:v>67.5</c:v>
                </c:pt>
                <c:pt idx="85">
                  <c:v>68.25</c:v>
                </c:pt>
                <c:pt idx="86">
                  <c:v>68.75</c:v>
                </c:pt>
                <c:pt idx="87">
                  <c:v>69.5</c:v>
                </c:pt>
                <c:pt idx="88">
                  <c:v>70</c:v>
                </c:pt>
                <c:pt idx="89">
                  <c:v>71</c:v>
                </c:pt>
                <c:pt idx="90">
                  <c:v>72</c:v>
                </c:pt>
                <c:pt idx="91">
                  <c:v>72.5</c:v>
                </c:pt>
                <c:pt idx="92">
                  <c:v>73</c:v>
                </c:pt>
                <c:pt idx="93">
                  <c:v>73.75</c:v>
                </c:pt>
                <c:pt idx="94">
                  <c:v>74.5</c:v>
                </c:pt>
                <c:pt idx="95">
                  <c:v>75.5</c:v>
                </c:pt>
                <c:pt idx="96">
                  <c:v>76.25</c:v>
                </c:pt>
                <c:pt idx="97">
                  <c:v>76.75</c:v>
                </c:pt>
                <c:pt idx="98">
                  <c:v>77.5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80.5</c:v>
                </c:pt>
                <c:pt idx="103">
                  <c:v>81</c:v>
                </c:pt>
                <c:pt idx="104">
                  <c:v>82</c:v>
                </c:pt>
                <c:pt idx="105">
                  <c:v>83</c:v>
                </c:pt>
                <c:pt idx="106">
                  <c:v>84</c:v>
                </c:pt>
                <c:pt idx="107">
                  <c:v>84.5</c:v>
                </c:pt>
                <c:pt idx="108">
                  <c:v>85</c:v>
                </c:pt>
                <c:pt idx="109">
                  <c:v>86</c:v>
                </c:pt>
                <c:pt idx="110">
                  <c:v>86.5</c:v>
                </c:pt>
                <c:pt idx="111">
                  <c:v>87</c:v>
                </c:pt>
                <c:pt idx="112">
                  <c:v>88</c:v>
                </c:pt>
                <c:pt idx="113">
                  <c:v>88.5</c:v>
                </c:pt>
                <c:pt idx="114">
                  <c:v>89</c:v>
                </c:pt>
                <c:pt idx="115">
                  <c:v>90</c:v>
                </c:pt>
                <c:pt idx="116">
                  <c:v>90.5</c:v>
                </c:pt>
                <c:pt idx="117">
                  <c:v>91</c:v>
                </c:pt>
                <c:pt idx="118">
                  <c:v>92</c:v>
                </c:pt>
                <c:pt idx="119">
                  <c:v>92.5</c:v>
                </c:pt>
                <c:pt idx="120">
                  <c:v>93</c:v>
                </c:pt>
                <c:pt idx="121">
                  <c:v>93.5</c:v>
                </c:pt>
                <c:pt idx="122">
                  <c:v>94</c:v>
                </c:pt>
                <c:pt idx="123">
                  <c:v>94.5</c:v>
                </c:pt>
                <c:pt idx="124">
                  <c:v>95</c:v>
                </c:pt>
                <c:pt idx="125">
                  <c:v>95.5</c:v>
                </c:pt>
                <c:pt idx="126">
                  <c:v>96</c:v>
                </c:pt>
                <c:pt idx="127">
                  <c:v>97</c:v>
                </c:pt>
                <c:pt idx="128">
                  <c:v>98</c:v>
                </c:pt>
                <c:pt idx="129">
                  <c:v>99</c:v>
                </c:pt>
                <c:pt idx="130">
                  <c:v>100</c:v>
                </c:pt>
                <c:pt idx="131">
                  <c:v>100.5</c:v>
                </c:pt>
                <c:pt idx="132">
                  <c:v>101</c:v>
                </c:pt>
                <c:pt idx="133">
                  <c:v>101.5</c:v>
                </c:pt>
                <c:pt idx="134">
                  <c:v>102</c:v>
                </c:pt>
                <c:pt idx="135">
                  <c:v>102.5</c:v>
                </c:pt>
                <c:pt idx="136">
                  <c:v>103</c:v>
                </c:pt>
                <c:pt idx="137">
                  <c:v>103.5</c:v>
                </c:pt>
                <c:pt idx="138">
                  <c:v>104</c:v>
                </c:pt>
                <c:pt idx="139">
                  <c:v>105</c:v>
                </c:pt>
                <c:pt idx="140">
                  <c:v>106</c:v>
                </c:pt>
                <c:pt idx="141">
                  <c:v>107</c:v>
                </c:pt>
                <c:pt idx="142">
                  <c:v>108</c:v>
                </c:pt>
                <c:pt idx="143">
                  <c:v>108.5</c:v>
                </c:pt>
                <c:pt idx="144">
                  <c:v>109</c:v>
                </c:pt>
                <c:pt idx="145">
                  <c:v>109.5</c:v>
                </c:pt>
                <c:pt idx="146">
                  <c:v>110</c:v>
                </c:pt>
                <c:pt idx="147">
                  <c:v>110.5</c:v>
                </c:pt>
                <c:pt idx="148">
                  <c:v>111</c:v>
                </c:pt>
                <c:pt idx="149">
                  <c:v>111.5</c:v>
                </c:pt>
                <c:pt idx="150">
                  <c:v>112</c:v>
                </c:pt>
                <c:pt idx="151">
                  <c:v>113</c:v>
                </c:pt>
                <c:pt idx="152">
                  <c:v>114</c:v>
                </c:pt>
                <c:pt idx="153">
                  <c:v>115</c:v>
                </c:pt>
                <c:pt idx="154">
                  <c:v>116</c:v>
                </c:pt>
                <c:pt idx="155">
                  <c:v>116.5</c:v>
                </c:pt>
                <c:pt idx="156">
                  <c:v>117</c:v>
                </c:pt>
                <c:pt idx="157">
                  <c:v>117.5</c:v>
                </c:pt>
                <c:pt idx="158">
                  <c:v>118</c:v>
                </c:pt>
                <c:pt idx="159">
                  <c:v>118.5</c:v>
                </c:pt>
                <c:pt idx="160">
                  <c:v>119</c:v>
                </c:pt>
                <c:pt idx="161">
                  <c:v>119.5</c:v>
                </c:pt>
                <c:pt idx="162">
                  <c:v>120</c:v>
                </c:pt>
                <c:pt idx="163">
                  <c:v>121</c:v>
                </c:pt>
                <c:pt idx="164">
                  <c:v>122</c:v>
                </c:pt>
                <c:pt idx="165">
                  <c:v>123</c:v>
                </c:pt>
                <c:pt idx="166">
                  <c:v>124</c:v>
                </c:pt>
                <c:pt idx="167">
                  <c:v>124.5</c:v>
                </c:pt>
                <c:pt idx="168">
                  <c:v>125</c:v>
                </c:pt>
                <c:pt idx="169">
                  <c:v>125.75</c:v>
                </c:pt>
                <c:pt idx="170">
                  <c:v>126.5</c:v>
                </c:pt>
                <c:pt idx="171">
                  <c:v>127.5</c:v>
                </c:pt>
                <c:pt idx="172">
                  <c:v>128.25</c:v>
                </c:pt>
                <c:pt idx="173">
                  <c:v>128.75</c:v>
                </c:pt>
                <c:pt idx="174">
                  <c:v>129.5</c:v>
                </c:pt>
                <c:pt idx="175">
                  <c:v>130</c:v>
                </c:pt>
                <c:pt idx="176">
                  <c:v>131</c:v>
                </c:pt>
                <c:pt idx="177">
                  <c:v>132</c:v>
                </c:pt>
                <c:pt idx="178">
                  <c:v>132.5</c:v>
                </c:pt>
                <c:pt idx="179">
                  <c:v>133</c:v>
                </c:pt>
                <c:pt idx="180">
                  <c:v>133.75</c:v>
                </c:pt>
                <c:pt idx="181">
                  <c:v>134.5</c:v>
                </c:pt>
                <c:pt idx="182">
                  <c:v>135.5</c:v>
                </c:pt>
                <c:pt idx="183">
                  <c:v>136.25</c:v>
                </c:pt>
                <c:pt idx="184">
                  <c:v>136.75</c:v>
                </c:pt>
                <c:pt idx="185">
                  <c:v>137.5</c:v>
                </c:pt>
                <c:pt idx="186">
                  <c:v>138.5</c:v>
                </c:pt>
                <c:pt idx="187">
                  <c:v>139.5</c:v>
                </c:pt>
                <c:pt idx="188">
                  <c:v>140.25</c:v>
                </c:pt>
                <c:pt idx="189">
                  <c:v>140.75</c:v>
                </c:pt>
                <c:pt idx="190">
                  <c:v>141.5</c:v>
                </c:pt>
                <c:pt idx="191">
                  <c:v>142</c:v>
                </c:pt>
                <c:pt idx="192">
                  <c:v>143</c:v>
                </c:pt>
                <c:pt idx="193">
                  <c:v>144</c:v>
                </c:pt>
                <c:pt idx="194">
                  <c:v>144.5</c:v>
                </c:pt>
                <c:pt idx="195">
                  <c:v>145</c:v>
                </c:pt>
                <c:pt idx="196">
                  <c:v>145.75</c:v>
                </c:pt>
                <c:pt idx="197">
                  <c:v>146.5</c:v>
                </c:pt>
                <c:pt idx="198">
                  <c:v>147.5</c:v>
                </c:pt>
                <c:pt idx="199">
                  <c:v>148.25</c:v>
                </c:pt>
                <c:pt idx="200">
                  <c:v>148.75</c:v>
                </c:pt>
                <c:pt idx="201">
                  <c:v>149.5</c:v>
                </c:pt>
                <c:pt idx="202">
                  <c:v>150</c:v>
                </c:pt>
                <c:pt idx="203">
                  <c:v>151</c:v>
                </c:pt>
                <c:pt idx="204">
                  <c:v>152</c:v>
                </c:pt>
                <c:pt idx="205">
                  <c:v>152.5</c:v>
                </c:pt>
                <c:pt idx="206">
                  <c:v>153</c:v>
                </c:pt>
                <c:pt idx="207">
                  <c:v>154</c:v>
                </c:pt>
                <c:pt idx="208">
                  <c:v>155</c:v>
                </c:pt>
                <c:pt idx="209">
                  <c:v>156</c:v>
                </c:pt>
                <c:pt idx="210">
                  <c:v>156.5</c:v>
                </c:pt>
                <c:pt idx="211">
                  <c:v>157</c:v>
                </c:pt>
                <c:pt idx="212">
                  <c:v>157.75</c:v>
                </c:pt>
                <c:pt idx="213">
                  <c:v>158.5</c:v>
                </c:pt>
                <c:pt idx="214">
                  <c:v>159.5</c:v>
                </c:pt>
                <c:pt idx="215">
                  <c:v>160.25</c:v>
                </c:pt>
                <c:pt idx="216">
                  <c:v>160.75</c:v>
                </c:pt>
                <c:pt idx="217">
                  <c:v>161.5</c:v>
                </c:pt>
                <c:pt idx="218">
                  <c:v>162</c:v>
                </c:pt>
                <c:pt idx="219">
                  <c:v>163</c:v>
                </c:pt>
                <c:pt idx="220">
                  <c:v>164</c:v>
                </c:pt>
                <c:pt idx="221">
                  <c:v>164.5</c:v>
                </c:pt>
                <c:pt idx="222">
                  <c:v>165</c:v>
                </c:pt>
                <c:pt idx="223">
                  <c:v>165.75</c:v>
                </c:pt>
                <c:pt idx="224">
                  <c:v>166.5</c:v>
                </c:pt>
                <c:pt idx="225">
                  <c:v>167.5</c:v>
                </c:pt>
                <c:pt idx="226">
                  <c:v>168.25</c:v>
                </c:pt>
                <c:pt idx="227">
                  <c:v>168.75</c:v>
                </c:pt>
                <c:pt idx="228">
                  <c:v>169.5</c:v>
                </c:pt>
                <c:pt idx="229">
                  <c:v>170.5</c:v>
                </c:pt>
                <c:pt idx="230">
                  <c:v>171.5</c:v>
                </c:pt>
                <c:pt idx="231">
                  <c:v>172.25</c:v>
                </c:pt>
                <c:pt idx="232">
                  <c:v>172.75</c:v>
                </c:pt>
                <c:pt idx="233">
                  <c:v>173.5</c:v>
                </c:pt>
                <c:pt idx="234">
                  <c:v>174</c:v>
                </c:pt>
                <c:pt idx="235">
                  <c:v>175</c:v>
                </c:pt>
                <c:pt idx="236">
                  <c:v>176</c:v>
                </c:pt>
                <c:pt idx="237">
                  <c:v>176.5</c:v>
                </c:pt>
                <c:pt idx="238">
                  <c:v>177</c:v>
                </c:pt>
                <c:pt idx="239">
                  <c:v>177.75</c:v>
                </c:pt>
                <c:pt idx="240">
                  <c:v>178.5</c:v>
                </c:pt>
                <c:pt idx="241">
                  <c:v>179.5</c:v>
                </c:pt>
                <c:pt idx="242">
                  <c:v>180.25</c:v>
                </c:pt>
                <c:pt idx="243">
                  <c:v>180.75</c:v>
                </c:pt>
                <c:pt idx="244">
                  <c:v>181.5</c:v>
                </c:pt>
                <c:pt idx="245">
                  <c:v>182</c:v>
                </c:pt>
                <c:pt idx="246">
                  <c:v>183</c:v>
                </c:pt>
                <c:pt idx="247">
                  <c:v>184</c:v>
                </c:pt>
                <c:pt idx="248">
                  <c:v>184.5</c:v>
                </c:pt>
                <c:pt idx="249">
                  <c:v>185</c:v>
                </c:pt>
                <c:pt idx="250">
                  <c:v>186</c:v>
                </c:pt>
                <c:pt idx="251">
                  <c:v>187</c:v>
                </c:pt>
                <c:pt idx="252">
                  <c:v>188</c:v>
                </c:pt>
                <c:pt idx="253">
                  <c:v>188.5</c:v>
                </c:pt>
                <c:pt idx="254">
                  <c:v>189</c:v>
                </c:pt>
                <c:pt idx="255">
                  <c:v>190</c:v>
                </c:pt>
                <c:pt idx="256">
                  <c:v>190.5</c:v>
                </c:pt>
                <c:pt idx="257">
                  <c:v>191</c:v>
                </c:pt>
                <c:pt idx="258">
                  <c:v>192</c:v>
                </c:pt>
                <c:pt idx="259">
                  <c:v>192.5</c:v>
                </c:pt>
                <c:pt idx="260">
                  <c:v>193</c:v>
                </c:pt>
                <c:pt idx="261">
                  <c:v>194</c:v>
                </c:pt>
                <c:pt idx="262">
                  <c:v>194.5</c:v>
                </c:pt>
                <c:pt idx="263">
                  <c:v>195</c:v>
                </c:pt>
                <c:pt idx="264">
                  <c:v>196</c:v>
                </c:pt>
                <c:pt idx="265">
                  <c:v>196.5</c:v>
                </c:pt>
                <c:pt idx="266">
                  <c:v>197</c:v>
                </c:pt>
                <c:pt idx="267">
                  <c:v>197.5</c:v>
                </c:pt>
                <c:pt idx="268">
                  <c:v>198</c:v>
                </c:pt>
                <c:pt idx="269">
                  <c:v>198.5</c:v>
                </c:pt>
                <c:pt idx="270">
                  <c:v>199</c:v>
                </c:pt>
                <c:pt idx="271">
                  <c:v>199.5</c:v>
                </c:pt>
                <c:pt idx="272">
                  <c:v>200</c:v>
                </c:pt>
                <c:pt idx="273">
                  <c:v>201</c:v>
                </c:pt>
                <c:pt idx="274">
                  <c:v>202</c:v>
                </c:pt>
                <c:pt idx="275">
                  <c:v>203</c:v>
                </c:pt>
                <c:pt idx="276">
                  <c:v>204</c:v>
                </c:pt>
                <c:pt idx="277">
                  <c:v>204.5</c:v>
                </c:pt>
                <c:pt idx="278">
                  <c:v>205</c:v>
                </c:pt>
                <c:pt idx="279">
                  <c:v>205.5</c:v>
                </c:pt>
                <c:pt idx="280">
                  <c:v>206</c:v>
                </c:pt>
                <c:pt idx="281">
                  <c:v>206.5</c:v>
                </c:pt>
                <c:pt idx="282">
                  <c:v>207</c:v>
                </c:pt>
                <c:pt idx="283">
                  <c:v>207.5</c:v>
                </c:pt>
                <c:pt idx="284">
                  <c:v>208</c:v>
                </c:pt>
                <c:pt idx="285">
                  <c:v>209</c:v>
                </c:pt>
                <c:pt idx="286">
                  <c:v>210</c:v>
                </c:pt>
                <c:pt idx="287">
                  <c:v>211</c:v>
                </c:pt>
                <c:pt idx="288">
                  <c:v>212</c:v>
                </c:pt>
                <c:pt idx="289">
                  <c:v>212.5</c:v>
                </c:pt>
                <c:pt idx="290">
                  <c:v>213</c:v>
                </c:pt>
                <c:pt idx="291">
                  <c:v>213.5</c:v>
                </c:pt>
                <c:pt idx="292">
                  <c:v>214</c:v>
                </c:pt>
                <c:pt idx="293">
                  <c:v>214.5</c:v>
                </c:pt>
                <c:pt idx="294">
                  <c:v>215</c:v>
                </c:pt>
                <c:pt idx="295">
                  <c:v>215.5</c:v>
                </c:pt>
                <c:pt idx="296">
                  <c:v>216</c:v>
                </c:pt>
                <c:pt idx="297">
                  <c:v>217</c:v>
                </c:pt>
                <c:pt idx="298">
                  <c:v>218</c:v>
                </c:pt>
                <c:pt idx="299">
                  <c:v>219</c:v>
                </c:pt>
                <c:pt idx="300">
                  <c:v>220</c:v>
                </c:pt>
                <c:pt idx="301">
                  <c:v>220.5</c:v>
                </c:pt>
                <c:pt idx="302">
                  <c:v>221</c:v>
                </c:pt>
                <c:pt idx="303">
                  <c:v>221.5</c:v>
                </c:pt>
                <c:pt idx="304">
                  <c:v>222</c:v>
                </c:pt>
                <c:pt idx="305">
                  <c:v>222.5</c:v>
                </c:pt>
                <c:pt idx="306">
                  <c:v>223</c:v>
                </c:pt>
                <c:pt idx="307">
                  <c:v>223.5</c:v>
                </c:pt>
                <c:pt idx="308">
                  <c:v>224</c:v>
                </c:pt>
                <c:pt idx="309">
                  <c:v>225</c:v>
                </c:pt>
                <c:pt idx="310">
                  <c:v>226</c:v>
                </c:pt>
                <c:pt idx="311">
                  <c:v>227</c:v>
                </c:pt>
                <c:pt idx="312">
                  <c:v>228</c:v>
                </c:pt>
                <c:pt idx="313">
                  <c:v>228.5</c:v>
                </c:pt>
                <c:pt idx="314">
                  <c:v>229</c:v>
                </c:pt>
                <c:pt idx="315">
                  <c:v>230</c:v>
                </c:pt>
                <c:pt idx="316">
                  <c:v>231</c:v>
                </c:pt>
                <c:pt idx="317">
                  <c:v>232</c:v>
                </c:pt>
                <c:pt idx="318">
                  <c:v>232.5</c:v>
                </c:pt>
                <c:pt idx="319">
                  <c:v>233</c:v>
                </c:pt>
                <c:pt idx="320">
                  <c:v>234</c:v>
                </c:pt>
                <c:pt idx="321">
                  <c:v>235</c:v>
                </c:pt>
                <c:pt idx="322">
                  <c:v>236</c:v>
                </c:pt>
                <c:pt idx="323">
                  <c:v>236.5</c:v>
                </c:pt>
                <c:pt idx="324">
                  <c:v>237</c:v>
                </c:pt>
                <c:pt idx="325">
                  <c:v>238</c:v>
                </c:pt>
                <c:pt idx="326">
                  <c:v>239</c:v>
                </c:pt>
                <c:pt idx="327">
                  <c:v>240</c:v>
                </c:pt>
                <c:pt idx="328">
                  <c:v>240.5</c:v>
                </c:pt>
                <c:pt idx="329">
                  <c:v>241</c:v>
                </c:pt>
                <c:pt idx="330">
                  <c:v>242</c:v>
                </c:pt>
                <c:pt idx="331">
                  <c:v>243</c:v>
                </c:pt>
                <c:pt idx="332">
                  <c:v>244</c:v>
                </c:pt>
                <c:pt idx="333">
                  <c:v>244.5</c:v>
                </c:pt>
                <c:pt idx="334">
                  <c:v>245</c:v>
                </c:pt>
                <c:pt idx="335">
                  <c:v>246</c:v>
                </c:pt>
                <c:pt idx="336">
                  <c:v>246.5</c:v>
                </c:pt>
                <c:pt idx="337">
                  <c:v>247</c:v>
                </c:pt>
                <c:pt idx="338">
                  <c:v>248</c:v>
                </c:pt>
                <c:pt idx="339">
                  <c:v>248.5</c:v>
                </c:pt>
                <c:pt idx="340">
                  <c:v>249</c:v>
                </c:pt>
                <c:pt idx="341">
                  <c:v>250</c:v>
                </c:pt>
                <c:pt idx="342">
                  <c:v>250.5</c:v>
                </c:pt>
                <c:pt idx="343">
                  <c:v>251</c:v>
                </c:pt>
                <c:pt idx="344">
                  <c:v>252</c:v>
                </c:pt>
                <c:pt idx="345">
                  <c:v>252.5</c:v>
                </c:pt>
                <c:pt idx="346">
                  <c:v>253</c:v>
                </c:pt>
                <c:pt idx="347">
                  <c:v>254</c:v>
                </c:pt>
                <c:pt idx="348">
                  <c:v>255</c:v>
                </c:pt>
                <c:pt idx="349">
                  <c:v>256</c:v>
                </c:pt>
                <c:pt idx="350">
                  <c:v>256.5</c:v>
                </c:pt>
                <c:pt idx="351">
                  <c:v>257</c:v>
                </c:pt>
                <c:pt idx="352">
                  <c:v>258</c:v>
                </c:pt>
                <c:pt idx="353">
                  <c:v>259</c:v>
                </c:pt>
                <c:pt idx="354">
                  <c:v>260</c:v>
                </c:pt>
                <c:pt idx="355">
                  <c:v>260.5</c:v>
                </c:pt>
                <c:pt idx="356">
                  <c:v>261</c:v>
                </c:pt>
                <c:pt idx="357">
                  <c:v>262</c:v>
                </c:pt>
                <c:pt idx="358">
                  <c:v>263</c:v>
                </c:pt>
                <c:pt idx="359">
                  <c:v>264</c:v>
                </c:pt>
                <c:pt idx="360">
                  <c:v>264.5</c:v>
                </c:pt>
                <c:pt idx="361">
                  <c:v>265</c:v>
                </c:pt>
                <c:pt idx="362">
                  <c:v>266</c:v>
                </c:pt>
                <c:pt idx="363">
                  <c:v>267</c:v>
                </c:pt>
                <c:pt idx="364">
                  <c:v>268</c:v>
                </c:pt>
                <c:pt idx="365">
                  <c:v>268.5</c:v>
                </c:pt>
                <c:pt idx="366">
                  <c:v>269</c:v>
                </c:pt>
                <c:pt idx="367">
                  <c:v>270</c:v>
                </c:pt>
                <c:pt idx="368">
                  <c:v>270.5</c:v>
                </c:pt>
                <c:pt idx="369">
                  <c:v>271</c:v>
                </c:pt>
                <c:pt idx="370">
                  <c:v>272</c:v>
                </c:pt>
                <c:pt idx="371">
                  <c:v>272.5</c:v>
                </c:pt>
                <c:pt idx="372">
                  <c:v>273</c:v>
                </c:pt>
                <c:pt idx="373">
                  <c:v>274</c:v>
                </c:pt>
                <c:pt idx="374">
                  <c:v>274.5</c:v>
                </c:pt>
                <c:pt idx="375">
                  <c:v>275</c:v>
                </c:pt>
                <c:pt idx="376">
                  <c:v>276</c:v>
                </c:pt>
                <c:pt idx="377">
                  <c:v>276.5</c:v>
                </c:pt>
                <c:pt idx="378">
                  <c:v>277</c:v>
                </c:pt>
                <c:pt idx="379">
                  <c:v>278</c:v>
                </c:pt>
                <c:pt idx="380">
                  <c:v>278.5</c:v>
                </c:pt>
                <c:pt idx="381">
                  <c:v>279</c:v>
                </c:pt>
                <c:pt idx="382">
                  <c:v>280</c:v>
                </c:pt>
                <c:pt idx="383">
                  <c:v>280.5</c:v>
                </c:pt>
                <c:pt idx="384">
                  <c:v>281</c:v>
                </c:pt>
                <c:pt idx="385">
                  <c:v>282</c:v>
                </c:pt>
                <c:pt idx="386">
                  <c:v>282.5</c:v>
                </c:pt>
                <c:pt idx="387">
                  <c:v>283</c:v>
                </c:pt>
                <c:pt idx="388">
                  <c:v>284</c:v>
                </c:pt>
                <c:pt idx="389">
                  <c:v>284.5</c:v>
                </c:pt>
                <c:pt idx="390">
                  <c:v>285</c:v>
                </c:pt>
                <c:pt idx="391">
                  <c:v>286</c:v>
                </c:pt>
                <c:pt idx="392">
                  <c:v>286.5</c:v>
                </c:pt>
                <c:pt idx="393">
                  <c:v>287</c:v>
                </c:pt>
                <c:pt idx="394">
                  <c:v>288</c:v>
                </c:pt>
                <c:pt idx="395">
                  <c:v>288.5</c:v>
                </c:pt>
                <c:pt idx="396">
                  <c:v>289</c:v>
                </c:pt>
                <c:pt idx="397">
                  <c:v>290</c:v>
                </c:pt>
                <c:pt idx="398">
                  <c:v>290.5</c:v>
                </c:pt>
                <c:pt idx="399">
                  <c:v>291</c:v>
                </c:pt>
                <c:pt idx="400">
                  <c:v>292</c:v>
                </c:pt>
                <c:pt idx="401">
                  <c:v>292.5</c:v>
                </c:pt>
                <c:pt idx="402">
                  <c:v>293</c:v>
                </c:pt>
                <c:pt idx="403">
                  <c:v>294</c:v>
                </c:pt>
                <c:pt idx="404">
                  <c:v>294.5</c:v>
                </c:pt>
                <c:pt idx="405">
                  <c:v>295</c:v>
                </c:pt>
                <c:pt idx="406">
                  <c:v>296</c:v>
                </c:pt>
                <c:pt idx="407">
                  <c:v>296.5</c:v>
                </c:pt>
                <c:pt idx="408">
                  <c:v>297</c:v>
                </c:pt>
                <c:pt idx="409">
                  <c:v>298</c:v>
                </c:pt>
                <c:pt idx="410">
                  <c:v>298.5</c:v>
                </c:pt>
                <c:pt idx="411">
                  <c:v>299</c:v>
                </c:pt>
                <c:pt idx="412">
                  <c:v>301</c:v>
                </c:pt>
                <c:pt idx="413">
                  <c:v>302</c:v>
                </c:pt>
                <c:pt idx="414">
                  <c:v>303.5</c:v>
                </c:pt>
                <c:pt idx="415">
                  <c:v>304</c:v>
                </c:pt>
                <c:pt idx="416">
                  <c:v>305</c:v>
                </c:pt>
                <c:pt idx="417">
                  <c:v>305.75</c:v>
                </c:pt>
                <c:pt idx="418">
                  <c:v>309.5</c:v>
                </c:pt>
                <c:pt idx="419">
                  <c:v>312</c:v>
                </c:pt>
                <c:pt idx="420">
                  <c:v>315</c:v>
                </c:pt>
                <c:pt idx="421">
                  <c:v>318</c:v>
                </c:pt>
                <c:pt idx="422">
                  <c:v>321</c:v>
                </c:pt>
              </c:numCache>
            </c:numRef>
          </c:xVal>
          <c:yVal>
            <c:numRef>
              <c:f>Sheet4!$D$870:$D$1292</c:f>
              <c:numCache>
                <c:formatCode>General</c:formatCode>
                <c:ptCount val="423"/>
                <c:pt idx="0">
                  <c:v>293.66975814369101</c:v>
                </c:pt>
                <c:pt idx="1">
                  <c:v>392.00377257605692</c:v>
                </c:pt>
                <c:pt idx="2">
                  <c:v>392.00377257605692</c:v>
                </c:pt>
                <c:pt idx="3">
                  <c:v>392.00377257605692</c:v>
                </c:pt>
                <c:pt idx="4">
                  <c:v>392.00377257605692</c:v>
                </c:pt>
                <c:pt idx="5">
                  <c:v>293.66975814369101</c:v>
                </c:pt>
                <c:pt idx="6">
                  <c:v>392.00377257605692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392.00377257605692</c:v>
                </c:pt>
                <c:pt idx="10">
                  <c:v>293.66975814369101</c:v>
                </c:pt>
                <c:pt idx="11">
                  <c:v>392.00377257605692</c:v>
                </c:pt>
                <c:pt idx="12">
                  <c:v>392.00377257605692</c:v>
                </c:pt>
                <c:pt idx="13">
                  <c:v>392.00377257605692</c:v>
                </c:pt>
                <c:pt idx="14">
                  <c:v>392.00377257605692</c:v>
                </c:pt>
                <c:pt idx="15">
                  <c:v>293.66975814369101</c:v>
                </c:pt>
                <c:pt idx="16">
                  <c:v>392.00377257605692</c:v>
                </c:pt>
                <c:pt idx="17">
                  <c:v>392.00377257605692</c:v>
                </c:pt>
                <c:pt idx="18">
                  <c:v>392.00377257605692</c:v>
                </c:pt>
                <c:pt idx="19">
                  <c:v>392.00377257605692</c:v>
                </c:pt>
                <c:pt idx="20">
                  <c:v>293.66975814369101</c:v>
                </c:pt>
                <c:pt idx="21">
                  <c:v>493.89549345236594</c:v>
                </c:pt>
                <c:pt idx="22">
                  <c:v>493.89549345236594</c:v>
                </c:pt>
                <c:pt idx="23">
                  <c:v>293.66975814369101</c:v>
                </c:pt>
                <c:pt idx="24">
                  <c:v>392.00377257605692</c:v>
                </c:pt>
                <c:pt idx="25">
                  <c:v>392.00377257605692</c:v>
                </c:pt>
                <c:pt idx="26">
                  <c:v>440.01010976071973</c:v>
                </c:pt>
                <c:pt idx="27">
                  <c:v>392.00377257605692</c:v>
                </c:pt>
                <c:pt idx="28">
                  <c:v>392.00377257605692</c:v>
                </c:pt>
                <c:pt idx="29">
                  <c:v>493.89549345236594</c:v>
                </c:pt>
                <c:pt idx="30">
                  <c:v>587.34554108704231</c:v>
                </c:pt>
                <c:pt idx="31">
                  <c:v>293.66975814369101</c:v>
                </c:pt>
                <c:pt idx="32">
                  <c:v>440.01010976071973</c:v>
                </c:pt>
                <c:pt idx="33">
                  <c:v>440.01010976071973</c:v>
                </c:pt>
                <c:pt idx="34">
                  <c:v>293.66975814369101</c:v>
                </c:pt>
                <c:pt idx="35">
                  <c:v>392.00377257605692</c:v>
                </c:pt>
                <c:pt idx="36">
                  <c:v>392.00377257605692</c:v>
                </c:pt>
                <c:pt idx="37">
                  <c:v>329.63372180082422</c:v>
                </c:pt>
                <c:pt idx="38">
                  <c:v>392.00377257605692</c:v>
                </c:pt>
                <c:pt idx="39">
                  <c:v>392.00377257605692</c:v>
                </c:pt>
                <c:pt idx="40">
                  <c:v>392.00377257605692</c:v>
                </c:pt>
                <c:pt idx="41">
                  <c:v>392.00377257605692</c:v>
                </c:pt>
                <c:pt idx="42">
                  <c:v>440.01010976071973</c:v>
                </c:pt>
                <c:pt idx="43">
                  <c:v>392.00377257605692</c:v>
                </c:pt>
                <c:pt idx="44">
                  <c:v>392.00377257605692</c:v>
                </c:pt>
                <c:pt idx="45">
                  <c:v>493.89549345236594</c:v>
                </c:pt>
                <c:pt idx="46">
                  <c:v>587.34554108704231</c:v>
                </c:pt>
                <c:pt idx="47">
                  <c:v>293.66975814369101</c:v>
                </c:pt>
                <c:pt idx="48">
                  <c:v>493.89549345236594</c:v>
                </c:pt>
                <c:pt idx="49">
                  <c:v>493.89549345236594</c:v>
                </c:pt>
                <c:pt idx="50">
                  <c:v>293.66975814369101</c:v>
                </c:pt>
                <c:pt idx="51">
                  <c:v>392.00377257605692</c:v>
                </c:pt>
                <c:pt idx="52">
                  <c:v>392.00377257605692</c:v>
                </c:pt>
                <c:pt idx="53">
                  <c:v>392.00377257605692</c:v>
                </c:pt>
                <c:pt idx="54">
                  <c:v>392.00377257605692</c:v>
                </c:pt>
                <c:pt idx="55">
                  <c:v>392.00377257605692</c:v>
                </c:pt>
                <c:pt idx="56">
                  <c:v>440.01010976071973</c:v>
                </c:pt>
                <c:pt idx="57">
                  <c:v>523.26449507501752</c:v>
                </c:pt>
                <c:pt idx="58">
                  <c:v>293.66975814369101</c:v>
                </c:pt>
                <c:pt idx="59">
                  <c:v>349.23506143398839</c:v>
                </c:pt>
                <c:pt idx="60">
                  <c:v>329.63372180082422</c:v>
                </c:pt>
                <c:pt idx="61">
                  <c:v>329.63372180082422</c:v>
                </c:pt>
                <c:pt idx="62">
                  <c:v>329.63372180082422</c:v>
                </c:pt>
                <c:pt idx="63">
                  <c:v>293.66975814369101</c:v>
                </c:pt>
                <c:pt idx="64">
                  <c:v>493.89549345236594</c:v>
                </c:pt>
                <c:pt idx="65">
                  <c:v>493.89549345236594</c:v>
                </c:pt>
                <c:pt idx="66">
                  <c:v>293.66975814369101</c:v>
                </c:pt>
                <c:pt idx="67">
                  <c:v>392.00377257605692</c:v>
                </c:pt>
                <c:pt idx="68">
                  <c:v>392.00377257605692</c:v>
                </c:pt>
                <c:pt idx="69">
                  <c:v>440.01010976071973</c:v>
                </c:pt>
                <c:pt idx="70">
                  <c:v>392.00377257605692</c:v>
                </c:pt>
                <c:pt idx="71">
                  <c:v>392.00377257605692</c:v>
                </c:pt>
                <c:pt idx="72">
                  <c:v>493.89549345236594</c:v>
                </c:pt>
                <c:pt idx="73">
                  <c:v>587.34554108704231</c:v>
                </c:pt>
                <c:pt idx="74">
                  <c:v>293.66975814369101</c:v>
                </c:pt>
                <c:pt idx="75">
                  <c:v>440.01010976071973</c:v>
                </c:pt>
                <c:pt idx="76">
                  <c:v>440.01010976071973</c:v>
                </c:pt>
                <c:pt idx="77">
                  <c:v>293.66975814369101</c:v>
                </c:pt>
                <c:pt idx="78">
                  <c:v>392.00377257605692</c:v>
                </c:pt>
                <c:pt idx="79">
                  <c:v>392.00377257605692</c:v>
                </c:pt>
                <c:pt idx="80">
                  <c:v>329.63372180082422</c:v>
                </c:pt>
                <c:pt idx="81">
                  <c:v>392.00377257605692</c:v>
                </c:pt>
                <c:pt idx="82">
                  <c:v>392.00377257605692</c:v>
                </c:pt>
                <c:pt idx="83">
                  <c:v>392.00377257605692</c:v>
                </c:pt>
                <c:pt idx="84">
                  <c:v>392.00377257605692</c:v>
                </c:pt>
                <c:pt idx="85">
                  <c:v>440.01010976071973</c:v>
                </c:pt>
                <c:pt idx="86">
                  <c:v>392.00377257605692</c:v>
                </c:pt>
                <c:pt idx="87">
                  <c:v>392.00377257605692</c:v>
                </c:pt>
                <c:pt idx="88">
                  <c:v>493.89549345236594</c:v>
                </c:pt>
                <c:pt idx="89">
                  <c:v>587.34554108704231</c:v>
                </c:pt>
                <c:pt idx="90">
                  <c:v>293.66975814369101</c:v>
                </c:pt>
                <c:pt idx="91">
                  <c:v>493.89549345236594</c:v>
                </c:pt>
                <c:pt idx="92">
                  <c:v>493.89549345236594</c:v>
                </c:pt>
                <c:pt idx="93">
                  <c:v>293.66975814369101</c:v>
                </c:pt>
                <c:pt idx="94">
                  <c:v>392.00377257605692</c:v>
                </c:pt>
                <c:pt idx="95">
                  <c:v>392.00377257605692</c:v>
                </c:pt>
                <c:pt idx="96">
                  <c:v>392.00377257605692</c:v>
                </c:pt>
                <c:pt idx="97">
                  <c:v>392.00377257605692</c:v>
                </c:pt>
                <c:pt idx="98">
                  <c:v>392.00377257605692</c:v>
                </c:pt>
                <c:pt idx="99">
                  <c:v>440.01010976071973</c:v>
                </c:pt>
                <c:pt idx="100">
                  <c:v>523.26449507501752</c:v>
                </c:pt>
                <c:pt idx="101">
                  <c:v>293.66975814369101</c:v>
                </c:pt>
                <c:pt idx="102">
                  <c:v>349.23506143398839</c:v>
                </c:pt>
                <c:pt idx="103">
                  <c:v>329.63372180082422</c:v>
                </c:pt>
                <c:pt idx="104">
                  <c:v>329.63372180082422</c:v>
                </c:pt>
                <c:pt idx="105">
                  <c:v>329.63372180082422</c:v>
                </c:pt>
                <c:pt idx="106">
                  <c:v>349.23506143398839</c:v>
                </c:pt>
                <c:pt idx="107">
                  <c:v>392.00377257605692</c:v>
                </c:pt>
                <c:pt idx="108">
                  <c:v>392.00377257605692</c:v>
                </c:pt>
                <c:pt idx="109">
                  <c:v>349.23506143398839</c:v>
                </c:pt>
                <c:pt idx="110">
                  <c:v>392.00377257605692</c:v>
                </c:pt>
                <c:pt idx="111">
                  <c:v>392.00377257605692</c:v>
                </c:pt>
                <c:pt idx="112">
                  <c:v>349.23506143398839</c:v>
                </c:pt>
                <c:pt idx="113">
                  <c:v>392.00377257605692</c:v>
                </c:pt>
                <c:pt idx="114">
                  <c:v>392.00377257605692</c:v>
                </c:pt>
                <c:pt idx="115">
                  <c:v>349.23506143398839</c:v>
                </c:pt>
                <c:pt idx="116">
                  <c:v>392.00377257605692</c:v>
                </c:pt>
                <c:pt idx="117">
                  <c:v>392.00377257605692</c:v>
                </c:pt>
                <c:pt idx="118">
                  <c:v>293.66975814369101</c:v>
                </c:pt>
                <c:pt idx="119">
                  <c:v>349.23506143398839</c:v>
                </c:pt>
                <c:pt idx="120">
                  <c:v>293.66975814369101</c:v>
                </c:pt>
                <c:pt idx="121">
                  <c:v>392.00377257605692</c:v>
                </c:pt>
                <c:pt idx="122">
                  <c:v>293.66975814369101</c:v>
                </c:pt>
                <c:pt idx="123">
                  <c:v>440.01010976071973</c:v>
                </c:pt>
                <c:pt idx="124">
                  <c:v>293.66975814369101</c:v>
                </c:pt>
                <c:pt idx="125">
                  <c:v>493.89549345236594</c:v>
                </c:pt>
                <c:pt idx="126">
                  <c:v>587.34554108704231</c:v>
                </c:pt>
                <c:pt idx="127">
                  <c:v>587.34554108704231</c:v>
                </c:pt>
                <c:pt idx="128">
                  <c:v>587.34554108704231</c:v>
                </c:pt>
                <c:pt idx="129">
                  <c:v>587.34554108704231</c:v>
                </c:pt>
                <c:pt idx="130">
                  <c:v>293.66975814369101</c:v>
                </c:pt>
                <c:pt idx="131">
                  <c:v>349.23506143398839</c:v>
                </c:pt>
                <c:pt idx="132">
                  <c:v>293.66975814369101</c:v>
                </c:pt>
                <c:pt idx="133">
                  <c:v>392.00377257605692</c:v>
                </c:pt>
                <c:pt idx="134">
                  <c:v>293.66975814369101</c:v>
                </c:pt>
                <c:pt idx="135">
                  <c:v>440.01010976071973</c:v>
                </c:pt>
                <c:pt idx="136">
                  <c:v>293.66975814369101</c:v>
                </c:pt>
                <c:pt idx="137">
                  <c:v>493.89549345236594</c:v>
                </c:pt>
                <c:pt idx="138">
                  <c:v>587.34554108704231</c:v>
                </c:pt>
                <c:pt idx="139">
                  <c:v>587.34554108704231</c:v>
                </c:pt>
                <c:pt idx="140">
                  <c:v>587.34554108704231</c:v>
                </c:pt>
                <c:pt idx="141">
                  <c:v>587.34554108704231</c:v>
                </c:pt>
                <c:pt idx="142">
                  <c:v>293.66975814369101</c:v>
                </c:pt>
                <c:pt idx="143">
                  <c:v>349.23506143398839</c:v>
                </c:pt>
                <c:pt idx="144">
                  <c:v>293.66975814369101</c:v>
                </c:pt>
                <c:pt idx="145">
                  <c:v>392.00377257605692</c:v>
                </c:pt>
                <c:pt idx="146">
                  <c:v>293.66975814369101</c:v>
                </c:pt>
                <c:pt idx="147">
                  <c:v>440.01010976071973</c:v>
                </c:pt>
                <c:pt idx="148">
                  <c:v>293.66975814369101</c:v>
                </c:pt>
                <c:pt idx="149">
                  <c:v>493.89549345236594</c:v>
                </c:pt>
                <c:pt idx="150">
                  <c:v>587.34554108704231</c:v>
                </c:pt>
                <c:pt idx="151">
                  <c:v>587.34554108704231</c:v>
                </c:pt>
                <c:pt idx="152">
                  <c:v>587.34554108704231</c:v>
                </c:pt>
                <c:pt idx="153">
                  <c:v>587.34554108704231</c:v>
                </c:pt>
                <c:pt idx="154">
                  <c:v>293.66975814369101</c:v>
                </c:pt>
                <c:pt idx="155">
                  <c:v>349.23506143398839</c:v>
                </c:pt>
                <c:pt idx="156">
                  <c:v>293.66975814369101</c:v>
                </c:pt>
                <c:pt idx="157">
                  <c:v>392.00377257605692</c:v>
                </c:pt>
                <c:pt idx="158">
                  <c:v>293.66975814369101</c:v>
                </c:pt>
                <c:pt idx="159">
                  <c:v>440.01010976071973</c:v>
                </c:pt>
                <c:pt idx="160">
                  <c:v>293.66975814369101</c:v>
                </c:pt>
                <c:pt idx="161">
                  <c:v>493.89549345236594</c:v>
                </c:pt>
                <c:pt idx="162">
                  <c:v>587.34554108704231</c:v>
                </c:pt>
                <c:pt idx="163">
                  <c:v>587.34554108704231</c:v>
                </c:pt>
                <c:pt idx="164">
                  <c:v>587.34554108704231</c:v>
                </c:pt>
                <c:pt idx="165">
                  <c:v>587.34554108704231</c:v>
                </c:pt>
                <c:pt idx="166">
                  <c:v>293.66975814369101</c:v>
                </c:pt>
                <c:pt idx="167">
                  <c:v>493.89549345236594</c:v>
                </c:pt>
                <c:pt idx="168">
                  <c:v>493.89549345236594</c:v>
                </c:pt>
                <c:pt idx="169">
                  <c:v>293.66975814369101</c:v>
                </c:pt>
                <c:pt idx="170">
                  <c:v>392.00377257605692</c:v>
                </c:pt>
                <c:pt idx="171">
                  <c:v>392.00377257605692</c:v>
                </c:pt>
                <c:pt idx="172">
                  <c:v>440.01010976071973</c:v>
                </c:pt>
                <c:pt idx="173">
                  <c:v>392.00377257605692</c:v>
                </c:pt>
                <c:pt idx="174">
                  <c:v>392.00377257605692</c:v>
                </c:pt>
                <c:pt idx="175">
                  <c:v>493.89549345236594</c:v>
                </c:pt>
                <c:pt idx="176">
                  <c:v>587.34554108704231</c:v>
                </c:pt>
                <c:pt idx="177">
                  <c:v>293.66975814369101</c:v>
                </c:pt>
                <c:pt idx="178">
                  <c:v>440.01010976071973</c:v>
                </c:pt>
                <c:pt idx="179">
                  <c:v>440.01010976071973</c:v>
                </c:pt>
                <c:pt idx="180">
                  <c:v>293.66975814369101</c:v>
                </c:pt>
                <c:pt idx="181">
                  <c:v>392.00377257605692</c:v>
                </c:pt>
                <c:pt idx="182">
                  <c:v>392.00377257605692</c:v>
                </c:pt>
                <c:pt idx="183">
                  <c:v>329.63372180082422</c:v>
                </c:pt>
                <c:pt idx="184">
                  <c:v>392.00377257605692</c:v>
                </c:pt>
                <c:pt idx="185">
                  <c:v>392.00377257605692</c:v>
                </c:pt>
                <c:pt idx="186">
                  <c:v>392.00377257605692</c:v>
                </c:pt>
                <c:pt idx="187">
                  <c:v>392.00377257605692</c:v>
                </c:pt>
                <c:pt idx="188">
                  <c:v>440.01010976071973</c:v>
                </c:pt>
                <c:pt idx="189">
                  <c:v>392.00377257605692</c:v>
                </c:pt>
                <c:pt idx="190">
                  <c:v>392.00377257605692</c:v>
                </c:pt>
                <c:pt idx="191">
                  <c:v>493.89549345236594</c:v>
                </c:pt>
                <c:pt idx="192">
                  <c:v>587.34554108704231</c:v>
                </c:pt>
                <c:pt idx="193">
                  <c:v>293.66975814369101</c:v>
                </c:pt>
                <c:pt idx="194">
                  <c:v>493.89549345236594</c:v>
                </c:pt>
                <c:pt idx="195">
                  <c:v>493.89549345236594</c:v>
                </c:pt>
                <c:pt idx="196">
                  <c:v>293.66975814369101</c:v>
                </c:pt>
                <c:pt idx="197">
                  <c:v>392.00377257605692</c:v>
                </c:pt>
                <c:pt idx="198">
                  <c:v>392.00377257605692</c:v>
                </c:pt>
                <c:pt idx="199">
                  <c:v>392.00377257605692</c:v>
                </c:pt>
                <c:pt idx="200">
                  <c:v>392.00377257605692</c:v>
                </c:pt>
                <c:pt idx="201">
                  <c:v>392.00377257605692</c:v>
                </c:pt>
                <c:pt idx="202">
                  <c:v>440.01010976071973</c:v>
                </c:pt>
                <c:pt idx="203">
                  <c:v>523.26449507501752</c:v>
                </c:pt>
                <c:pt idx="204">
                  <c:v>293.66975814369101</c:v>
                </c:pt>
                <c:pt idx="205">
                  <c:v>349.23506143398839</c:v>
                </c:pt>
                <c:pt idx="206">
                  <c:v>329.63372180082422</c:v>
                </c:pt>
                <c:pt idx="207">
                  <c:v>329.63372180082422</c:v>
                </c:pt>
                <c:pt idx="208">
                  <c:v>329.63372180082422</c:v>
                </c:pt>
                <c:pt idx="209">
                  <c:v>293.66975814369101</c:v>
                </c:pt>
                <c:pt idx="210">
                  <c:v>493.89549345236594</c:v>
                </c:pt>
                <c:pt idx="211">
                  <c:v>493.89549345236594</c:v>
                </c:pt>
                <c:pt idx="212">
                  <c:v>293.66975814369101</c:v>
                </c:pt>
                <c:pt idx="213">
                  <c:v>392.00377257605692</c:v>
                </c:pt>
                <c:pt idx="214">
                  <c:v>392.00377257605692</c:v>
                </c:pt>
                <c:pt idx="215">
                  <c:v>440.01010976071973</c:v>
                </c:pt>
                <c:pt idx="216">
                  <c:v>392.00377257605692</c:v>
                </c:pt>
                <c:pt idx="217">
                  <c:v>392.00377257605692</c:v>
                </c:pt>
                <c:pt idx="218">
                  <c:v>493.89549345236594</c:v>
                </c:pt>
                <c:pt idx="219">
                  <c:v>587.34554108704231</c:v>
                </c:pt>
                <c:pt idx="220">
                  <c:v>293.66975814369101</c:v>
                </c:pt>
                <c:pt idx="221">
                  <c:v>440.01010976071973</c:v>
                </c:pt>
                <c:pt idx="222">
                  <c:v>440.01010976071973</c:v>
                </c:pt>
                <c:pt idx="223">
                  <c:v>293.66975814369101</c:v>
                </c:pt>
                <c:pt idx="224">
                  <c:v>392.00377257605692</c:v>
                </c:pt>
                <c:pt idx="225">
                  <c:v>392.00377257605692</c:v>
                </c:pt>
                <c:pt idx="226">
                  <c:v>329.63372180082422</c:v>
                </c:pt>
                <c:pt idx="227">
                  <c:v>392.00377257605692</c:v>
                </c:pt>
                <c:pt idx="228">
                  <c:v>392.00377257605692</c:v>
                </c:pt>
                <c:pt idx="229">
                  <c:v>392.00377257605692</c:v>
                </c:pt>
                <c:pt idx="230">
                  <c:v>392.00377257605692</c:v>
                </c:pt>
                <c:pt idx="231">
                  <c:v>440.01010976071973</c:v>
                </c:pt>
                <c:pt idx="232">
                  <c:v>392.00377257605692</c:v>
                </c:pt>
                <c:pt idx="233">
                  <c:v>392.00377257605692</c:v>
                </c:pt>
                <c:pt idx="234">
                  <c:v>493.89549345236594</c:v>
                </c:pt>
                <c:pt idx="235">
                  <c:v>587.34554108704231</c:v>
                </c:pt>
                <c:pt idx="236">
                  <c:v>293.66975814369101</c:v>
                </c:pt>
                <c:pt idx="237">
                  <c:v>493.89549345236594</c:v>
                </c:pt>
                <c:pt idx="238">
                  <c:v>493.89549345236594</c:v>
                </c:pt>
                <c:pt idx="239">
                  <c:v>293.66975814369101</c:v>
                </c:pt>
                <c:pt idx="240">
                  <c:v>392.00377257605692</c:v>
                </c:pt>
                <c:pt idx="241">
                  <c:v>392.00377257605692</c:v>
                </c:pt>
                <c:pt idx="242">
                  <c:v>392.00377257605692</c:v>
                </c:pt>
                <c:pt idx="243">
                  <c:v>392.00377257605692</c:v>
                </c:pt>
                <c:pt idx="244">
                  <c:v>392.00377257605692</c:v>
                </c:pt>
                <c:pt idx="245">
                  <c:v>440.01010976071973</c:v>
                </c:pt>
                <c:pt idx="246">
                  <c:v>523.26449507501752</c:v>
                </c:pt>
                <c:pt idx="247">
                  <c:v>293.66975814369101</c:v>
                </c:pt>
                <c:pt idx="248">
                  <c:v>349.23506143398839</c:v>
                </c:pt>
                <c:pt idx="249">
                  <c:v>329.63372180082422</c:v>
                </c:pt>
                <c:pt idx="250">
                  <c:v>329.63372180082422</c:v>
                </c:pt>
                <c:pt idx="251">
                  <c:v>329.63372180082422</c:v>
                </c:pt>
                <c:pt idx="252">
                  <c:v>349.23506143398839</c:v>
                </c:pt>
                <c:pt idx="253">
                  <c:v>392.00377257605692</c:v>
                </c:pt>
                <c:pt idx="254">
                  <c:v>392.00377257605692</c:v>
                </c:pt>
                <c:pt idx="255">
                  <c:v>349.23506143398839</c:v>
                </c:pt>
                <c:pt idx="256">
                  <c:v>392.00377257605692</c:v>
                </c:pt>
                <c:pt idx="257">
                  <c:v>392.00377257605692</c:v>
                </c:pt>
                <c:pt idx="258">
                  <c:v>349.23506143398839</c:v>
                </c:pt>
                <c:pt idx="259">
                  <c:v>392.00377257605692</c:v>
                </c:pt>
                <c:pt idx="260">
                  <c:v>392.00377257605692</c:v>
                </c:pt>
                <c:pt idx="261">
                  <c:v>349.23506143398839</c:v>
                </c:pt>
                <c:pt idx="262">
                  <c:v>392.00377257605692</c:v>
                </c:pt>
                <c:pt idx="263">
                  <c:v>392.00377257605692</c:v>
                </c:pt>
                <c:pt idx="264">
                  <c:v>293.66975814369101</c:v>
                </c:pt>
                <c:pt idx="265">
                  <c:v>349.23506143398839</c:v>
                </c:pt>
                <c:pt idx="266">
                  <c:v>293.66975814369101</c:v>
                </c:pt>
                <c:pt idx="267">
                  <c:v>392.00377257605692</c:v>
                </c:pt>
                <c:pt idx="268">
                  <c:v>293.66975814369101</c:v>
                </c:pt>
                <c:pt idx="269">
                  <c:v>440.01010976071973</c:v>
                </c:pt>
                <c:pt idx="270">
                  <c:v>293.66975814369101</c:v>
                </c:pt>
                <c:pt idx="271">
                  <c:v>493.89549345236594</c:v>
                </c:pt>
                <c:pt idx="272">
                  <c:v>587.34554108704231</c:v>
                </c:pt>
                <c:pt idx="273">
                  <c:v>587.34554108704231</c:v>
                </c:pt>
                <c:pt idx="274">
                  <c:v>587.34554108704231</c:v>
                </c:pt>
                <c:pt idx="275">
                  <c:v>587.34554108704231</c:v>
                </c:pt>
                <c:pt idx="276">
                  <c:v>293.66975814369101</c:v>
                </c:pt>
                <c:pt idx="277">
                  <c:v>349.23506143398839</c:v>
                </c:pt>
                <c:pt idx="278">
                  <c:v>293.66975814369101</c:v>
                </c:pt>
                <c:pt idx="279">
                  <c:v>392.00377257605692</c:v>
                </c:pt>
                <c:pt idx="280">
                  <c:v>293.66975814369101</c:v>
                </c:pt>
                <c:pt idx="281">
                  <c:v>440.01010976071973</c:v>
                </c:pt>
                <c:pt idx="282">
                  <c:v>293.66975814369101</c:v>
                </c:pt>
                <c:pt idx="283">
                  <c:v>493.89549345236594</c:v>
                </c:pt>
                <c:pt idx="284">
                  <c:v>587.34554108704231</c:v>
                </c:pt>
                <c:pt idx="285">
                  <c:v>293.66975814369101</c:v>
                </c:pt>
                <c:pt idx="286">
                  <c:v>293.66975814369101</c:v>
                </c:pt>
                <c:pt idx="287">
                  <c:v>293.66975814369101</c:v>
                </c:pt>
                <c:pt idx="288">
                  <c:v>293.66975814369101</c:v>
                </c:pt>
                <c:pt idx="289">
                  <c:v>349.23506143398839</c:v>
                </c:pt>
                <c:pt idx="290">
                  <c:v>293.66975814369101</c:v>
                </c:pt>
                <c:pt idx="291">
                  <c:v>392.00377257605692</c:v>
                </c:pt>
                <c:pt idx="292">
                  <c:v>293.66975814369101</c:v>
                </c:pt>
                <c:pt idx="293">
                  <c:v>440.01010976071973</c:v>
                </c:pt>
                <c:pt idx="294">
                  <c:v>293.66975814369101</c:v>
                </c:pt>
                <c:pt idx="295">
                  <c:v>493.89549345236594</c:v>
                </c:pt>
                <c:pt idx="296">
                  <c:v>587.34554108704231</c:v>
                </c:pt>
                <c:pt idx="297">
                  <c:v>587.34554108704231</c:v>
                </c:pt>
                <c:pt idx="298">
                  <c:v>587.34554108704231</c:v>
                </c:pt>
                <c:pt idx="299">
                  <c:v>587.34554108704231</c:v>
                </c:pt>
                <c:pt idx="300">
                  <c:v>293.66975814369101</c:v>
                </c:pt>
                <c:pt idx="301">
                  <c:v>349.23506143398839</c:v>
                </c:pt>
                <c:pt idx="302">
                  <c:v>293.66975814369101</c:v>
                </c:pt>
                <c:pt idx="303">
                  <c:v>392.00377257605692</c:v>
                </c:pt>
                <c:pt idx="304">
                  <c:v>293.66975814369101</c:v>
                </c:pt>
                <c:pt idx="305">
                  <c:v>440.01010976071973</c:v>
                </c:pt>
                <c:pt idx="306">
                  <c:v>293.66975814369101</c:v>
                </c:pt>
                <c:pt idx="307">
                  <c:v>493.89549345236594</c:v>
                </c:pt>
                <c:pt idx="308">
                  <c:v>587.34554108704231</c:v>
                </c:pt>
                <c:pt idx="309">
                  <c:v>587.34554108704231</c:v>
                </c:pt>
                <c:pt idx="310">
                  <c:v>587.34554108704231</c:v>
                </c:pt>
                <c:pt idx="311">
                  <c:v>587.34554108704231</c:v>
                </c:pt>
                <c:pt idx="312">
                  <c:v>293.66975814369101</c:v>
                </c:pt>
                <c:pt idx="313">
                  <c:v>493.89549345236594</c:v>
                </c:pt>
                <c:pt idx="314">
                  <c:v>493.89549345236594</c:v>
                </c:pt>
                <c:pt idx="315">
                  <c:v>587.34554108704231</c:v>
                </c:pt>
                <c:pt idx="316">
                  <c:v>587.34554108704231</c:v>
                </c:pt>
                <c:pt idx="317">
                  <c:v>293.66975814369101</c:v>
                </c:pt>
                <c:pt idx="318">
                  <c:v>493.89549345236594</c:v>
                </c:pt>
                <c:pt idx="319">
                  <c:v>493.89549345236594</c:v>
                </c:pt>
                <c:pt idx="320">
                  <c:v>587.34554108704231</c:v>
                </c:pt>
                <c:pt idx="321">
                  <c:v>493.89549345236594</c:v>
                </c:pt>
                <c:pt idx="322">
                  <c:v>293.66975814369101</c:v>
                </c:pt>
                <c:pt idx="323">
                  <c:v>493.89549345236594</c:v>
                </c:pt>
                <c:pt idx="324">
                  <c:v>493.89549345236594</c:v>
                </c:pt>
                <c:pt idx="325">
                  <c:v>587.34554108704231</c:v>
                </c:pt>
                <c:pt idx="326">
                  <c:v>587.34554108704231</c:v>
                </c:pt>
                <c:pt idx="327">
                  <c:v>293.66975814369101</c:v>
                </c:pt>
                <c:pt idx="328">
                  <c:v>493.89549345236594</c:v>
                </c:pt>
                <c:pt idx="329">
                  <c:v>493.89549345236594</c:v>
                </c:pt>
                <c:pt idx="330">
                  <c:v>587.34554108704231</c:v>
                </c:pt>
                <c:pt idx="331">
                  <c:v>493.89549345236594</c:v>
                </c:pt>
                <c:pt idx="332">
                  <c:v>293.66975814369101</c:v>
                </c:pt>
                <c:pt idx="333">
                  <c:v>493.89549345236594</c:v>
                </c:pt>
                <c:pt idx="334">
                  <c:v>493.89549345236594</c:v>
                </c:pt>
                <c:pt idx="335">
                  <c:v>293.66975814369101</c:v>
                </c:pt>
                <c:pt idx="336">
                  <c:v>493.89549345236594</c:v>
                </c:pt>
                <c:pt idx="337">
                  <c:v>493.89549345236594</c:v>
                </c:pt>
                <c:pt idx="338">
                  <c:v>293.66975814369101</c:v>
                </c:pt>
                <c:pt idx="339">
                  <c:v>493.89549345236594</c:v>
                </c:pt>
                <c:pt idx="340">
                  <c:v>493.89549345236594</c:v>
                </c:pt>
                <c:pt idx="341">
                  <c:v>293.66975814369101</c:v>
                </c:pt>
                <c:pt idx="342">
                  <c:v>493.89549345236594</c:v>
                </c:pt>
                <c:pt idx="343">
                  <c:v>493.89549345236594</c:v>
                </c:pt>
                <c:pt idx="344">
                  <c:v>293.66975814369101</c:v>
                </c:pt>
                <c:pt idx="345">
                  <c:v>493.89549345236594</c:v>
                </c:pt>
                <c:pt idx="346">
                  <c:v>493.89549345236594</c:v>
                </c:pt>
                <c:pt idx="347">
                  <c:v>587.34554108704231</c:v>
                </c:pt>
                <c:pt idx="348">
                  <c:v>587.34554108704231</c:v>
                </c:pt>
                <c:pt idx="349">
                  <c:v>293.66975814369101</c:v>
                </c:pt>
                <c:pt idx="350">
                  <c:v>493.89549345236594</c:v>
                </c:pt>
                <c:pt idx="351">
                  <c:v>493.89549345236594</c:v>
                </c:pt>
                <c:pt idx="352">
                  <c:v>587.34554108704231</c:v>
                </c:pt>
                <c:pt idx="353">
                  <c:v>493.89549345236594</c:v>
                </c:pt>
                <c:pt idx="354">
                  <c:v>293.66975814369101</c:v>
                </c:pt>
                <c:pt idx="355">
                  <c:v>493.89549345236594</c:v>
                </c:pt>
                <c:pt idx="356">
                  <c:v>493.89549345236594</c:v>
                </c:pt>
                <c:pt idx="357">
                  <c:v>587.34554108704231</c:v>
                </c:pt>
                <c:pt idx="358">
                  <c:v>587.34554108704231</c:v>
                </c:pt>
                <c:pt idx="359">
                  <c:v>293.66975814369101</c:v>
                </c:pt>
                <c:pt idx="360">
                  <c:v>493.89549345236594</c:v>
                </c:pt>
                <c:pt idx="361">
                  <c:v>493.89549345236594</c:v>
                </c:pt>
                <c:pt idx="362">
                  <c:v>587.34554108704231</c:v>
                </c:pt>
                <c:pt idx="363">
                  <c:v>493.89549345236594</c:v>
                </c:pt>
                <c:pt idx="364">
                  <c:v>293.66975814369101</c:v>
                </c:pt>
                <c:pt idx="365">
                  <c:v>493.89549345236594</c:v>
                </c:pt>
                <c:pt idx="366">
                  <c:v>493.89549345236594</c:v>
                </c:pt>
                <c:pt idx="367">
                  <c:v>293.66975814369101</c:v>
                </c:pt>
                <c:pt idx="368">
                  <c:v>493.89549345236594</c:v>
                </c:pt>
                <c:pt idx="369">
                  <c:v>493.89549345236594</c:v>
                </c:pt>
                <c:pt idx="370">
                  <c:v>293.66975814369101</c:v>
                </c:pt>
                <c:pt idx="371">
                  <c:v>493.89549345236594</c:v>
                </c:pt>
                <c:pt idx="372">
                  <c:v>493.89549345236594</c:v>
                </c:pt>
                <c:pt idx="373">
                  <c:v>293.66975814369101</c:v>
                </c:pt>
                <c:pt idx="374">
                  <c:v>493.89549345236594</c:v>
                </c:pt>
                <c:pt idx="375">
                  <c:v>493.89549345236594</c:v>
                </c:pt>
                <c:pt idx="376">
                  <c:v>293.66975814369101</c:v>
                </c:pt>
                <c:pt idx="377">
                  <c:v>493.89549345236594</c:v>
                </c:pt>
                <c:pt idx="378">
                  <c:v>493.89549345236594</c:v>
                </c:pt>
                <c:pt idx="379">
                  <c:v>293.66975814369101</c:v>
                </c:pt>
                <c:pt idx="380">
                  <c:v>493.89549345236594</c:v>
                </c:pt>
                <c:pt idx="381">
                  <c:v>493.89549345236594</c:v>
                </c:pt>
                <c:pt idx="382">
                  <c:v>293.66975814369101</c:v>
                </c:pt>
                <c:pt idx="383">
                  <c:v>493.89549345236594</c:v>
                </c:pt>
                <c:pt idx="384">
                  <c:v>493.89549345236594</c:v>
                </c:pt>
                <c:pt idx="385">
                  <c:v>293.66975814369101</c:v>
                </c:pt>
                <c:pt idx="386">
                  <c:v>493.89549345236594</c:v>
                </c:pt>
                <c:pt idx="387">
                  <c:v>493.89549345236594</c:v>
                </c:pt>
                <c:pt idx="388">
                  <c:v>293.66975814369101</c:v>
                </c:pt>
                <c:pt idx="389">
                  <c:v>493.89549345236594</c:v>
                </c:pt>
                <c:pt idx="390">
                  <c:v>493.89549345236594</c:v>
                </c:pt>
                <c:pt idx="391">
                  <c:v>293.66975814369101</c:v>
                </c:pt>
                <c:pt idx="392">
                  <c:v>493.89549345236594</c:v>
                </c:pt>
                <c:pt idx="393">
                  <c:v>493.89549345236594</c:v>
                </c:pt>
                <c:pt idx="394">
                  <c:v>293.66975814369101</c:v>
                </c:pt>
                <c:pt idx="395">
                  <c:v>493.89549345236594</c:v>
                </c:pt>
                <c:pt idx="396">
                  <c:v>493.89549345236594</c:v>
                </c:pt>
                <c:pt idx="397">
                  <c:v>293.66975814369101</c:v>
                </c:pt>
                <c:pt idx="398">
                  <c:v>493.89549345236594</c:v>
                </c:pt>
                <c:pt idx="399">
                  <c:v>493.89549345236594</c:v>
                </c:pt>
                <c:pt idx="400">
                  <c:v>293.66975814369101</c:v>
                </c:pt>
                <c:pt idx="401">
                  <c:v>493.89549345236594</c:v>
                </c:pt>
                <c:pt idx="402">
                  <c:v>493.89549345236594</c:v>
                </c:pt>
                <c:pt idx="403">
                  <c:v>293.66975814369101</c:v>
                </c:pt>
                <c:pt idx="404">
                  <c:v>493.89549345236594</c:v>
                </c:pt>
                <c:pt idx="405">
                  <c:v>493.89549345236594</c:v>
                </c:pt>
                <c:pt idx="406">
                  <c:v>293.66975814369101</c:v>
                </c:pt>
                <c:pt idx="407">
                  <c:v>493.89549345236594</c:v>
                </c:pt>
                <c:pt idx="408">
                  <c:v>493.89549345236594</c:v>
                </c:pt>
                <c:pt idx="409">
                  <c:v>293.66975814369101</c:v>
                </c:pt>
                <c:pt idx="410">
                  <c:v>493.89549345236594</c:v>
                </c:pt>
                <c:pt idx="411">
                  <c:v>493.89549345236594</c:v>
                </c:pt>
                <c:pt idx="412">
                  <c:v>329.63372180082422</c:v>
                </c:pt>
                <c:pt idx="413">
                  <c:v>440.01010976071973</c:v>
                </c:pt>
                <c:pt idx="414">
                  <c:v>329.63372180082422</c:v>
                </c:pt>
                <c:pt idx="415">
                  <c:v>329.63372180082422</c:v>
                </c:pt>
                <c:pt idx="416">
                  <c:v>392.00377257605692</c:v>
                </c:pt>
                <c:pt idx="417">
                  <c:v>293.66975814369101</c:v>
                </c:pt>
                <c:pt idx="418">
                  <c:v>784.01558732918636</c:v>
                </c:pt>
                <c:pt idx="419">
                  <c:v>880.02924657542201</c:v>
                </c:pt>
                <c:pt idx="420">
                  <c:v>932.35930569378297</c:v>
                </c:pt>
                <c:pt idx="421">
                  <c:v>1046.5397252143878</c:v>
                </c:pt>
                <c:pt idx="422">
                  <c:v>987.80111944755811</c:v>
                </c:pt>
              </c:numCache>
            </c:numRef>
          </c:yVal>
          <c:smooth val="0"/>
        </c:ser>
        <c:ser>
          <c:idx val="3"/>
          <c:order val="1"/>
          <c:tx>
            <c:v>2nd Guitar</c:v>
          </c:tx>
          <c:spPr>
            <a:ln>
              <a:solidFill>
                <a:schemeClr val="accent2"/>
              </a:solidFill>
            </a:ln>
          </c:spPr>
          <c:marker>
            <c:symbol val="x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Sheet4!$F$870:$F$1300</c:f>
              <c:numCache>
                <c:formatCode>General</c:formatCode>
                <c:ptCount val="43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12.5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21.75</c:v>
                </c:pt>
                <c:pt idx="24">
                  <c:v>22.5</c:v>
                </c:pt>
                <c:pt idx="25">
                  <c:v>23.5</c:v>
                </c:pt>
                <c:pt idx="26">
                  <c:v>24.25</c:v>
                </c:pt>
                <c:pt idx="27">
                  <c:v>24.75</c:v>
                </c:pt>
                <c:pt idx="28">
                  <c:v>25.5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28.5</c:v>
                </c:pt>
                <c:pt idx="33">
                  <c:v>29</c:v>
                </c:pt>
                <c:pt idx="34">
                  <c:v>29.75</c:v>
                </c:pt>
                <c:pt idx="35">
                  <c:v>30.5</c:v>
                </c:pt>
                <c:pt idx="36">
                  <c:v>31.5</c:v>
                </c:pt>
                <c:pt idx="37">
                  <c:v>32.25</c:v>
                </c:pt>
                <c:pt idx="38">
                  <c:v>32.75</c:v>
                </c:pt>
                <c:pt idx="39">
                  <c:v>33.5</c:v>
                </c:pt>
                <c:pt idx="40">
                  <c:v>34</c:v>
                </c:pt>
                <c:pt idx="41">
                  <c:v>35</c:v>
                </c:pt>
                <c:pt idx="42">
                  <c:v>36</c:v>
                </c:pt>
                <c:pt idx="43">
                  <c:v>36.5</c:v>
                </c:pt>
                <c:pt idx="44">
                  <c:v>37</c:v>
                </c:pt>
                <c:pt idx="45">
                  <c:v>37.75</c:v>
                </c:pt>
                <c:pt idx="46">
                  <c:v>38.5</c:v>
                </c:pt>
                <c:pt idx="47">
                  <c:v>39.5</c:v>
                </c:pt>
                <c:pt idx="48">
                  <c:v>40.25</c:v>
                </c:pt>
                <c:pt idx="49">
                  <c:v>40.75</c:v>
                </c:pt>
                <c:pt idx="50">
                  <c:v>41.5</c:v>
                </c:pt>
                <c:pt idx="51">
                  <c:v>42</c:v>
                </c:pt>
                <c:pt idx="52">
                  <c:v>43</c:v>
                </c:pt>
                <c:pt idx="53">
                  <c:v>44</c:v>
                </c:pt>
                <c:pt idx="54">
                  <c:v>44.5</c:v>
                </c:pt>
                <c:pt idx="55">
                  <c:v>45</c:v>
                </c:pt>
                <c:pt idx="56">
                  <c:v>45.75</c:v>
                </c:pt>
                <c:pt idx="57">
                  <c:v>46.5</c:v>
                </c:pt>
                <c:pt idx="58">
                  <c:v>47.5</c:v>
                </c:pt>
                <c:pt idx="59">
                  <c:v>48.25</c:v>
                </c:pt>
                <c:pt idx="60">
                  <c:v>48.75</c:v>
                </c:pt>
                <c:pt idx="61">
                  <c:v>49.5</c:v>
                </c:pt>
                <c:pt idx="62">
                  <c:v>50</c:v>
                </c:pt>
                <c:pt idx="63">
                  <c:v>51</c:v>
                </c:pt>
                <c:pt idx="64">
                  <c:v>52</c:v>
                </c:pt>
                <c:pt idx="65">
                  <c:v>52.5</c:v>
                </c:pt>
                <c:pt idx="66">
                  <c:v>53</c:v>
                </c:pt>
                <c:pt idx="67">
                  <c:v>53.75</c:v>
                </c:pt>
                <c:pt idx="68">
                  <c:v>54.5</c:v>
                </c:pt>
                <c:pt idx="69">
                  <c:v>55.5</c:v>
                </c:pt>
                <c:pt idx="70">
                  <c:v>56.25</c:v>
                </c:pt>
                <c:pt idx="71">
                  <c:v>56.75</c:v>
                </c:pt>
                <c:pt idx="72">
                  <c:v>57.5</c:v>
                </c:pt>
                <c:pt idx="73">
                  <c:v>58</c:v>
                </c:pt>
                <c:pt idx="74">
                  <c:v>59</c:v>
                </c:pt>
                <c:pt idx="75">
                  <c:v>60</c:v>
                </c:pt>
                <c:pt idx="76">
                  <c:v>60.5</c:v>
                </c:pt>
                <c:pt idx="77">
                  <c:v>61</c:v>
                </c:pt>
                <c:pt idx="78">
                  <c:v>61.75</c:v>
                </c:pt>
                <c:pt idx="79">
                  <c:v>62.5</c:v>
                </c:pt>
                <c:pt idx="80">
                  <c:v>63.5</c:v>
                </c:pt>
                <c:pt idx="81">
                  <c:v>64.25</c:v>
                </c:pt>
                <c:pt idx="82">
                  <c:v>64.75</c:v>
                </c:pt>
                <c:pt idx="83">
                  <c:v>65.5</c:v>
                </c:pt>
                <c:pt idx="84">
                  <c:v>66</c:v>
                </c:pt>
                <c:pt idx="85">
                  <c:v>67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69.75</c:v>
                </c:pt>
                <c:pt idx="90">
                  <c:v>70.5</c:v>
                </c:pt>
                <c:pt idx="91">
                  <c:v>71.5</c:v>
                </c:pt>
                <c:pt idx="92">
                  <c:v>72.25</c:v>
                </c:pt>
                <c:pt idx="93">
                  <c:v>72.75</c:v>
                </c:pt>
                <c:pt idx="94">
                  <c:v>73.5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76.5</c:v>
                </c:pt>
                <c:pt idx="99">
                  <c:v>77</c:v>
                </c:pt>
                <c:pt idx="100">
                  <c:v>77.75</c:v>
                </c:pt>
                <c:pt idx="101">
                  <c:v>78.5</c:v>
                </c:pt>
                <c:pt idx="102">
                  <c:v>79.5</c:v>
                </c:pt>
                <c:pt idx="103">
                  <c:v>80.25</c:v>
                </c:pt>
                <c:pt idx="104">
                  <c:v>80.75</c:v>
                </c:pt>
                <c:pt idx="105">
                  <c:v>81.5</c:v>
                </c:pt>
                <c:pt idx="106">
                  <c:v>82</c:v>
                </c:pt>
                <c:pt idx="107">
                  <c:v>83</c:v>
                </c:pt>
                <c:pt idx="108">
                  <c:v>84</c:v>
                </c:pt>
                <c:pt idx="109">
                  <c:v>84.5</c:v>
                </c:pt>
                <c:pt idx="110">
                  <c:v>85</c:v>
                </c:pt>
                <c:pt idx="111">
                  <c:v>86</c:v>
                </c:pt>
                <c:pt idx="112">
                  <c:v>86.5</c:v>
                </c:pt>
                <c:pt idx="113">
                  <c:v>87</c:v>
                </c:pt>
                <c:pt idx="114">
                  <c:v>88</c:v>
                </c:pt>
                <c:pt idx="115">
                  <c:v>88.5</c:v>
                </c:pt>
                <c:pt idx="116">
                  <c:v>89</c:v>
                </c:pt>
                <c:pt idx="117">
                  <c:v>90</c:v>
                </c:pt>
                <c:pt idx="118">
                  <c:v>90.5</c:v>
                </c:pt>
                <c:pt idx="119">
                  <c:v>91</c:v>
                </c:pt>
                <c:pt idx="120">
                  <c:v>92</c:v>
                </c:pt>
                <c:pt idx="121">
                  <c:v>92.5</c:v>
                </c:pt>
                <c:pt idx="122">
                  <c:v>93</c:v>
                </c:pt>
                <c:pt idx="123">
                  <c:v>93.5</c:v>
                </c:pt>
                <c:pt idx="124">
                  <c:v>94</c:v>
                </c:pt>
                <c:pt idx="125">
                  <c:v>94.5</c:v>
                </c:pt>
                <c:pt idx="126">
                  <c:v>95</c:v>
                </c:pt>
                <c:pt idx="127">
                  <c:v>95.5</c:v>
                </c:pt>
                <c:pt idx="128">
                  <c:v>96</c:v>
                </c:pt>
                <c:pt idx="129">
                  <c:v>96.5</c:v>
                </c:pt>
                <c:pt idx="130">
                  <c:v>97</c:v>
                </c:pt>
                <c:pt idx="131">
                  <c:v>98</c:v>
                </c:pt>
                <c:pt idx="132">
                  <c:v>99</c:v>
                </c:pt>
                <c:pt idx="133">
                  <c:v>100</c:v>
                </c:pt>
                <c:pt idx="134">
                  <c:v>100.5</c:v>
                </c:pt>
                <c:pt idx="135">
                  <c:v>101</c:v>
                </c:pt>
                <c:pt idx="136">
                  <c:v>101.5</c:v>
                </c:pt>
                <c:pt idx="137">
                  <c:v>102</c:v>
                </c:pt>
                <c:pt idx="138">
                  <c:v>102.5</c:v>
                </c:pt>
                <c:pt idx="139">
                  <c:v>103</c:v>
                </c:pt>
                <c:pt idx="140">
                  <c:v>103.5</c:v>
                </c:pt>
                <c:pt idx="141">
                  <c:v>104</c:v>
                </c:pt>
                <c:pt idx="142">
                  <c:v>104.5</c:v>
                </c:pt>
                <c:pt idx="143">
                  <c:v>105</c:v>
                </c:pt>
                <c:pt idx="144">
                  <c:v>106</c:v>
                </c:pt>
                <c:pt idx="145">
                  <c:v>107</c:v>
                </c:pt>
                <c:pt idx="146">
                  <c:v>108</c:v>
                </c:pt>
                <c:pt idx="147">
                  <c:v>108.5</c:v>
                </c:pt>
                <c:pt idx="148">
                  <c:v>109</c:v>
                </c:pt>
                <c:pt idx="149">
                  <c:v>109.5</c:v>
                </c:pt>
                <c:pt idx="150">
                  <c:v>110</c:v>
                </c:pt>
                <c:pt idx="151">
                  <c:v>110.5</c:v>
                </c:pt>
                <c:pt idx="152">
                  <c:v>111</c:v>
                </c:pt>
                <c:pt idx="153">
                  <c:v>111.5</c:v>
                </c:pt>
                <c:pt idx="154">
                  <c:v>112</c:v>
                </c:pt>
                <c:pt idx="155">
                  <c:v>112.5</c:v>
                </c:pt>
                <c:pt idx="156">
                  <c:v>113</c:v>
                </c:pt>
                <c:pt idx="157">
                  <c:v>114</c:v>
                </c:pt>
                <c:pt idx="158">
                  <c:v>115</c:v>
                </c:pt>
                <c:pt idx="159">
                  <c:v>116</c:v>
                </c:pt>
                <c:pt idx="160">
                  <c:v>116.5</c:v>
                </c:pt>
                <c:pt idx="161">
                  <c:v>117</c:v>
                </c:pt>
                <c:pt idx="162">
                  <c:v>117.5</c:v>
                </c:pt>
                <c:pt idx="163">
                  <c:v>118</c:v>
                </c:pt>
                <c:pt idx="164">
                  <c:v>118.5</c:v>
                </c:pt>
                <c:pt idx="165">
                  <c:v>119</c:v>
                </c:pt>
                <c:pt idx="166">
                  <c:v>119.5</c:v>
                </c:pt>
                <c:pt idx="167">
                  <c:v>120</c:v>
                </c:pt>
                <c:pt idx="168">
                  <c:v>120.5</c:v>
                </c:pt>
                <c:pt idx="169">
                  <c:v>121</c:v>
                </c:pt>
                <c:pt idx="170">
                  <c:v>122</c:v>
                </c:pt>
                <c:pt idx="171">
                  <c:v>123</c:v>
                </c:pt>
                <c:pt idx="172">
                  <c:v>124</c:v>
                </c:pt>
                <c:pt idx="173">
                  <c:v>124.5</c:v>
                </c:pt>
                <c:pt idx="174">
                  <c:v>125</c:v>
                </c:pt>
                <c:pt idx="175">
                  <c:v>125.75</c:v>
                </c:pt>
                <c:pt idx="176">
                  <c:v>126.5</c:v>
                </c:pt>
                <c:pt idx="177">
                  <c:v>127.5</c:v>
                </c:pt>
                <c:pt idx="178">
                  <c:v>128.25</c:v>
                </c:pt>
                <c:pt idx="179">
                  <c:v>128.75</c:v>
                </c:pt>
                <c:pt idx="180">
                  <c:v>129.5</c:v>
                </c:pt>
                <c:pt idx="181">
                  <c:v>130</c:v>
                </c:pt>
                <c:pt idx="182">
                  <c:v>131</c:v>
                </c:pt>
                <c:pt idx="183">
                  <c:v>132</c:v>
                </c:pt>
                <c:pt idx="184">
                  <c:v>132.5</c:v>
                </c:pt>
                <c:pt idx="185">
                  <c:v>133</c:v>
                </c:pt>
                <c:pt idx="186">
                  <c:v>133.75</c:v>
                </c:pt>
                <c:pt idx="187">
                  <c:v>134.5</c:v>
                </c:pt>
                <c:pt idx="188">
                  <c:v>135.5</c:v>
                </c:pt>
                <c:pt idx="189">
                  <c:v>136.25</c:v>
                </c:pt>
                <c:pt idx="190">
                  <c:v>136.75</c:v>
                </c:pt>
                <c:pt idx="191">
                  <c:v>137.5</c:v>
                </c:pt>
                <c:pt idx="192">
                  <c:v>138</c:v>
                </c:pt>
                <c:pt idx="193">
                  <c:v>139</c:v>
                </c:pt>
                <c:pt idx="194">
                  <c:v>140</c:v>
                </c:pt>
                <c:pt idx="195">
                  <c:v>140.5</c:v>
                </c:pt>
                <c:pt idx="196">
                  <c:v>141</c:v>
                </c:pt>
                <c:pt idx="197">
                  <c:v>141.75</c:v>
                </c:pt>
                <c:pt idx="198">
                  <c:v>142.5</c:v>
                </c:pt>
                <c:pt idx="199">
                  <c:v>143.5</c:v>
                </c:pt>
                <c:pt idx="200">
                  <c:v>144.25</c:v>
                </c:pt>
                <c:pt idx="201">
                  <c:v>144.75</c:v>
                </c:pt>
                <c:pt idx="202">
                  <c:v>145.5</c:v>
                </c:pt>
                <c:pt idx="203">
                  <c:v>146</c:v>
                </c:pt>
                <c:pt idx="204">
                  <c:v>147</c:v>
                </c:pt>
                <c:pt idx="205">
                  <c:v>148</c:v>
                </c:pt>
                <c:pt idx="206">
                  <c:v>148.5</c:v>
                </c:pt>
                <c:pt idx="207">
                  <c:v>149</c:v>
                </c:pt>
                <c:pt idx="208">
                  <c:v>149.75</c:v>
                </c:pt>
                <c:pt idx="209">
                  <c:v>150.5</c:v>
                </c:pt>
                <c:pt idx="210">
                  <c:v>151.5</c:v>
                </c:pt>
                <c:pt idx="211">
                  <c:v>152.25</c:v>
                </c:pt>
                <c:pt idx="212">
                  <c:v>152.75</c:v>
                </c:pt>
                <c:pt idx="213">
                  <c:v>153.5</c:v>
                </c:pt>
                <c:pt idx="214">
                  <c:v>154</c:v>
                </c:pt>
                <c:pt idx="215">
                  <c:v>155</c:v>
                </c:pt>
                <c:pt idx="216">
                  <c:v>156</c:v>
                </c:pt>
                <c:pt idx="217">
                  <c:v>156.5</c:v>
                </c:pt>
                <c:pt idx="218">
                  <c:v>157</c:v>
                </c:pt>
                <c:pt idx="219">
                  <c:v>157.75</c:v>
                </c:pt>
                <c:pt idx="220">
                  <c:v>158.5</c:v>
                </c:pt>
                <c:pt idx="221">
                  <c:v>159.5</c:v>
                </c:pt>
                <c:pt idx="222">
                  <c:v>160.25</c:v>
                </c:pt>
                <c:pt idx="223">
                  <c:v>160.75</c:v>
                </c:pt>
                <c:pt idx="224">
                  <c:v>161.5</c:v>
                </c:pt>
                <c:pt idx="225">
                  <c:v>162</c:v>
                </c:pt>
                <c:pt idx="226">
                  <c:v>163</c:v>
                </c:pt>
                <c:pt idx="227">
                  <c:v>164</c:v>
                </c:pt>
                <c:pt idx="228">
                  <c:v>164.5</c:v>
                </c:pt>
                <c:pt idx="229">
                  <c:v>165</c:v>
                </c:pt>
                <c:pt idx="230">
                  <c:v>165.75</c:v>
                </c:pt>
                <c:pt idx="231">
                  <c:v>166.5</c:v>
                </c:pt>
                <c:pt idx="232">
                  <c:v>167.5</c:v>
                </c:pt>
                <c:pt idx="233">
                  <c:v>168.25</c:v>
                </c:pt>
                <c:pt idx="234">
                  <c:v>168.75</c:v>
                </c:pt>
                <c:pt idx="235">
                  <c:v>169.5</c:v>
                </c:pt>
                <c:pt idx="236">
                  <c:v>170</c:v>
                </c:pt>
                <c:pt idx="237">
                  <c:v>171</c:v>
                </c:pt>
                <c:pt idx="238">
                  <c:v>172</c:v>
                </c:pt>
                <c:pt idx="239">
                  <c:v>172.5</c:v>
                </c:pt>
                <c:pt idx="240">
                  <c:v>173</c:v>
                </c:pt>
                <c:pt idx="241">
                  <c:v>173.75</c:v>
                </c:pt>
                <c:pt idx="242">
                  <c:v>174.5</c:v>
                </c:pt>
                <c:pt idx="243">
                  <c:v>175.5</c:v>
                </c:pt>
                <c:pt idx="244">
                  <c:v>176.25</c:v>
                </c:pt>
                <c:pt idx="245">
                  <c:v>176.75</c:v>
                </c:pt>
                <c:pt idx="246">
                  <c:v>177.5</c:v>
                </c:pt>
                <c:pt idx="247">
                  <c:v>178</c:v>
                </c:pt>
                <c:pt idx="248">
                  <c:v>179</c:v>
                </c:pt>
                <c:pt idx="249">
                  <c:v>180</c:v>
                </c:pt>
                <c:pt idx="250">
                  <c:v>180.5</c:v>
                </c:pt>
                <c:pt idx="251">
                  <c:v>181</c:v>
                </c:pt>
                <c:pt idx="252">
                  <c:v>181.75</c:v>
                </c:pt>
                <c:pt idx="253">
                  <c:v>182.5</c:v>
                </c:pt>
                <c:pt idx="254">
                  <c:v>183.5</c:v>
                </c:pt>
                <c:pt idx="255">
                  <c:v>184.25</c:v>
                </c:pt>
                <c:pt idx="256">
                  <c:v>184.75</c:v>
                </c:pt>
                <c:pt idx="257">
                  <c:v>185.5</c:v>
                </c:pt>
                <c:pt idx="258">
                  <c:v>186</c:v>
                </c:pt>
                <c:pt idx="259">
                  <c:v>187</c:v>
                </c:pt>
                <c:pt idx="260">
                  <c:v>188</c:v>
                </c:pt>
                <c:pt idx="261">
                  <c:v>188.5</c:v>
                </c:pt>
                <c:pt idx="262">
                  <c:v>189</c:v>
                </c:pt>
                <c:pt idx="263">
                  <c:v>190</c:v>
                </c:pt>
                <c:pt idx="264">
                  <c:v>190.5</c:v>
                </c:pt>
                <c:pt idx="265">
                  <c:v>191</c:v>
                </c:pt>
                <c:pt idx="266">
                  <c:v>192</c:v>
                </c:pt>
                <c:pt idx="267">
                  <c:v>192.5</c:v>
                </c:pt>
                <c:pt idx="268">
                  <c:v>193</c:v>
                </c:pt>
                <c:pt idx="269">
                  <c:v>194</c:v>
                </c:pt>
                <c:pt idx="270">
                  <c:v>194.5</c:v>
                </c:pt>
                <c:pt idx="271">
                  <c:v>195</c:v>
                </c:pt>
                <c:pt idx="272">
                  <c:v>196</c:v>
                </c:pt>
                <c:pt idx="273">
                  <c:v>196.5</c:v>
                </c:pt>
                <c:pt idx="274">
                  <c:v>197</c:v>
                </c:pt>
                <c:pt idx="275">
                  <c:v>197.5</c:v>
                </c:pt>
                <c:pt idx="276">
                  <c:v>198</c:v>
                </c:pt>
                <c:pt idx="277">
                  <c:v>198.5</c:v>
                </c:pt>
                <c:pt idx="278">
                  <c:v>199</c:v>
                </c:pt>
                <c:pt idx="279">
                  <c:v>199.5</c:v>
                </c:pt>
                <c:pt idx="280">
                  <c:v>200</c:v>
                </c:pt>
                <c:pt idx="281">
                  <c:v>200.5</c:v>
                </c:pt>
                <c:pt idx="282">
                  <c:v>201</c:v>
                </c:pt>
                <c:pt idx="283">
                  <c:v>202</c:v>
                </c:pt>
                <c:pt idx="284">
                  <c:v>203</c:v>
                </c:pt>
                <c:pt idx="285">
                  <c:v>204</c:v>
                </c:pt>
                <c:pt idx="286">
                  <c:v>204.5</c:v>
                </c:pt>
                <c:pt idx="287">
                  <c:v>205</c:v>
                </c:pt>
                <c:pt idx="288">
                  <c:v>205.5</c:v>
                </c:pt>
                <c:pt idx="289">
                  <c:v>206</c:v>
                </c:pt>
                <c:pt idx="290">
                  <c:v>206.5</c:v>
                </c:pt>
                <c:pt idx="291">
                  <c:v>207</c:v>
                </c:pt>
                <c:pt idx="292">
                  <c:v>207.5</c:v>
                </c:pt>
                <c:pt idx="293">
                  <c:v>208</c:v>
                </c:pt>
                <c:pt idx="294">
                  <c:v>208.5</c:v>
                </c:pt>
                <c:pt idx="295">
                  <c:v>209</c:v>
                </c:pt>
                <c:pt idx="296">
                  <c:v>210</c:v>
                </c:pt>
                <c:pt idx="297">
                  <c:v>211</c:v>
                </c:pt>
                <c:pt idx="298">
                  <c:v>212</c:v>
                </c:pt>
                <c:pt idx="299">
                  <c:v>212.5</c:v>
                </c:pt>
                <c:pt idx="300">
                  <c:v>213</c:v>
                </c:pt>
                <c:pt idx="301">
                  <c:v>213.5</c:v>
                </c:pt>
                <c:pt idx="302">
                  <c:v>214</c:v>
                </c:pt>
                <c:pt idx="303">
                  <c:v>214.5</c:v>
                </c:pt>
                <c:pt idx="304">
                  <c:v>215</c:v>
                </c:pt>
                <c:pt idx="305">
                  <c:v>215.5</c:v>
                </c:pt>
                <c:pt idx="306">
                  <c:v>216</c:v>
                </c:pt>
                <c:pt idx="307">
                  <c:v>216.5</c:v>
                </c:pt>
                <c:pt idx="308">
                  <c:v>217</c:v>
                </c:pt>
                <c:pt idx="309">
                  <c:v>218</c:v>
                </c:pt>
                <c:pt idx="310">
                  <c:v>219</c:v>
                </c:pt>
                <c:pt idx="311">
                  <c:v>220</c:v>
                </c:pt>
                <c:pt idx="312">
                  <c:v>220.5</c:v>
                </c:pt>
                <c:pt idx="313">
                  <c:v>221</c:v>
                </c:pt>
                <c:pt idx="314">
                  <c:v>221.5</c:v>
                </c:pt>
                <c:pt idx="315">
                  <c:v>222</c:v>
                </c:pt>
                <c:pt idx="316">
                  <c:v>222.5</c:v>
                </c:pt>
                <c:pt idx="317">
                  <c:v>223</c:v>
                </c:pt>
                <c:pt idx="318">
                  <c:v>223.5</c:v>
                </c:pt>
                <c:pt idx="319">
                  <c:v>224</c:v>
                </c:pt>
                <c:pt idx="320">
                  <c:v>224.5</c:v>
                </c:pt>
                <c:pt idx="321">
                  <c:v>225</c:v>
                </c:pt>
                <c:pt idx="322">
                  <c:v>226</c:v>
                </c:pt>
                <c:pt idx="323">
                  <c:v>227</c:v>
                </c:pt>
                <c:pt idx="324">
                  <c:v>228</c:v>
                </c:pt>
                <c:pt idx="325">
                  <c:v>228.5</c:v>
                </c:pt>
                <c:pt idx="326">
                  <c:v>229</c:v>
                </c:pt>
                <c:pt idx="327">
                  <c:v>230</c:v>
                </c:pt>
                <c:pt idx="328">
                  <c:v>231</c:v>
                </c:pt>
                <c:pt idx="329">
                  <c:v>232</c:v>
                </c:pt>
                <c:pt idx="330">
                  <c:v>232.5</c:v>
                </c:pt>
                <c:pt idx="331">
                  <c:v>233</c:v>
                </c:pt>
                <c:pt idx="332">
                  <c:v>234</c:v>
                </c:pt>
                <c:pt idx="333">
                  <c:v>235</c:v>
                </c:pt>
                <c:pt idx="334">
                  <c:v>236</c:v>
                </c:pt>
                <c:pt idx="335">
                  <c:v>236.5</c:v>
                </c:pt>
                <c:pt idx="336">
                  <c:v>237</c:v>
                </c:pt>
                <c:pt idx="337">
                  <c:v>238</c:v>
                </c:pt>
                <c:pt idx="338">
                  <c:v>239</c:v>
                </c:pt>
                <c:pt idx="339">
                  <c:v>240</c:v>
                </c:pt>
                <c:pt idx="340">
                  <c:v>240.5</c:v>
                </c:pt>
                <c:pt idx="341">
                  <c:v>241</c:v>
                </c:pt>
                <c:pt idx="342">
                  <c:v>242</c:v>
                </c:pt>
                <c:pt idx="343">
                  <c:v>243</c:v>
                </c:pt>
                <c:pt idx="344">
                  <c:v>244</c:v>
                </c:pt>
                <c:pt idx="345">
                  <c:v>244.5</c:v>
                </c:pt>
                <c:pt idx="346">
                  <c:v>245</c:v>
                </c:pt>
                <c:pt idx="347">
                  <c:v>246</c:v>
                </c:pt>
                <c:pt idx="348">
                  <c:v>246.5</c:v>
                </c:pt>
                <c:pt idx="349">
                  <c:v>247</c:v>
                </c:pt>
                <c:pt idx="350">
                  <c:v>248</c:v>
                </c:pt>
                <c:pt idx="351">
                  <c:v>248.5</c:v>
                </c:pt>
                <c:pt idx="352">
                  <c:v>249</c:v>
                </c:pt>
                <c:pt idx="353">
                  <c:v>250</c:v>
                </c:pt>
                <c:pt idx="354">
                  <c:v>250.5</c:v>
                </c:pt>
                <c:pt idx="355">
                  <c:v>251</c:v>
                </c:pt>
                <c:pt idx="356">
                  <c:v>252</c:v>
                </c:pt>
                <c:pt idx="357">
                  <c:v>252.5</c:v>
                </c:pt>
                <c:pt idx="358">
                  <c:v>253</c:v>
                </c:pt>
                <c:pt idx="359">
                  <c:v>254</c:v>
                </c:pt>
                <c:pt idx="360">
                  <c:v>255</c:v>
                </c:pt>
                <c:pt idx="361">
                  <c:v>256</c:v>
                </c:pt>
                <c:pt idx="362">
                  <c:v>256.5</c:v>
                </c:pt>
                <c:pt idx="363">
                  <c:v>257</c:v>
                </c:pt>
                <c:pt idx="364">
                  <c:v>258</c:v>
                </c:pt>
                <c:pt idx="365">
                  <c:v>259</c:v>
                </c:pt>
                <c:pt idx="366">
                  <c:v>260</c:v>
                </c:pt>
                <c:pt idx="367">
                  <c:v>260.5</c:v>
                </c:pt>
                <c:pt idx="368">
                  <c:v>261</c:v>
                </c:pt>
                <c:pt idx="369">
                  <c:v>262</c:v>
                </c:pt>
                <c:pt idx="370">
                  <c:v>263</c:v>
                </c:pt>
                <c:pt idx="371">
                  <c:v>264</c:v>
                </c:pt>
                <c:pt idx="372">
                  <c:v>264.5</c:v>
                </c:pt>
                <c:pt idx="373">
                  <c:v>265</c:v>
                </c:pt>
                <c:pt idx="374">
                  <c:v>266</c:v>
                </c:pt>
                <c:pt idx="375">
                  <c:v>267</c:v>
                </c:pt>
                <c:pt idx="376">
                  <c:v>268</c:v>
                </c:pt>
                <c:pt idx="377">
                  <c:v>268.5</c:v>
                </c:pt>
                <c:pt idx="378">
                  <c:v>269</c:v>
                </c:pt>
                <c:pt idx="379">
                  <c:v>270</c:v>
                </c:pt>
                <c:pt idx="380">
                  <c:v>270.5</c:v>
                </c:pt>
                <c:pt idx="381">
                  <c:v>271</c:v>
                </c:pt>
                <c:pt idx="382">
                  <c:v>272</c:v>
                </c:pt>
                <c:pt idx="383">
                  <c:v>272.5</c:v>
                </c:pt>
                <c:pt idx="384">
                  <c:v>273</c:v>
                </c:pt>
                <c:pt idx="385">
                  <c:v>274</c:v>
                </c:pt>
                <c:pt idx="386">
                  <c:v>274.5</c:v>
                </c:pt>
                <c:pt idx="387">
                  <c:v>275</c:v>
                </c:pt>
                <c:pt idx="388">
                  <c:v>276</c:v>
                </c:pt>
                <c:pt idx="389">
                  <c:v>276.5</c:v>
                </c:pt>
                <c:pt idx="390">
                  <c:v>277</c:v>
                </c:pt>
                <c:pt idx="391">
                  <c:v>278</c:v>
                </c:pt>
                <c:pt idx="392">
                  <c:v>278.5</c:v>
                </c:pt>
                <c:pt idx="393">
                  <c:v>279</c:v>
                </c:pt>
                <c:pt idx="394">
                  <c:v>280</c:v>
                </c:pt>
                <c:pt idx="395">
                  <c:v>280.5</c:v>
                </c:pt>
                <c:pt idx="396">
                  <c:v>281</c:v>
                </c:pt>
                <c:pt idx="397">
                  <c:v>282</c:v>
                </c:pt>
                <c:pt idx="398">
                  <c:v>282.5</c:v>
                </c:pt>
                <c:pt idx="399">
                  <c:v>283</c:v>
                </c:pt>
                <c:pt idx="400">
                  <c:v>284</c:v>
                </c:pt>
                <c:pt idx="401">
                  <c:v>284.5</c:v>
                </c:pt>
                <c:pt idx="402">
                  <c:v>285</c:v>
                </c:pt>
                <c:pt idx="403">
                  <c:v>286</c:v>
                </c:pt>
                <c:pt idx="404">
                  <c:v>286.5</c:v>
                </c:pt>
                <c:pt idx="405">
                  <c:v>287</c:v>
                </c:pt>
                <c:pt idx="406">
                  <c:v>288</c:v>
                </c:pt>
                <c:pt idx="407">
                  <c:v>288.5</c:v>
                </c:pt>
                <c:pt idx="408">
                  <c:v>289</c:v>
                </c:pt>
                <c:pt idx="409">
                  <c:v>290</c:v>
                </c:pt>
                <c:pt idx="410">
                  <c:v>290.5</c:v>
                </c:pt>
                <c:pt idx="411">
                  <c:v>291</c:v>
                </c:pt>
                <c:pt idx="412">
                  <c:v>292</c:v>
                </c:pt>
                <c:pt idx="413">
                  <c:v>292.5</c:v>
                </c:pt>
                <c:pt idx="414">
                  <c:v>293</c:v>
                </c:pt>
                <c:pt idx="415">
                  <c:v>294</c:v>
                </c:pt>
                <c:pt idx="416">
                  <c:v>294.5</c:v>
                </c:pt>
                <c:pt idx="417">
                  <c:v>295</c:v>
                </c:pt>
                <c:pt idx="418">
                  <c:v>296</c:v>
                </c:pt>
                <c:pt idx="419">
                  <c:v>296.5</c:v>
                </c:pt>
                <c:pt idx="420">
                  <c:v>297</c:v>
                </c:pt>
                <c:pt idx="421">
                  <c:v>298</c:v>
                </c:pt>
                <c:pt idx="422">
                  <c:v>298.5</c:v>
                </c:pt>
                <c:pt idx="423">
                  <c:v>299</c:v>
                </c:pt>
                <c:pt idx="424">
                  <c:v>300</c:v>
                </c:pt>
                <c:pt idx="425">
                  <c:v>308</c:v>
                </c:pt>
                <c:pt idx="426">
                  <c:v>310.75</c:v>
                </c:pt>
                <c:pt idx="427">
                  <c:v>311.5</c:v>
                </c:pt>
                <c:pt idx="428">
                  <c:v>314</c:v>
                </c:pt>
                <c:pt idx="429">
                  <c:v>316.75</c:v>
                </c:pt>
                <c:pt idx="430">
                  <c:v>317.5</c:v>
                </c:pt>
              </c:numCache>
            </c:numRef>
          </c:xVal>
          <c:yVal>
            <c:numRef>
              <c:f>Sheet4!$I$870:$I$1300</c:f>
              <c:numCache>
                <c:formatCode>General</c:formatCode>
                <c:ptCount val="431"/>
                <c:pt idx="0">
                  <c:v>220.00279814001337</c:v>
                </c:pt>
                <c:pt idx="1">
                  <c:v>392.00377257605692</c:v>
                </c:pt>
                <c:pt idx="2">
                  <c:v>392.00377257605692</c:v>
                </c:pt>
                <c:pt idx="3">
                  <c:v>392.00377257605692</c:v>
                </c:pt>
                <c:pt idx="4">
                  <c:v>392.00377257605692</c:v>
                </c:pt>
                <c:pt idx="5">
                  <c:v>220.00279814001337</c:v>
                </c:pt>
                <c:pt idx="6">
                  <c:v>392.00377257605692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392.00377257605692</c:v>
                </c:pt>
                <c:pt idx="10">
                  <c:v>220.00279814001337</c:v>
                </c:pt>
                <c:pt idx="11">
                  <c:v>392.00377257605692</c:v>
                </c:pt>
                <c:pt idx="12">
                  <c:v>392.00377257605692</c:v>
                </c:pt>
                <c:pt idx="13">
                  <c:v>392.00377257605692</c:v>
                </c:pt>
                <c:pt idx="14">
                  <c:v>392.00377257605692</c:v>
                </c:pt>
                <c:pt idx="15">
                  <c:v>220.00279814001337</c:v>
                </c:pt>
                <c:pt idx="16">
                  <c:v>392.00377257605692</c:v>
                </c:pt>
                <c:pt idx="17">
                  <c:v>392.00377257605692</c:v>
                </c:pt>
                <c:pt idx="18">
                  <c:v>392.00377257605692</c:v>
                </c:pt>
                <c:pt idx="19">
                  <c:v>392.00377257605692</c:v>
                </c:pt>
                <c:pt idx="20">
                  <c:v>220.00279814001337</c:v>
                </c:pt>
                <c:pt idx="21">
                  <c:v>392.00377257605692</c:v>
                </c:pt>
                <c:pt idx="22">
                  <c:v>392.00377257605692</c:v>
                </c:pt>
                <c:pt idx="23">
                  <c:v>293.66975814369101</c:v>
                </c:pt>
                <c:pt idx="24">
                  <c:v>392.00377257605692</c:v>
                </c:pt>
                <c:pt idx="25">
                  <c:v>293.66975814369101</c:v>
                </c:pt>
                <c:pt idx="26">
                  <c:v>349.23506143398839</c:v>
                </c:pt>
                <c:pt idx="27">
                  <c:v>293.66975814369101</c:v>
                </c:pt>
                <c:pt idx="28">
                  <c:v>493.89549345236594</c:v>
                </c:pt>
                <c:pt idx="29">
                  <c:v>392.00377257605692</c:v>
                </c:pt>
                <c:pt idx="30">
                  <c:v>493.89549345236594</c:v>
                </c:pt>
                <c:pt idx="31">
                  <c:v>220.00279814001337</c:v>
                </c:pt>
                <c:pt idx="32">
                  <c:v>349.23506143398839</c:v>
                </c:pt>
                <c:pt idx="33">
                  <c:v>349.23506143398839</c:v>
                </c:pt>
                <c:pt idx="34">
                  <c:v>293.66975814369101</c:v>
                </c:pt>
                <c:pt idx="35">
                  <c:v>392.00377257605692</c:v>
                </c:pt>
                <c:pt idx="36">
                  <c:v>293.66975814369101</c:v>
                </c:pt>
                <c:pt idx="37">
                  <c:v>246.94521361646048</c:v>
                </c:pt>
                <c:pt idx="38">
                  <c:v>293.66975814369101</c:v>
                </c:pt>
                <c:pt idx="39">
                  <c:v>329.63372180082422</c:v>
                </c:pt>
                <c:pt idx="40">
                  <c:v>261.62956379894968</c:v>
                </c:pt>
                <c:pt idx="41">
                  <c:v>329.63372180082422</c:v>
                </c:pt>
                <c:pt idx="42">
                  <c:v>220.00279814001337</c:v>
                </c:pt>
                <c:pt idx="43">
                  <c:v>392.00377257605692</c:v>
                </c:pt>
                <c:pt idx="44">
                  <c:v>392.00377257605692</c:v>
                </c:pt>
                <c:pt idx="45">
                  <c:v>293.66975814369101</c:v>
                </c:pt>
                <c:pt idx="46">
                  <c:v>392.00377257605692</c:v>
                </c:pt>
                <c:pt idx="47">
                  <c:v>293.66975814369101</c:v>
                </c:pt>
                <c:pt idx="48">
                  <c:v>349.23506143398839</c:v>
                </c:pt>
                <c:pt idx="49">
                  <c:v>293.66975814369101</c:v>
                </c:pt>
                <c:pt idx="50">
                  <c:v>493.89549345236594</c:v>
                </c:pt>
                <c:pt idx="51">
                  <c:v>392.00377257605692</c:v>
                </c:pt>
                <c:pt idx="52">
                  <c:v>493.89549345236594</c:v>
                </c:pt>
                <c:pt idx="53">
                  <c:v>220.00279814001337</c:v>
                </c:pt>
                <c:pt idx="54">
                  <c:v>349.23506143398839</c:v>
                </c:pt>
                <c:pt idx="55">
                  <c:v>349.23506143398839</c:v>
                </c:pt>
                <c:pt idx="56">
                  <c:v>293.66975814369101</c:v>
                </c:pt>
                <c:pt idx="57">
                  <c:v>392.00377257605692</c:v>
                </c:pt>
                <c:pt idx="58">
                  <c:v>293.66975814369101</c:v>
                </c:pt>
                <c:pt idx="59">
                  <c:v>246.94521361646048</c:v>
                </c:pt>
                <c:pt idx="60">
                  <c:v>293.66975814369101</c:v>
                </c:pt>
                <c:pt idx="61">
                  <c:v>329.63372180082422</c:v>
                </c:pt>
                <c:pt idx="62">
                  <c:v>261.62956379894968</c:v>
                </c:pt>
                <c:pt idx="63">
                  <c:v>329.63372180082422</c:v>
                </c:pt>
                <c:pt idx="64">
                  <c:v>220.00279814001337</c:v>
                </c:pt>
                <c:pt idx="65">
                  <c:v>392.00377257605692</c:v>
                </c:pt>
                <c:pt idx="66">
                  <c:v>392.00377257605692</c:v>
                </c:pt>
                <c:pt idx="67">
                  <c:v>293.66975814369101</c:v>
                </c:pt>
                <c:pt idx="68">
                  <c:v>392.00377257605692</c:v>
                </c:pt>
                <c:pt idx="69">
                  <c:v>293.66975814369101</c:v>
                </c:pt>
                <c:pt idx="70">
                  <c:v>349.23506143398839</c:v>
                </c:pt>
                <c:pt idx="71">
                  <c:v>293.66975814369101</c:v>
                </c:pt>
                <c:pt idx="72">
                  <c:v>493.89549345236594</c:v>
                </c:pt>
                <c:pt idx="73">
                  <c:v>392.00377257605692</c:v>
                </c:pt>
                <c:pt idx="74">
                  <c:v>493.89549345236594</c:v>
                </c:pt>
                <c:pt idx="75">
                  <c:v>220.00279814001337</c:v>
                </c:pt>
                <c:pt idx="76">
                  <c:v>349.23506143398839</c:v>
                </c:pt>
                <c:pt idx="77">
                  <c:v>349.23506143398839</c:v>
                </c:pt>
                <c:pt idx="78">
                  <c:v>293.66975814369101</c:v>
                </c:pt>
                <c:pt idx="79">
                  <c:v>392.00377257605692</c:v>
                </c:pt>
                <c:pt idx="80">
                  <c:v>293.66975814369101</c:v>
                </c:pt>
                <c:pt idx="81">
                  <c:v>246.94521361646048</c:v>
                </c:pt>
                <c:pt idx="82">
                  <c:v>293.66975814369101</c:v>
                </c:pt>
                <c:pt idx="83">
                  <c:v>329.63372180082422</c:v>
                </c:pt>
                <c:pt idx="84">
                  <c:v>261.62956379894968</c:v>
                </c:pt>
                <c:pt idx="85">
                  <c:v>329.63372180082422</c:v>
                </c:pt>
                <c:pt idx="86">
                  <c:v>220.00279814001337</c:v>
                </c:pt>
                <c:pt idx="87">
                  <c:v>392.00377257605692</c:v>
                </c:pt>
                <c:pt idx="88">
                  <c:v>392.00377257605692</c:v>
                </c:pt>
                <c:pt idx="89">
                  <c:v>293.66975814369101</c:v>
                </c:pt>
                <c:pt idx="90">
                  <c:v>392.00377257605692</c:v>
                </c:pt>
                <c:pt idx="91">
                  <c:v>293.66975814369101</c:v>
                </c:pt>
                <c:pt idx="92">
                  <c:v>349.23506143398839</c:v>
                </c:pt>
                <c:pt idx="93">
                  <c:v>293.66975814369101</c:v>
                </c:pt>
                <c:pt idx="94">
                  <c:v>493.89549345236594</c:v>
                </c:pt>
                <c:pt idx="95">
                  <c:v>392.00377257605692</c:v>
                </c:pt>
                <c:pt idx="96">
                  <c:v>493.89549345236594</c:v>
                </c:pt>
                <c:pt idx="97">
                  <c:v>220.00279814001337</c:v>
                </c:pt>
                <c:pt idx="98">
                  <c:v>349.23506143398839</c:v>
                </c:pt>
                <c:pt idx="99">
                  <c:v>349.23506143398839</c:v>
                </c:pt>
                <c:pt idx="100">
                  <c:v>293.66975814369101</c:v>
                </c:pt>
                <c:pt idx="101">
                  <c:v>392.00377257605692</c:v>
                </c:pt>
                <c:pt idx="102">
                  <c:v>293.66975814369101</c:v>
                </c:pt>
                <c:pt idx="103">
                  <c:v>246.94521361646048</c:v>
                </c:pt>
                <c:pt idx="104">
                  <c:v>293.66975814369101</c:v>
                </c:pt>
                <c:pt idx="105">
                  <c:v>329.63372180082422</c:v>
                </c:pt>
                <c:pt idx="106">
                  <c:v>261.62956379894968</c:v>
                </c:pt>
                <c:pt idx="107">
                  <c:v>329.63372180082422</c:v>
                </c:pt>
                <c:pt idx="108">
                  <c:v>220.00279814001337</c:v>
                </c:pt>
                <c:pt idx="109">
                  <c:v>246.94521361646048</c:v>
                </c:pt>
                <c:pt idx="110">
                  <c:v>493.89549345236594</c:v>
                </c:pt>
                <c:pt idx="111">
                  <c:v>220.00279814001337</c:v>
                </c:pt>
                <c:pt idx="112">
                  <c:v>246.94521361646048</c:v>
                </c:pt>
                <c:pt idx="113">
                  <c:v>493.89549345236594</c:v>
                </c:pt>
                <c:pt idx="114">
                  <c:v>220.00279814001337</c:v>
                </c:pt>
                <c:pt idx="115">
                  <c:v>246.94521361646048</c:v>
                </c:pt>
                <c:pt idx="116">
                  <c:v>493.89549345236594</c:v>
                </c:pt>
                <c:pt idx="117">
                  <c:v>220.00279814001337</c:v>
                </c:pt>
                <c:pt idx="118">
                  <c:v>246.94521361646048</c:v>
                </c:pt>
                <c:pt idx="119">
                  <c:v>493.89549345236594</c:v>
                </c:pt>
                <c:pt idx="120">
                  <c:v>164.8151702626221</c:v>
                </c:pt>
                <c:pt idx="121">
                  <c:v>195.99987576438383</c:v>
                </c:pt>
                <c:pt idx="122">
                  <c:v>164.8151702626221</c:v>
                </c:pt>
                <c:pt idx="123">
                  <c:v>220.00279814001337</c:v>
                </c:pt>
                <c:pt idx="124">
                  <c:v>164.8151702626221</c:v>
                </c:pt>
                <c:pt idx="125">
                  <c:v>246.94521361646048</c:v>
                </c:pt>
                <c:pt idx="126">
                  <c:v>164.8151702626221</c:v>
                </c:pt>
                <c:pt idx="127">
                  <c:v>246.94521361646048</c:v>
                </c:pt>
                <c:pt idx="128">
                  <c:v>164.8151702626221</c:v>
                </c:pt>
                <c:pt idx="129">
                  <c:v>195.99987576438383</c:v>
                </c:pt>
                <c:pt idx="130">
                  <c:v>195.99987576438383</c:v>
                </c:pt>
                <c:pt idx="131">
                  <c:v>195.99987576438383</c:v>
                </c:pt>
                <c:pt idx="132">
                  <c:v>195.99987576438383</c:v>
                </c:pt>
                <c:pt idx="133">
                  <c:v>164.8151702626221</c:v>
                </c:pt>
                <c:pt idx="134">
                  <c:v>195.99987576438383</c:v>
                </c:pt>
                <c:pt idx="135">
                  <c:v>164.8151702626221</c:v>
                </c:pt>
                <c:pt idx="136">
                  <c:v>220.00279814001337</c:v>
                </c:pt>
                <c:pt idx="137">
                  <c:v>164.8151702626221</c:v>
                </c:pt>
                <c:pt idx="138">
                  <c:v>246.94521361646048</c:v>
                </c:pt>
                <c:pt idx="139">
                  <c:v>164.8151702626221</c:v>
                </c:pt>
                <c:pt idx="140">
                  <c:v>246.94521361646048</c:v>
                </c:pt>
                <c:pt idx="141">
                  <c:v>164.8151702626221</c:v>
                </c:pt>
                <c:pt idx="142">
                  <c:v>195.99987576438383</c:v>
                </c:pt>
                <c:pt idx="143">
                  <c:v>195.99987576438383</c:v>
                </c:pt>
                <c:pt idx="144">
                  <c:v>195.99987576438383</c:v>
                </c:pt>
                <c:pt idx="145">
                  <c:v>195.99987576438383</c:v>
                </c:pt>
                <c:pt idx="146">
                  <c:v>164.8151702626221</c:v>
                </c:pt>
                <c:pt idx="147">
                  <c:v>195.99987576438383</c:v>
                </c:pt>
                <c:pt idx="148">
                  <c:v>164.8151702626221</c:v>
                </c:pt>
                <c:pt idx="149">
                  <c:v>220.00279814001337</c:v>
                </c:pt>
                <c:pt idx="150">
                  <c:v>164.8151702626221</c:v>
                </c:pt>
                <c:pt idx="151">
                  <c:v>246.94521361646048</c:v>
                </c:pt>
                <c:pt idx="152">
                  <c:v>164.8151702626221</c:v>
                </c:pt>
                <c:pt idx="153">
                  <c:v>246.94521361646048</c:v>
                </c:pt>
                <c:pt idx="154">
                  <c:v>164.8151702626221</c:v>
                </c:pt>
                <c:pt idx="155">
                  <c:v>195.99987576438383</c:v>
                </c:pt>
                <c:pt idx="156">
                  <c:v>195.99987576438383</c:v>
                </c:pt>
                <c:pt idx="157">
                  <c:v>195.99987576438383</c:v>
                </c:pt>
                <c:pt idx="158">
                  <c:v>195.99987576438383</c:v>
                </c:pt>
                <c:pt idx="159">
                  <c:v>164.8151702626221</c:v>
                </c:pt>
                <c:pt idx="160">
                  <c:v>195.99987576438383</c:v>
                </c:pt>
                <c:pt idx="161">
                  <c:v>164.8151702626221</c:v>
                </c:pt>
                <c:pt idx="162">
                  <c:v>220.00279814001337</c:v>
                </c:pt>
                <c:pt idx="163">
                  <c:v>164.8151702626221</c:v>
                </c:pt>
                <c:pt idx="164">
                  <c:v>246.94521361646048</c:v>
                </c:pt>
                <c:pt idx="165">
                  <c:v>164.8151702626221</c:v>
                </c:pt>
                <c:pt idx="166">
                  <c:v>246.94521361646048</c:v>
                </c:pt>
                <c:pt idx="167">
                  <c:v>164.8151702626221</c:v>
                </c:pt>
                <c:pt idx="168">
                  <c:v>195.99987576438383</c:v>
                </c:pt>
                <c:pt idx="169">
                  <c:v>195.99987576438383</c:v>
                </c:pt>
                <c:pt idx="170">
                  <c:v>195.99987576438383</c:v>
                </c:pt>
                <c:pt idx="171">
                  <c:v>195.99987576438383</c:v>
                </c:pt>
                <c:pt idx="172">
                  <c:v>220.00279814001337</c:v>
                </c:pt>
                <c:pt idx="173">
                  <c:v>392.00377257605692</c:v>
                </c:pt>
                <c:pt idx="174">
                  <c:v>392.00377257605692</c:v>
                </c:pt>
                <c:pt idx="175">
                  <c:v>293.66975814369101</c:v>
                </c:pt>
                <c:pt idx="176">
                  <c:v>392.00377257605692</c:v>
                </c:pt>
                <c:pt idx="177">
                  <c:v>293.66975814369101</c:v>
                </c:pt>
                <c:pt idx="178">
                  <c:v>349.23506143398839</c:v>
                </c:pt>
                <c:pt idx="179">
                  <c:v>293.66975814369101</c:v>
                </c:pt>
                <c:pt idx="180">
                  <c:v>493.89549345236594</c:v>
                </c:pt>
                <c:pt idx="181">
                  <c:v>392.00377257605692</c:v>
                </c:pt>
                <c:pt idx="182">
                  <c:v>493.89549345236594</c:v>
                </c:pt>
                <c:pt idx="183">
                  <c:v>220.00279814001337</c:v>
                </c:pt>
                <c:pt idx="184">
                  <c:v>349.23506143398839</c:v>
                </c:pt>
                <c:pt idx="185">
                  <c:v>349.23506143398839</c:v>
                </c:pt>
                <c:pt idx="186">
                  <c:v>293.66975814369101</c:v>
                </c:pt>
                <c:pt idx="187">
                  <c:v>392.00377257605692</c:v>
                </c:pt>
                <c:pt idx="188">
                  <c:v>293.66975814369101</c:v>
                </c:pt>
                <c:pt idx="189">
                  <c:v>246.94521361646048</c:v>
                </c:pt>
                <c:pt idx="190">
                  <c:v>293.66975814369101</c:v>
                </c:pt>
                <c:pt idx="191">
                  <c:v>329.63372180082422</c:v>
                </c:pt>
                <c:pt idx="192">
                  <c:v>261.62956379894968</c:v>
                </c:pt>
                <c:pt idx="193">
                  <c:v>329.63372180082422</c:v>
                </c:pt>
                <c:pt idx="194">
                  <c:v>220.00279814001337</c:v>
                </c:pt>
                <c:pt idx="195">
                  <c:v>392.00377257605692</c:v>
                </c:pt>
                <c:pt idx="196">
                  <c:v>392.00377257605692</c:v>
                </c:pt>
                <c:pt idx="197">
                  <c:v>293.66975814369101</c:v>
                </c:pt>
                <c:pt idx="198">
                  <c:v>392.00377257605692</c:v>
                </c:pt>
                <c:pt idx="199">
                  <c:v>293.66975814369101</c:v>
                </c:pt>
                <c:pt idx="200">
                  <c:v>349.23506143398839</c:v>
                </c:pt>
                <c:pt idx="201">
                  <c:v>293.66975814369101</c:v>
                </c:pt>
                <c:pt idx="202">
                  <c:v>493.89549345236594</c:v>
                </c:pt>
                <c:pt idx="203">
                  <c:v>392.00377257605692</c:v>
                </c:pt>
                <c:pt idx="204">
                  <c:v>493.89549345236594</c:v>
                </c:pt>
                <c:pt idx="205">
                  <c:v>220.00279814001337</c:v>
                </c:pt>
                <c:pt idx="206">
                  <c:v>349.23506143398839</c:v>
                </c:pt>
                <c:pt idx="207">
                  <c:v>349.23506143398839</c:v>
                </c:pt>
                <c:pt idx="208">
                  <c:v>293.66975814369101</c:v>
                </c:pt>
                <c:pt idx="209">
                  <c:v>392.00377257605692</c:v>
                </c:pt>
                <c:pt idx="210">
                  <c:v>293.66975814369101</c:v>
                </c:pt>
                <c:pt idx="211">
                  <c:v>246.94521361646048</c:v>
                </c:pt>
                <c:pt idx="212">
                  <c:v>293.66975814369101</c:v>
                </c:pt>
                <c:pt idx="213">
                  <c:v>329.63372180082422</c:v>
                </c:pt>
                <c:pt idx="214">
                  <c:v>261.62956379894968</c:v>
                </c:pt>
                <c:pt idx="215">
                  <c:v>329.63372180082422</c:v>
                </c:pt>
                <c:pt idx="216">
                  <c:v>220.00279814001337</c:v>
                </c:pt>
                <c:pt idx="217">
                  <c:v>392.00377257605692</c:v>
                </c:pt>
                <c:pt idx="218">
                  <c:v>392.00377257605692</c:v>
                </c:pt>
                <c:pt idx="219">
                  <c:v>293.66975814369101</c:v>
                </c:pt>
                <c:pt idx="220">
                  <c:v>392.00377257605692</c:v>
                </c:pt>
                <c:pt idx="221">
                  <c:v>293.66975814369101</c:v>
                </c:pt>
                <c:pt idx="222">
                  <c:v>349.23506143398839</c:v>
                </c:pt>
                <c:pt idx="223">
                  <c:v>293.66975814369101</c:v>
                </c:pt>
                <c:pt idx="224">
                  <c:v>493.89549345236594</c:v>
                </c:pt>
                <c:pt idx="225">
                  <c:v>392.00377257605692</c:v>
                </c:pt>
                <c:pt idx="226">
                  <c:v>493.89549345236594</c:v>
                </c:pt>
                <c:pt idx="227">
                  <c:v>220.00279814001337</c:v>
                </c:pt>
                <c:pt idx="228">
                  <c:v>349.23506143398839</c:v>
                </c:pt>
                <c:pt idx="229">
                  <c:v>349.23506143398839</c:v>
                </c:pt>
                <c:pt idx="230">
                  <c:v>293.66975814369101</c:v>
                </c:pt>
                <c:pt idx="231">
                  <c:v>392.00377257605692</c:v>
                </c:pt>
                <c:pt idx="232">
                  <c:v>293.66975814369101</c:v>
                </c:pt>
                <c:pt idx="233">
                  <c:v>246.94521361646048</c:v>
                </c:pt>
                <c:pt idx="234">
                  <c:v>293.66975814369101</c:v>
                </c:pt>
                <c:pt idx="235">
                  <c:v>329.63372180082422</c:v>
                </c:pt>
                <c:pt idx="236">
                  <c:v>261.62956379894968</c:v>
                </c:pt>
                <c:pt idx="237">
                  <c:v>329.63372180082422</c:v>
                </c:pt>
                <c:pt idx="238">
                  <c:v>220.00279814001337</c:v>
                </c:pt>
                <c:pt idx="239">
                  <c:v>392.00377257605692</c:v>
                </c:pt>
                <c:pt idx="240">
                  <c:v>392.00377257605692</c:v>
                </c:pt>
                <c:pt idx="241">
                  <c:v>293.66975814369101</c:v>
                </c:pt>
                <c:pt idx="242">
                  <c:v>392.00377257605692</c:v>
                </c:pt>
                <c:pt idx="243">
                  <c:v>293.66975814369101</c:v>
                </c:pt>
                <c:pt idx="244">
                  <c:v>349.23506143398839</c:v>
                </c:pt>
                <c:pt idx="245">
                  <c:v>293.66975814369101</c:v>
                </c:pt>
                <c:pt idx="246">
                  <c:v>493.89549345236594</c:v>
                </c:pt>
                <c:pt idx="247">
                  <c:v>392.00377257605692</c:v>
                </c:pt>
                <c:pt idx="248">
                  <c:v>493.89549345236594</c:v>
                </c:pt>
                <c:pt idx="249">
                  <c:v>220.00279814001337</c:v>
                </c:pt>
                <c:pt idx="250">
                  <c:v>349.23506143398839</c:v>
                </c:pt>
                <c:pt idx="251">
                  <c:v>349.23506143398839</c:v>
                </c:pt>
                <c:pt idx="252">
                  <c:v>293.66975814369101</c:v>
                </c:pt>
                <c:pt idx="253">
                  <c:v>392.00377257605692</c:v>
                </c:pt>
                <c:pt idx="254">
                  <c:v>293.66975814369101</c:v>
                </c:pt>
                <c:pt idx="255">
                  <c:v>246.94521361646048</c:v>
                </c:pt>
                <c:pt idx="256">
                  <c:v>293.66975814369101</c:v>
                </c:pt>
                <c:pt idx="257">
                  <c:v>329.63372180082422</c:v>
                </c:pt>
                <c:pt idx="258">
                  <c:v>261.62956379894968</c:v>
                </c:pt>
                <c:pt idx="259">
                  <c:v>329.63372180082422</c:v>
                </c:pt>
                <c:pt idx="260">
                  <c:v>220.00279814001337</c:v>
                </c:pt>
                <c:pt idx="261">
                  <c:v>246.94521361646048</c:v>
                </c:pt>
                <c:pt idx="262">
                  <c:v>493.89549345236594</c:v>
                </c:pt>
                <c:pt idx="263">
                  <c:v>220.00279814001337</c:v>
                </c:pt>
                <c:pt idx="264">
                  <c:v>246.94521361646048</c:v>
                </c:pt>
                <c:pt idx="265">
                  <c:v>493.89549345236594</c:v>
                </c:pt>
                <c:pt idx="266">
                  <c:v>220.00279814001337</c:v>
                </c:pt>
                <c:pt idx="267">
                  <c:v>246.94521361646048</c:v>
                </c:pt>
                <c:pt idx="268">
                  <c:v>493.89549345236594</c:v>
                </c:pt>
                <c:pt idx="269">
                  <c:v>220.00279814001337</c:v>
                </c:pt>
                <c:pt idx="270">
                  <c:v>246.94521361646048</c:v>
                </c:pt>
                <c:pt idx="271">
                  <c:v>493.89549345236594</c:v>
                </c:pt>
                <c:pt idx="272">
                  <c:v>164.8151702626221</c:v>
                </c:pt>
                <c:pt idx="273">
                  <c:v>195.99987576438383</c:v>
                </c:pt>
                <c:pt idx="274">
                  <c:v>164.8151702626221</c:v>
                </c:pt>
                <c:pt idx="275">
                  <c:v>220.00279814001337</c:v>
                </c:pt>
                <c:pt idx="276">
                  <c:v>164.8151702626221</c:v>
                </c:pt>
                <c:pt idx="277">
                  <c:v>246.94521361646048</c:v>
                </c:pt>
                <c:pt idx="278">
                  <c:v>164.8151702626221</c:v>
                </c:pt>
                <c:pt idx="279">
                  <c:v>220.00279814001337</c:v>
                </c:pt>
                <c:pt idx="280">
                  <c:v>164.8151702626221</c:v>
                </c:pt>
                <c:pt idx="281">
                  <c:v>195.99987576438383</c:v>
                </c:pt>
                <c:pt idx="282">
                  <c:v>195.99987576438383</c:v>
                </c:pt>
                <c:pt idx="283">
                  <c:v>195.99987576438383</c:v>
                </c:pt>
                <c:pt idx="284">
                  <c:v>195.99987576438383</c:v>
                </c:pt>
                <c:pt idx="285">
                  <c:v>164.8151702626221</c:v>
                </c:pt>
                <c:pt idx="286">
                  <c:v>195.99987576438383</c:v>
                </c:pt>
                <c:pt idx="287">
                  <c:v>164.8151702626221</c:v>
                </c:pt>
                <c:pt idx="288">
                  <c:v>220.00279814001337</c:v>
                </c:pt>
                <c:pt idx="289">
                  <c:v>164.8151702626221</c:v>
                </c:pt>
                <c:pt idx="290">
                  <c:v>246.94521361646048</c:v>
                </c:pt>
                <c:pt idx="291">
                  <c:v>164.8151702626221</c:v>
                </c:pt>
                <c:pt idx="292">
                  <c:v>220.00279814001337</c:v>
                </c:pt>
                <c:pt idx="293">
                  <c:v>164.8151702626221</c:v>
                </c:pt>
                <c:pt idx="294">
                  <c:v>195.99987576438383</c:v>
                </c:pt>
                <c:pt idx="295">
                  <c:v>195.99987576438383</c:v>
                </c:pt>
                <c:pt idx="296">
                  <c:v>195.99987576438383</c:v>
                </c:pt>
                <c:pt idx="297">
                  <c:v>195.99987576438383</c:v>
                </c:pt>
                <c:pt idx="298">
                  <c:v>164.8151702626221</c:v>
                </c:pt>
                <c:pt idx="299">
                  <c:v>195.99987576438383</c:v>
                </c:pt>
                <c:pt idx="300">
                  <c:v>164.8151702626221</c:v>
                </c:pt>
                <c:pt idx="301">
                  <c:v>220.00279814001337</c:v>
                </c:pt>
                <c:pt idx="302">
                  <c:v>164.8151702626221</c:v>
                </c:pt>
                <c:pt idx="303">
                  <c:v>246.94521361646048</c:v>
                </c:pt>
                <c:pt idx="304">
                  <c:v>164.8151702626221</c:v>
                </c:pt>
                <c:pt idx="305">
                  <c:v>220.00279814001337</c:v>
                </c:pt>
                <c:pt idx="306">
                  <c:v>164.8151702626221</c:v>
                </c:pt>
                <c:pt idx="307">
                  <c:v>195.99987576438383</c:v>
                </c:pt>
                <c:pt idx="308">
                  <c:v>195.99987576438383</c:v>
                </c:pt>
                <c:pt idx="309">
                  <c:v>195.99987576438383</c:v>
                </c:pt>
                <c:pt idx="310">
                  <c:v>195.99987576438383</c:v>
                </c:pt>
                <c:pt idx="311">
                  <c:v>164.8151702626221</c:v>
                </c:pt>
                <c:pt idx="312">
                  <c:v>195.99987576438383</c:v>
                </c:pt>
                <c:pt idx="313">
                  <c:v>164.8151702626221</c:v>
                </c:pt>
                <c:pt idx="314">
                  <c:v>220.00279814001337</c:v>
                </c:pt>
                <c:pt idx="315">
                  <c:v>164.8151702626221</c:v>
                </c:pt>
                <c:pt idx="316">
                  <c:v>246.94521361646048</c:v>
                </c:pt>
                <c:pt idx="317">
                  <c:v>164.8151702626221</c:v>
                </c:pt>
                <c:pt idx="318">
                  <c:v>220.00279814001337</c:v>
                </c:pt>
                <c:pt idx="319">
                  <c:v>164.8151702626221</c:v>
                </c:pt>
                <c:pt idx="320">
                  <c:v>195.99987576438383</c:v>
                </c:pt>
                <c:pt idx="321">
                  <c:v>195.99987576438383</c:v>
                </c:pt>
                <c:pt idx="322">
                  <c:v>195.99987576438383</c:v>
                </c:pt>
                <c:pt idx="323">
                  <c:v>195.99987576438383</c:v>
                </c:pt>
                <c:pt idx="324">
                  <c:v>220.00279814001337</c:v>
                </c:pt>
                <c:pt idx="325">
                  <c:v>392.00377257605692</c:v>
                </c:pt>
                <c:pt idx="326">
                  <c:v>392.00377257605692</c:v>
                </c:pt>
                <c:pt idx="327">
                  <c:v>493.89549345236594</c:v>
                </c:pt>
                <c:pt idx="328">
                  <c:v>493.89549345236594</c:v>
                </c:pt>
                <c:pt idx="329">
                  <c:v>220.00279814001337</c:v>
                </c:pt>
                <c:pt idx="330">
                  <c:v>392.00377257605692</c:v>
                </c:pt>
                <c:pt idx="331">
                  <c:v>392.00377257605692</c:v>
                </c:pt>
                <c:pt idx="332">
                  <c:v>493.89549345236594</c:v>
                </c:pt>
                <c:pt idx="333">
                  <c:v>392.00377257605692</c:v>
                </c:pt>
                <c:pt idx="334">
                  <c:v>220.00279814001337</c:v>
                </c:pt>
                <c:pt idx="335">
                  <c:v>392.00377257605692</c:v>
                </c:pt>
                <c:pt idx="336">
                  <c:v>392.00377257605692</c:v>
                </c:pt>
                <c:pt idx="337">
                  <c:v>493.89549345236594</c:v>
                </c:pt>
                <c:pt idx="338">
                  <c:v>493.89549345236594</c:v>
                </c:pt>
                <c:pt idx="339">
                  <c:v>220.00279814001337</c:v>
                </c:pt>
                <c:pt idx="340">
                  <c:v>392.00377257605692</c:v>
                </c:pt>
                <c:pt idx="341">
                  <c:v>392.00377257605692</c:v>
                </c:pt>
                <c:pt idx="342">
                  <c:v>493.89549345236594</c:v>
                </c:pt>
                <c:pt idx="343">
                  <c:v>392.00377257605692</c:v>
                </c:pt>
                <c:pt idx="344">
                  <c:v>220.00279814001337</c:v>
                </c:pt>
                <c:pt idx="345">
                  <c:v>392.00377257605692</c:v>
                </c:pt>
                <c:pt idx="346">
                  <c:v>392.00377257605692</c:v>
                </c:pt>
                <c:pt idx="347">
                  <c:v>220.00279814001337</c:v>
                </c:pt>
                <c:pt idx="348">
                  <c:v>392.00377257605692</c:v>
                </c:pt>
                <c:pt idx="349">
                  <c:v>392.00377257605692</c:v>
                </c:pt>
                <c:pt idx="350">
                  <c:v>220.00279814001337</c:v>
                </c:pt>
                <c:pt idx="351">
                  <c:v>392.00377257605692</c:v>
                </c:pt>
                <c:pt idx="352">
                  <c:v>392.00377257605692</c:v>
                </c:pt>
                <c:pt idx="353">
                  <c:v>220.00279814001337</c:v>
                </c:pt>
                <c:pt idx="354">
                  <c:v>392.00377257605692</c:v>
                </c:pt>
                <c:pt idx="355">
                  <c:v>392.00377257605692</c:v>
                </c:pt>
                <c:pt idx="356">
                  <c:v>220.00279814001337</c:v>
                </c:pt>
                <c:pt idx="357">
                  <c:v>392.00377257605692</c:v>
                </c:pt>
                <c:pt idx="358">
                  <c:v>392.00377257605692</c:v>
                </c:pt>
                <c:pt idx="359">
                  <c:v>493.89549345236594</c:v>
                </c:pt>
                <c:pt idx="360">
                  <c:v>493.89549345236594</c:v>
                </c:pt>
                <c:pt idx="361">
                  <c:v>220.00279814001337</c:v>
                </c:pt>
                <c:pt idx="362">
                  <c:v>392.00377257605692</c:v>
                </c:pt>
                <c:pt idx="363">
                  <c:v>392.00377257605692</c:v>
                </c:pt>
                <c:pt idx="364">
                  <c:v>493.89549345236594</c:v>
                </c:pt>
                <c:pt idx="365">
                  <c:v>392.00377257605692</c:v>
                </c:pt>
                <c:pt idx="366">
                  <c:v>220.00279814001337</c:v>
                </c:pt>
                <c:pt idx="367">
                  <c:v>392.00377257605692</c:v>
                </c:pt>
                <c:pt idx="368">
                  <c:v>392.00377257605692</c:v>
                </c:pt>
                <c:pt idx="369">
                  <c:v>493.89549345236594</c:v>
                </c:pt>
                <c:pt idx="370">
                  <c:v>493.89549345236594</c:v>
                </c:pt>
                <c:pt idx="371">
                  <c:v>220.00279814001337</c:v>
                </c:pt>
                <c:pt idx="372">
                  <c:v>392.00377257605692</c:v>
                </c:pt>
                <c:pt idx="373">
                  <c:v>392.00377257605692</c:v>
                </c:pt>
                <c:pt idx="374">
                  <c:v>493.89549345236594</c:v>
                </c:pt>
                <c:pt idx="375">
                  <c:v>392.00377257605692</c:v>
                </c:pt>
                <c:pt idx="376">
                  <c:v>220.00279814001337</c:v>
                </c:pt>
                <c:pt idx="377">
                  <c:v>392.00377257605692</c:v>
                </c:pt>
                <c:pt idx="378">
                  <c:v>392.00377257605692</c:v>
                </c:pt>
                <c:pt idx="379">
                  <c:v>220.00279814001337</c:v>
                </c:pt>
                <c:pt idx="380">
                  <c:v>392.00377257605692</c:v>
                </c:pt>
                <c:pt idx="381">
                  <c:v>392.00377257605692</c:v>
                </c:pt>
                <c:pt idx="382">
                  <c:v>220.00279814001337</c:v>
                </c:pt>
                <c:pt idx="383">
                  <c:v>392.00377257605692</c:v>
                </c:pt>
                <c:pt idx="384">
                  <c:v>392.00377257605692</c:v>
                </c:pt>
                <c:pt idx="385">
                  <c:v>220.00279814001337</c:v>
                </c:pt>
                <c:pt idx="386">
                  <c:v>392.00377257605692</c:v>
                </c:pt>
                <c:pt idx="387">
                  <c:v>392.00377257605692</c:v>
                </c:pt>
                <c:pt idx="388">
                  <c:v>220.00279814001337</c:v>
                </c:pt>
                <c:pt idx="389">
                  <c:v>392.00377257605692</c:v>
                </c:pt>
                <c:pt idx="390">
                  <c:v>392.00377257605692</c:v>
                </c:pt>
                <c:pt idx="391">
                  <c:v>220.00279814001337</c:v>
                </c:pt>
                <c:pt idx="392">
                  <c:v>392.00377257605692</c:v>
                </c:pt>
                <c:pt idx="393">
                  <c:v>392.00377257605692</c:v>
                </c:pt>
                <c:pt idx="394">
                  <c:v>220.00279814001337</c:v>
                </c:pt>
                <c:pt idx="395">
                  <c:v>392.00377257605692</c:v>
                </c:pt>
                <c:pt idx="396">
                  <c:v>392.00377257605692</c:v>
                </c:pt>
                <c:pt idx="397">
                  <c:v>220.00279814001337</c:v>
                </c:pt>
                <c:pt idx="398">
                  <c:v>392.00377257605692</c:v>
                </c:pt>
                <c:pt idx="399">
                  <c:v>392.00377257605692</c:v>
                </c:pt>
                <c:pt idx="400">
                  <c:v>220.00279814001337</c:v>
                </c:pt>
                <c:pt idx="401">
                  <c:v>392.00377257605692</c:v>
                </c:pt>
                <c:pt idx="402">
                  <c:v>392.00377257605692</c:v>
                </c:pt>
                <c:pt idx="403">
                  <c:v>220.00279814001337</c:v>
                </c:pt>
                <c:pt idx="404">
                  <c:v>392.00377257605692</c:v>
                </c:pt>
                <c:pt idx="405">
                  <c:v>392.00377257605692</c:v>
                </c:pt>
                <c:pt idx="406">
                  <c:v>220.00279814001337</c:v>
                </c:pt>
                <c:pt idx="407">
                  <c:v>392.00377257605692</c:v>
                </c:pt>
                <c:pt idx="408">
                  <c:v>392.00377257605692</c:v>
                </c:pt>
                <c:pt idx="409">
                  <c:v>220.00279814001337</c:v>
                </c:pt>
                <c:pt idx="410">
                  <c:v>392.00377257605692</c:v>
                </c:pt>
                <c:pt idx="411">
                  <c:v>392.00377257605692</c:v>
                </c:pt>
                <c:pt idx="412">
                  <c:v>220.00279814001337</c:v>
                </c:pt>
                <c:pt idx="413">
                  <c:v>392.00377257605692</c:v>
                </c:pt>
                <c:pt idx="414">
                  <c:v>392.00377257605692</c:v>
                </c:pt>
                <c:pt idx="415">
                  <c:v>220.00279814001337</c:v>
                </c:pt>
                <c:pt idx="416">
                  <c:v>392.00377257605692</c:v>
                </c:pt>
                <c:pt idx="417">
                  <c:v>392.00377257605692</c:v>
                </c:pt>
                <c:pt idx="418">
                  <c:v>220.00279814001337</c:v>
                </c:pt>
                <c:pt idx="419">
                  <c:v>392.00377257605692</c:v>
                </c:pt>
                <c:pt idx="420">
                  <c:v>392.00377257605692</c:v>
                </c:pt>
                <c:pt idx="421">
                  <c:v>220.00279814001337</c:v>
                </c:pt>
                <c:pt idx="422">
                  <c:v>392.00377257605692</c:v>
                </c:pt>
                <c:pt idx="423">
                  <c:v>392.00377257605692</c:v>
                </c:pt>
                <c:pt idx="424">
                  <c:v>261.62956379894968</c:v>
                </c:pt>
                <c:pt idx="425">
                  <c:v>392.00377257605692</c:v>
                </c:pt>
                <c:pt idx="426">
                  <c:v>392.00377257605692</c:v>
                </c:pt>
                <c:pt idx="427">
                  <c:v>698.47728762097279</c:v>
                </c:pt>
                <c:pt idx="428">
                  <c:v>466.17487092753117</c:v>
                </c:pt>
                <c:pt idx="429">
                  <c:v>466.17487092753117</c:v>
                </c:pt>
                <c:pt idx="430">
                  <c:v>880.02924657542201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37088"/>
        <c:axId val="123537664"/>
      </c:scatterChart>
      <c:valAx>
        <c:axId val="12353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537664"/>
        <c:crosses val="autoZero"/>
        <c:crossBetween val="midCat"/>
      </c:valAx>
      <c:valAx>
        <c:axId val="123537664"/>
        <c:scaling>
          <c:logBase val="10"/>
          <c:orientation val="minMax"/>
          <c:max val="18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5370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50268738977739"/>
          <c:y val="0.31317505071691398"/>
          <c:w val="4.0177112417229002E-2"/>
          <c:h val="0.42867173262730801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 Written Notes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936454303181399E-2"/>
          <c:y val="0.181659388646288"/>
          <c:w val="0.92040701068724495"/>
          <c:h val="0.65119726300588199"/>
        </c:manualLayout>
      </c:layout>
      <c:scatterChart>
        <c:scatterStyle val="lineMarker"/>
        <c:varyColors val="0"/>
        <c:ser>
          <c:idx val="0"/>
          <c:order val="0"/>
          <c:tx>
            <c:v>1st Guitar</c:v>
          </c:tx>
          <c:xVal>
            <c:numRef>
              <c:f>Sheet4!$A$1304:$A$1515</c:f>
              <c:numCache>
                <c:formatCode>General</c:formatCode>
                <c:ptCount val="212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8.5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16.5</c:v>
                </c:pt>
                <c:pt idx="9">
                  <c:v>18</c:v>
                </c:pt>
                <c:pt idx="10">
                  <c:v>20</c:v>
                </c:pt>
                <c:pt idx="11">
                  <c:v>21</c:v>
                </c:pt>
                <c:pt idx="12">
                  <c:v>22.5</c:v>
                </c:pt>
                <c:pt idx="13">
                  <c:v>24.25</c:v>
                </c:pt>
                <c:pt idx="14">
                  <c:v>25.5</c:v>
                </c:pt>
                <c:pt idx="15">
                  <c:v>27</c:v>
                </c:pt>
                <c:pt idx="16">
                  <c:v>28.5</c:v>
                </c:pt>
                <c:pt idx="17">
                  <c:v>29.75</c:v>
                </c:pt>
                <c:pt idx="18">
                  <c:v>31.5</c:v>
                </c:pt>
                <c:pt idx="19">
                  <c:v>32.75</c:v>
                </c:pt>
                <c:pt idx="20">
                  <c:v>34.5</c:v>
                </c:pt>
                <c:pt idx="21">
                  <c:v>36.25</c:v>
                </c:pt>
                <c:pt idx="22">
                  <c:v>37.5</c:v>
                </c:pt>
                <c:pt idx="23">
                  <c:v>39</c:v>
                </c:pt>
                <c:pt idx="24">
                  <c:v>40.5</c:v>
                </c:pt>
                <c:pt idx="25">
                  <c:v>41.75</c:v>
                </c:pt>
                <c:pt idx="26">
                  <c:v>43.5</c:v>
                </c:pt>
                <c:pt idx="27">
                  <c:v>44.75</c:v>
                </c:pt>
                <c:pt idx="28">
                  <c:v>46</c:v>
                </c:pt>
                <c:pt idx="29">
                  <c:v>48</c:v>
                </c:pt>
                <c:pt idx="30">
                  <c:v>49</c:v>
                </c:pt>
                <c:pt idx="31">
                  <c:v>51</c:v>
                </c:pt>
                <c:pt idx="32">
                  <c:v>52.5</c:v>
                </c:pt>
                <c:pt idx="33">
                  <c:v>53.75</c:v>
                </c:pt>
                <c:pt idx="34">
                  <c:v>55.5</c:v>
                </c:pt>
                <c:pt idx="35">
                  <c:v>56.75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62.5</c:v>
                </c:pt>
                <c:pt idx="40">
                  <c:v>64.25</c:v>
                </c:pt>
                <c:pt idx="41">
                  <c:v>65.5</c:v>
                </c:pt>
                <c:pt idx="42">
                  <c:v>67.5</c:v>
                </c:pt>
                <c:pt idx="43">
                  <c:v>68.75</c:v>
                </c:pt>
                <c:pt idx="44">
                  <c:v>70</c:v>
                </c:pt>
                <c:pt idx="45">
                  <c:v>72</c:v>
                </c:pt>
                <c:pt idx="46">
                  <c:v>73</c:v>
                </c:pt>
                <c:pt idx="47">
                  <c:v>74.5</c:v>
                </c:pt>
                <c:pt idx="48">
                  <c:v>76.25</c:v>
                </c:pt>
                <c:pt idx="49">
                  <c:v>77.5</c:v>
                </c:pt>
                <c:pt idx="50">
                  <c:v>79</c:v>
                </c:pt>
                <c:pt idx="51">
                  <c:v>80.5</c:v>
                </c:pt>
                <c:pt idx="52">
                  <c:v>82</c:v>
                </c:pt>
                <c:pt idx="53">
                  <c:v>84</c:v>
                </c:pt>
                <c:pt idx="54">
                  <c:v>85</c:v>
                </c:pt>
                <c:pt idx="55">
                  <c:v>86.5</c:v>
                </c:pt>
                <c:pt idx="56">
                  <c:v>88</c:v>
                </c:pt>
                <c:pt idx="57">
                  <c:v>89</c:v>
                </c:pt>
                <c:pt idx="58">
                  <c:v>90.5</c:v>
                </c:pt>
                <c:pt idx="59">
                  <c:v>92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98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106</c:v>
                </c:pt>
                <c:pt idx="71">
                  <c:v>108</c:v>
                </c:pt>
                <c:pt idx="72">
                  <c:v>109</c:v>
                </c:pt>
                <c:pt idx="73">
                  <c:v>110</c:v>
                </c:pt>
                <c:pt idx="74">
                  <c:v>111</c:v>
                </c:pt>
                <c:pt idx="75">
                  <c:v>112</c:v>
                </c:pt>
                <c:pt idx="76">
                  <c:v>114</c:v>
                </c:pt>
                <c:pt idx="77">
                  <c:v>116</c:v>
                </c:pt>
                <c:pt idx="78">
                  <c:v>117</c:v>
                </c:pt>
                <c:pt idx="79">
                  <c:v>118</c:v>
                </c:pt>
                <c:pt idx="80">
                  <c:v>119</c:v>
                </c:pt>
                <c:pt idx="81">
                  <c:v>120</c:v>
                </c:pt>
                <c:pt idx="82">
                  <c:v>122</c:v>
                </c:pt>
                <c:pt idx="83">
                  <c:v>124</c:v>
                </c:pt>
                <c:pt idx="84">
                  <c:v>125</c:v>
                </c:pt>
                <c:pt idx="85">
                  <c:v>126.5</c:v>
                </c:pt>
                <c:pt idx="86">
                  <c:v>128.25</c:v>
                </c:pt>
                <c:pt idx="87">
                  <c:v>129.5</c:v>
                </c:pt>
                <c:pt idx="88">
                  <c:v>131</c:v>
                </c:pt>
                <c:pt idx="89">
                  <c:v>132.5</c:v>
                </c:pt>
                <c:pt idx="90">
                  <c:v>133.75</c:v>
                </c:pt>
                <c:pt idx="91">
                  <c:v>135.5</c:v>
                </c:pt>
                <c:pt idx="92">
                  <c:v>136.75</c:v>
                </c:pt>
                <c:pt idx="93">
                  <c:v>138.5</c:v>
                </c:pt>
                <c:pt idx="94">
                  <c:v>140.25</c:v>
                </c:pt>
                <c:pt idx="95">
                  <c:v>141.5</c:v>
                </c:pt>
                <c:pt idx="96">
                  <c:v>143</c:v>
                </c:pt>
                <c:pt idx="97">
                  <c:v>144.5</c:v>
                </c:pt>
                <c:pt idx="98">
                  <c:v>145.75</c:v>
                </c:pt>
                <c:pt idx="99">
                  <c:v>147.5</c:v>
                </c:pt>
                <c:pt idx="100">
                  <c:v>148.75</c:v>
                </c:pt>
                <c:pt idx="101">
                  <c:v>150</c:v>
                </c:pt>
                <c:pt idx="102">
                  <c:v>152</c:v>
                </c:pt>
                <c:pt idx="103">
                  <c:v>153</c:v>
                </c:pt>
                <c:pt idx="104">
                  <c:v>155</c:v>
                </c:pt>
                <c:pt idx="105">
                  <c:v>156.5</c:v>
                </c:pt>
                <c:pt idx="106">
                  <c:v>157.75</c:v>
                </c:pt>
                <c:pt idx="107">
                  <c:v>159.5</c:v>
                </c:pt>
                <c:pt idx="108">
                  <c:v>160.75</c:v>
                </c:pt>
                <c:pt idx="109">
                  <c:v>162</c:v>
                </c:pt>
                <c:pt idx="110">
                  <c:v>164</c:v>
                </c:pt>
                <c:pt idx="111">
                  <c:v>165</c:v>
                </c:pt>
                <c:pt idx="112">
                  <c:v>166.5</c:v>
                </c:pt>
                <c:pt idx="113">
                  <c:v>168.25</c:v>
                </c:pt>
                <c:pt idx="114">
                  <c:v>169.5</c:v>
                </c:pt>
                <c:pt idx="115">
                  <c:v>171.5</c:v>
                </c:pt>
                <c:pt idx="116">
                  <c:v>172.75</c:v>
                </c:pt>
                <c:pt idx="117">
                  <c:v>174</c:v>
                </c:pt>
                <c:pt idx="118">
                  <c:v>176</c:v>
                </c:pt>
                <c:pt idx="119">
                  <c:v>177</c:v>
                </c:pt>
                <c:pt idx="120">
                  <c:v>178.5</c:v>
                </c:pt>
                <c:pt idx="121">
                  <c:v>180.25</c:v>
                </c:pt>
                <c:pt idx="122">
                  <c:v>181.5</c:v>
                </c:pt>
                <c:pt idx="123">
                  <c:v>183</c:v>
                </c:pt>
                <c:pt idx="124">
                  <c:v>184.5</c:v>
                </c:pt>
                <c:pt idx="125">
                  <c:v>186</c:v>
                </c:pt>
                <c:pt idx="126">
                  <c:v>188</c:v>
                </c:pt>
                <c:pt idx="127">
                  <c:v>189</c:v>
                </c:pt>
                <c:pt idx="128">
                  <c:v>190.5</c:v>
                </c:pt>
                <c:pt idx="129">
                  <c:v>192</c:v>
                </c:pt>
                <c:pt idx="130">
                  <c:v>193</c:v>
                </c:pt>
                <c:pt idx="131">
                  <c:v>194.5</c:v>
                </c:pt>
                <c:pt idx="132">
                  <c:v>196</c:v>
                </c:pt>
                <c:pt idx="133">
                  <c:v>197</c:v>
                </c:pt>
                <c:pt idx="134">
                  <c:v>198</c:v>
                </c:pt>
                <c:pt idx="135">
                  <c:v>199</c:v>
                </c:pt>
                <c:pt idx="136">
                  <c:v>200</c:v>
                </c:pt>
                <c:pt idx="137">
                  <c:v>202</c:v>
                </c:pt>
                <c:pt idx="138">
                  <c:v>204</c:v>
                </c:pt>
                <c:pt idx="139">
                  <c:v>205</c:v>
                </c:pt>
                <c:pt idx="140">
                  <c:v>206</c:v>
                </c:pt>
                <c:pt idx="141">
                  <c:v>207</c:v>
                </c:pt>
                <c:pt idx="142">
                  <c:v>208</c:v>
                </c:pt>
                <c:pt idx="143">
                  <c:v>210</c:v>
                </c:pt>
                <c:pt idx="144">
                  <c:v>212</c:v>
                </c:pt>
                <c:pt idx="145">
                  <c:v>213</c:v>
                </c:pt>
                <c:pt idx="146">
                  <c:v>214</c:v>
                </c:pt>
                <c:pt idx="147">
                  <c:v>215</c:v>
                </c:pt>
                <c:pt idx="148">
                  <c:v>216</c:v>
                </c:pt>
                <c:pt idx="149">
                  <c:v>218</c:v>
                </c:pt>
                <c:pt idx="150">
                  <c:v>220</c:v>
                </c:pt>
                <c:pt idx="151">
                  <c:v>221</c:v>
                </c:pt>
                <c:pt idx="152">
                  <c:v>222</c:v>
                </c:pt>
                <c:pt idx="153">
                  <c:v>223</c:v>
                </c:pt>
                <c:pt idx="154">
                  <c:v>224</c:v>
                </c:pt>
                <c:pt idx="155">
                  <c:v>226</c:v>
                </c:pt>
                <c:pt idx="156">
                  <c:v>228</c:v>
                </c:pt>
                <c:pt idx="157">
                  <c:v>229</c:v>
                </c:pt>
                <c:pt idx="158">
                  <c:v>231</c:v>
                </c:pt>
                <c:pt idx="159">
                  <c:v>232.5</c:v>
                </c:pt>
                <c:pt idx="160">
                  <c:v>234</c:v>
                </c:pt>
                <c:pt idx="161">
                  <c:v>236</c:v>
                </c:pt>
                <c:pt idx="162">
                  <c:v>237</c:v>
                </c:pt>
                <c:pt idx="163">
                  <c:v>239</c:v>
                </c:pt>
                <c:pt idx="164">
                  <c:v>240.5</c:v>
                </c:pt>
                <c:pt idx="165">
                  <c:v>242</c:v>
                </c:pt>
                <c:pt idx="166">
                  <c:v>244</c:v>
                </c:pt>
                <c:pt idx="167">
                  <c:v>245</c:v>
                </c:pt>
                <c:pt idx="168">
                  <c:v>246.5</c:v>
                </c:pt>
                <c:pt idx="169">
                  <c:v>248</c:v>
                </c:pt>
                <c:pt idx="170">
                  <c:v>249</c:v>
                </c:pt>
                <c:pt idx="171">
                  <c:v>250.5</c:v>
                </c:pt>
                <c:pt idx="172">
                  <c:v>252</c:v>
                </c:pt>
                <c:pt idx="173">
                  <c:v>253</c:v>
                </c:pt>
                <c:pt idx="174">
                  <c:v>255</c:v>
                </c:pt>
                <c:pt idx="175">
                  <c:v>256.5</c:v>
                </c:pt>
                <c:pt idx="176">
                  <c:v>258</c:v>
                </c:pt>
                <c:pt idx="177">
                  <c:v>260</c:v>
                </c:pt>
                <c:pt idx="178">
                  <c:v>261</c:v>
                </c:pt>
                <c:pt idx="179">
                  <c:v>263</c:v>
                </c:pt>
                <c:pt idx="180">
                  <c:v>264.5</c:v>
                </c:pt>
                <c:pt idx="181">
                  <c:v>266</c:v>
                </c:pt>
                <c:pt idx="182">
                  <c:v>268</c:v>
                </c:pt>
                <c:pt idx="183">
                  <c:v>269</c:v>
                </c:pt>
                <c:pt idx="184">
                  <c:v>270.5</c:v>
                </c:pt>
                <c:pt idx="185">
                  <c:v>272</c:v>
                </c:pt>
                <c:pt idx="186">
                  <c:v>273</c:v>
                </c:pt>
                <c:pt idx="187">
                  <c:v>274.5</c:v>
                </c:pt>
                <c:pt idx="188">
                  <c:v>276</c:v>
                </c:pt>
                <c:pt idx="189">
                  <c:v>277</c:v>
                </c:pt>
                <c:pt idx="190">
                  <c:v>278.5</c:v>
                </c:pt>
                <c:pt idx="191">
                  <c:v>280</c:v>
                </c:pt>
                <c:pt idx="192">
                  <c:v>281</c:v>
                </c:pt>
                <c:pt idx="193">
                  <c:v>282.5</c:v>
                </c:pt>
                <c:pt idx="194">
                  <c:v>284</c:v>
                </c:pt>
                <c:pt idx="195">
                  <c:v>285</c:v>
                </c:pt>
                <c:pt idx="196">
                  <c:v>286.5</c:v>
                </c:pt>
                <c:pt idx="197">
                  <c:v>288</c:v>
                </c:pt>
                <c:pt idx="198">
                  <c:v>289</c:v>
                </c:pt>
                <c:pt idx="199">
                  <c:v>290.5</c:v>
                </c:pt>
                <c:pt idx="200">
                  <c:v>292</c:v>
                </c:pt>
                <c:pt idx="201">
                  <c:v>293</c:v>
                </c:pt>
                <c:pt idx="202">
                  <c:v>294.5</c:v>
                </c:pt>
                <c:pt idx="203">
                  <c:v>296</c:v>
                </c:pt>
                <c:pt idx="204">
                  <c:v>297</c:v>
                </c:pt>
                <c:pt idx="205">
                  <c:v>298.5</c:v>
                </c:pt>
                <c:pt idx="206">
                  <c:v>301</c:v>
                </c:pt>
                <c:pt idx="207">
                  <c:v>303.5</c:v>
                </c:pt>
                <c:pt idx="208">
                  <c:v>305</c:v>
                </c:pt>
                <c:pt idx="209">
                  <c:v>309.5</c:v>
                </c:pt>
                <c:pt idx="210">
                  <c:v>315</c:v>
                </c:pt>
                <c:pt idx="211">
                  <c:v>321</c:v>
                </c:pt>
              </c:numCache>
            </c:numRef>
          </c:xVal>
          <c:yVal>
            <c:numRef>
              <c:f>Sheet4!$D$1304:$D$1515</c:f>
              <c:numCache>
                <c:formatCode>General</c:formatCode>
                <c:ptCount val="212"/>
                <c:pt idx="0">
                  <c:v>293.66975814369101</c:v>
                </c:pt>
                <c:pt idx="1">
                  <c:v>392.00377257605692</c:v>
                </c:pt>
                <c:pt idx="2">
                  <c:v>392.00377257605692</c:v>
                </c:pt>
                <c:pt idx="3">
                  <c:v>392.00377257605692</c:v>
                </c:pt>
                <c:pt idx="4">
                  <c:v>392.00377257605692</c:v>
                </c:pt>
                <c:pt idx="5">
                  <c:v>293.66975814369101</c:v>
                </c:pt>
                <c:pt idx="6">
                  <c:v>392.00377257605692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392.00377257605692</c:v>
                </c:pt>
                <c:pt idx="10">
                  <c:v>293.66975814369101</c:v>
                </c:pt>
                <c:pt idx="11">
                  <c:v>493.89549345236594</c:v>
                </c:pt>
                <c:pt idx="12">
                  <c:v>392.00377257605692</c:v>
                </c:pt>
                <c:pt idx="13">
                  <c:v>440.01010976071973</c:v>
                </c:pt>
                <c:pt idx="14">
                  <c:v>392.00377257605692</c:v>
                </c:pt>
                <c:pt idx="15">
                  <c:v>587.34554108704231</c:v>
                </c:pt>
                <c:pt idx="16">
                  <c:v>440.01010976071973</c:v>
                </c:pt>
                <c:pt idx="17">
                  <c:v>293.66975814369101</c:v>
                </c:pt>
                <c:pt idx="18">
                  <c:v>392.00377257605692</c:v>
                </c:pt>
                <c:pt idx="19">
                  <c:v>392.00377257605692</c:v>
                </c:pt>
                <c:pt idx="20">
                  <c:v>392.00377257605692</c:v>
                </c:pt>
                <c:pt idx="21">
                  <c:v>440.01010976071973</c:v>
                </c:pt>
                <c:pt idx="22">
                  <c:v>392.00377257605692</c:v>
                </c:pt>
                <c:pt idx="23">
                  <c:v>587.34554108704231</c:v>
                </c:pt>
                <c:pt idx="24">
                  <c:v>493.89549345236594</c:v>
                </c:pt>
                <c:pt idx="25">
                  <c:v>293.66975814369101</c:v>
                </c:pt>
                <c:pt idx="26">
                  <c:v>392.00377257605692</c:v>
                </c:pt>
                <c:pt idx="27">
                  <c:v>392.00377257605692</c:v>
                </c:pt>
                <c:pt idx="28">
                  <c:v>440.01010976071973</c:v>
                </c:pt>
                <c:pt idx="29">
                  <c:v>293.66975814369101</c:v>
                </c:pt>
                <c:pt idx="30">
                  <c:v>329.63372180082422</c:v>
                </c:pt>
                <c:pt idx="31">
                  <c:v>329.63372180082422</c:v>
                </c:pt>
                <c:pt idx="32">
                  <c:v>493.89549345236594</c:v>
                </c:pt>
                <c:pt idx="33">
                  <c:v>293.66975814369101</c:v>
                </c:pt>
                <c:pt idx="34">
                  <c:v>392.00377257605692</c:v>
                </c:pt>
                <c:pt idx="35">
                  <c:v>392.00377257605692</c:v>
                </c:pt>
                <c:pt idx="36">
                  <c:v>493.89549345236594</c:v>
                </c:pt>
                <c:pt idx="37">
                  <c:v>293.66975814369101</c:v>
                </c:pt>
                <c:pt idx="38">
                  <c:v>440.01010976071973</c:v>
                </c:pt>
                <c:pt idx="39">
                  <c:v>392.00377257605692</c:v>
                </c:pt>
                <c:pt idx="40">
                  <c:v>329.63372180082422</c:v>
                </c:pt>
                <c:pt idx="41">
                  <c:v>392.00377257605692</c:v>
                </c:pt>
                <c:pt idx="42">
                  <c:v>392.00377257605692</c:v>
                </c:pt>
                <c:pt idx="43">
                  <c:v>392.00377257605692</c:v>
                </c:pt>
                <c:pt idx="44">
                  <c:v>493.89549345236594</c:v>
                </c:pt>
                <c:pt idx="45">
                  <c:v>293.66975814369101</c:v>
                </c:pt>
                <c:pt idx="46">
                  <c:v>493.89549345236594</c:v>
                </c:pt>
                <c:pt idx="47">
                  <c:v>392.00377257605692</c:v>
                </c:pt>
                <c:pt idx="48">
                  <c:v>392.00377257605692</c:v>
                </c:pt>
                <c:pt idx="49">
                  <c:v>392.00377257605692</c:v>
                </c:pt>
                <c:pt idx="50">
                  <c:v>523.26449507501752</c:v>
                </c:pt>
                <c:pt idx="51">
                  <c:v>349.23506143398839</c:v>
                </c:pt>
                <c:pt idx="52">
                  <c:v>329.63372180082422</c:v>
                </c:pt>
                <c:pt idx="53">
                  <c:v>349.23506143398839</c:v>
                </c:pt>
                <c:pt idx="54">
                  <c:v>392.00377257605692</c:v>
                </c:pt>
                <c:pt idx="55">
                  <c:v>392.00377257605692</c:v>
                </c:pt>
                <c:pt idx="56">
                  <c:v>349.23506143398839</c:v>
                </c:pt>
                <c:pt idx="57">
                  <c:v>392.00377257605692</c:v>
                </c:pt>
                <c:pt idx="58">
                  <c:v>392.00377257605692</c:v>
                </c:pt>
                <c:pt idx="59">
                  <c:v>293.66975814369101</c:v>
                </c:pt>
                <c:pt idx="60">
                  <c:v>293.66975814369101</c:v>
                </c:pt>
                <c:pt idx="61">
                  <c:v>293.66975814369101</c:v>
                </c:pt>
                <c:pt idx="62">
                  <c:v>293.66975814369101</c:v>
                </c:pt>
                <c:pt idx="63">
                  <c:v>587.34554108704231</c:v>
                </c:pt>
                <c:pt idx="64">
                  <c:v>587.34554108704231</c:v>
                </c:pt>
                <c:pt idx="65">
                  <c:v>293.66975814369101</c:v>
                </c:pt>
                <c:pt idx="66">
                  <c:v>293.66975814369101</c:v>
                </c:pt>
                <c:pt idx="67">
                  <c:v>293.66975814369101</c:v>
                </c:pt>
                <c:pt idx="68">
                  <c:v>293.66975814369101</c:v>
                </c:pt>
                <c:pt idx="69">
                  <c:v>587.34554108704231</c:v>
                </c:pt>
                <c:pt idx="70">
                  <c:v>587.34554108704231</c:v>
                </c:pt>
                <c:pt idx="71">
                  <c:v>293.66975814369101</c:v>
                </c:pt>
                <c:pt idx="72">
                  <c:v>293.66975814369101</c:v>
                </c:pt>
                <c:pt idx="73">
                  <c:v>293.66975814369101</c:v>
                </c:pt>
                <c:pt idx="74">
                  <c:v>293.66975814369101</c:v>
                </c:pt>
                <c:pt idx="75">
                  <c:v>587.34554108704231</c:v>
                </c:pt>
                <c:pt idx="76">
                  <c:v>587.34554108704231</c:v>
                </c:pt>
                <c:pt idx="77">
                  <c:v>293.66975814369101</c:v>
                </c:pt>
                <c:pt idx="78">
                  <c:v>293.66975814369101</c:v>
                </c:pt>
                <c:pt idx="79">
                  <c:v>293.66975814369101</c:v>
                </c:pt>
                <c:pt idx="80">
                  <c:v>293.66975814369101</c:v>
                </c:pt>
                <c:pt idx="81">
                  <c:v>587.34554108704231</c:v>
                </c:pt>
                <c:pt idx="82">
                  <c:v>587.34554108704231</c:v>
                </c:pt>
                <c:pt idx="83">
                  <c:v>293.66975814369101</c:v>
                </c:pt>
                <c:pt idx="84">
                  <c:v>493.89549345236594</c:v>
                </c:pt>
                <c:pt idx="85">
                  <c:v>392.00377257605692</c:v>
                </c:pt>
                <c:pt idx="86">
                  <c:v>440.01010976071973</c:v>
                </c:pt>
                <c:pt idx="87">
                  <c:v>392.00377257605692</c:v>
                </c:pt>
                <c:pt idx="88">
                  <c:v>587.34554108704231</c:v>
                </c:pt>
                <c:pt idx="89">
                  <c:v>440.01010976071973</c:v>
                </c:pt>
                <c:pt idx="90">
                  <c:v>293.66975814369101</c:v>
                </c:pt>
                <c:pt idx="91">
                  <c:v>392.00377257605692</c:v>
                </c:pt>
                <c:pt idx="92">
                  <c:v>392.00377257605692</c:v>
                </c:pt>
                <c:pt idx="93">
                  <c:v>392.00377257605692</c:v>
                </c:pt>
                <c:pt idx="94">
                  <c:v>440.01010976071973</c:v>
                </c:pt>
                <c:pt idx="95">
                  <c:v>392.00377257605692</c:v>
                </c:pt>
                <c:pt idx="96">
                  <c:v>587.34554108704231</c:v>
                </c:pt>
                <c:pt idx="97">
                  <c:v>493.89549345236594</c:v>
                </c:pt>
                <c:pt idx="98">
                  <c:v>293.66975814369101</c:v>
                </c:pt>
                <c:pt idx="99">
                  <c:v>392.00377257605692</c:v>
                </c:pt>
                <c:pt idx="100">
                  <c:v>392.00377257605692</c:v>
                </c:pt>
                <c:pt idx="101">
                  <c:v>440.01010976071973</c:v>
                </c:pt>
                <c:pt idx="102">
                  <c:v>293.66975814369101</c:v>
                </c:pt>
                <c:pt idx="103">
                  <c:v>329.63372180082422</c:v>
                </c:pt>
                <c:pt idx="104">
                  <c:v>329.63372180082422</c:v>
                </c:pt>
                <c:pt idx="105">
                  <c:v>493.89549345236594</c:v>
                </c:pt>
                <c:pt idx="106">
                  <c:v>293.66975814369101</c:v>
                </c:pt>
                <c:pt idx="107">
                  <c:v>392.00377257605692</c:v>
                </c:pt>
                <c:pt idx="108">
                  <c:v>392.00377257605692</c:v>
                </c:pt>
                <c:pt idx="109">
                  <c:v>493.89549345236594</c:v>
                </c:pt>
                <c:pt idx="110">
                  <c:v>293.66975814369101</c:v>
                </c:pt>
                <c:pt idx="111">
                  <c:v>440.01010976071973</c:v>
                </c:pt>
                <c:pt idx="112">
                  <c:v>392.00377257605692</c:v>
                </c:pt>
                <c:pt idx="113">
                  <c:v>329.63372180082422</c:v>
                </c:pt>
                <c:pt idx="114">
                  <c:v>392.00377257605692</c:v>
                </c:pt>
                <c:pt idx="115">
                  <c:v>392.00377257605692</c:v>
                </c:pt>
                <c:pt idx="116">
                  <c:v>392.00377257605692</c:v>
                </c:pt>
                <c:pt idx="117">
                  <c:v>493.89549345236594</c:v>
                </c:pt>
                <c:pt idx="118">
                  <c:v>293.66975814369101</c:v>
                </c:pt>
                <c:pt idx="119">
                  <c:v>493.89549345236594</c:v>
                </c:pt>
                <c:pt idx="120">
                  <c:v>392.00377257605692</c:v>
                </c:pt>
                <c:pt idx="121">
                  <c:v>392.00377257605692</c:v>
                </c:pt>
                <c:pt idx="122">
                  <c:v>392.00377257605692</c:v>
                </c:pt>
                <c:pt idx="123">
                  <c:v>523.26449507501752</c:v>
                </c:pt>
                <c:pt idx="124">
                  <c:v>349.23506143398839</c:v>
                </c:pt>
                <c:pt idx="125">
                  <c:v>329.63372180082422</c:v>
                </c:pt>
                <c:pt idx="126">
                  <c:v>349.23506143398839</c:v>
                </c:pt>
                <c:pt idx="127">
                  <c:v>392.00377257605692</c:v>
                </c:pt>
                <c:pt idx="128">
                  <c:v>392.00377257605692</c:v>
                </c:pt>
                <c:pt idx="129">
                  <c:v>349.23506143398839</c:v>
                </c:pt>
                <c:pt idx="130">
                  <c:v>392.00377257605692</c:v>
                </c:pt>
                <c:pt idx="131">
                  <c:v>392.00377257605692</c:v>
                </c:pt>
                <c:pt idx="132">
                  <c:v>293.66975814369101</c:v>
                </c:pt>
                <c:pt idx="133">
                  <c:v>293.66975814369101</c:v>
                </c:pt>
                <c:pt idx="134">
                  <c:v>293.66975814369101</c:v>
                </c:pt>
                <c:pt idx="135">
                  <c:v>293.66975814369101</c:v>
                </c:pt>
                <c:pt idx="136">
                  <c:v>587.34554108704231</c:v>
                </c:pt>
                <c:pt idx="137">
                  <c:v>587.34554108704231</c:v>
                </c:pt>
                <c:pt idx="138">
                  <c:v>293.66975814369101</c:v>
                </c:pt>
                <c:pt idx="139">
                  <c:v>293.66975814369101</c:v>
                </c:pt>
                <c:pt idx="140">
                  <c:v>293.66975814369101</c:v>
                </c:pt>
                <c:pt idx="141">
                  <c:v>293.66975814369101</c:v>
                </c:pt>
                <c:pt idx="142">
                  <c:v>587.34554108704231</c:v>
                </c:pt>
                <c:pt idx="143">
                  <c:v>293.66975814369101</c:v>
                </c:pt>
                <c:pt idx="144">
                  <c:v>293.66975814369101</c:v>
                </c:pt>
                <c:pt idx="145">
                  <c:v>293.66975814369101</c:v>
                </c:pt>
                <c:pt idx="146">
                  <c:v>293.66975814369101</c:v>
                </c:pt>
                <c:pt idx="147">
                  <c:v>293.66975814369101</c:v>
                </c:pt>
                <c:pt idx="148">
                  <c:v>587.34554108704231</c:v>
                </c:pt>
                <c:pt idx="149">
                  <c:v>587.34554108704231</c:v>
                </c:pt>
                <c:pt idx="150">
                  <c:v>293.66975814369101</c:v>
                </c:pt>
                <c:pt idx="151">
                  <c:v>293.66975814369101</c:v>
                </c:pt>
                <c:pt idx="152">
                  <c:v>293.66975814369101</c:v>
                </c:pt>
                <c:pt idx="153">
                  <c:v>293.66975814369101</c:v>
                </c:pt>
                <c:pt idx="154">
                  <c:v>587.34554108704231</c:v>
                </c:pt>
                <c:pt idx="155">
                  <c:v>587.34554108704231</c:v>
                </c:pt>
                <c:pt idx="156">
                  <c:v>293.66975814369101</c:v>
                </c:pt>
                <c:pt idx="157">
                  <c:v>493.89549345236594</c:v>
                </c:pt>
                <c:pt idx="158">
                  <c:v>587.34554108704231</c:v>
                </c:pt>
                <c:pt idx="159">
                  <c:v>493.89549345236594</c:v>
                </c:pt>
                <c:pt idx="160">
                  <c:v>587.34554108704231</c:v>
                </c:pt>
                <c:pt idx="161">
                  <c:v>293.66975814369101</c:v>
                </c:pt>
                <c:pt idx="162">
                  <c:v>493.89549345236594</c:v>
                </c:pt>
                <c:pt idx="163">
                  <c:v>587.34554108704231</c:v>
                </c:pt>
                <c:pt idx="164">
                  <c:v>493.89549345236594</c:v>
                </c:pt>
                <c:pt idx="165">
                  <c:v>587.34554108704231</c:v>
                </c:pt>
                <c:pt idx="166">
                  <c:v>293.66975814369101</c:v>
                </c:pt>
                <c:pt idx="167">
                  <c:v>493.89549345236594</c:v>
                </c:pt>
                <c:pt idx="168">
                  <c:v>493.89549345236594</c:v>
                </c:pt>
                <c:pt idx="169">
                  <c:v>293.66975814369101</c:v>
                </c:pt>
                <c:pt idx="170">
                  <c:v>493.89549345236594</c:v>
                </c:pt>
                <c:pt idx="171">
                  <c:v>493.89549345236594</c:v>
                </c:pt>
                <c:pt idx="172">
                  <c:v>293.66975814369101</c:v>
                </c:pt>
                <c:pt idx="173">
                  <c:v>493.89549345236594</c:v>
                </c:pt>
                <c:pt idx="174">
                  <c:v>587.34554108704231</c:v>
                </c:pt>
                <c:pt idx="175">
                  <c:v>493.89549345236594</c:v>
                </c:pt>
                <c:pt idx="176">
                  <c:v>587.34554108704231</c:v>
                </c:pt>
                <c:pt idx="177">
                  <c:v>293.66975814369101</c:v>
                </c:pt>
                <c:pt idx="178">
                  <c:v>493.89549345236594</c:v>
                </c:pt>
                <c:pt idx="179">
                  <c:v>587.34554108704231</c:v>
                </c:pt>
                <c:pt idx="180">
                  <c:v>493.89549345236594</c:v>
                </c:pt>
                <c:pt idx="181">
                  <c:v>587.34554108704231</c:v>
                </c:pt>
                <c:pt idx="182">
                  <c:v>293.66975814369101</c:v>
                </c:pt>
                <c:pt idx="183">
                  <c:v>493.89549345236594</c:v>
                </c:pt>
                <c:pt idx="184">
                  <c:v>493.89549345236594</c:v>
                </c:pt>
                <c:pt idx="185">
                  <c:v>293.66975814369101</c:v>
                </c:pt>
                <c:pt idx="186">
                  <c:v>493.89549345236594</c:v>
                </c:pt>
                <c:pt idx="187">
                  <c:v>493.89549345236594</c:v>
                </c:pt>
                <c:pt idx="188">
                  <c:v>293.66975814369101</c:v>
                </c:pt>
                <c:pt idx="189">
                  <c:v>493.89549345236594</c:v>
                </c:pt>
                <c:pt idx="190">
                  <c:v>493.89549345236594</c:v>
                </c:pt>
                <c:pt idx="191">
                  <c:v>293.66975814369101</c:v>
                </c:pt>
                <c:pt idx="192">
                  <c:v>493.89549345236594</c:v>
                </c:pt>
                <c:pt idx="193">
                  <c:v>493.89549345236594</c:v>
                </c:pt>
                <c:pt idx="194">
                  <c:v>293.66975814369101</c:v>
                </c:pt>
                <c:pt idx="195">
                  <c:v>493.89549345236594</c:v>
                </c:pt>
                <c:pt idx="196">
                  <c:v>493.89549345236594</c:v>
                </c:pt>
                <c:pt idx="197">
                  <c:v>293.66975814369101</c:v>
                </c:pt>
                <c:pt idx="198">
                  <c:v>493.89549345236594</c:v>
                </c:pt>
                <c:pt idx="199">
                  <c:v>493.89549345236594</c:v>
                </c:pt>
                <c:pt idx="200">
                  <c:v>293.66975814369101</c:v>
                </c:pt>
                <c:pt idx="201">
                  <c:v>493.89549345236594</c:v>
                </c:pt>
                <c:pt idx="202">
                  <c:v>493.89549345236594</c:v>
                </c:pt>
                <c:pt idx="203">
                  <c:v>293.66975814369101</c:v>
                </c:pt>
                <c:pt idx="204">
                  <c:v>493.89549345236594</c:v>
                </c:pt>
                <c:pt idx="205">
                  <c:v>493.89549345236594</c:v>
                </c:pt>
                <c:pt idx="206">
                  <c:v>329.63372180082422</c:v>
                </c:pt>
                <c:pt idx="207">
                  <c:v>329.63372180082422</c:v>
                </c:pt>
                <c:pt idx="208">
                  <c:v>392.00377257605692</c:v>
                </c:pt>
                <c:pt idx="209">
                  <c:v>784.01558732918636</c:v>
                </c:pt>
                <c:pt idx="210">
                  <c:v>932.35930569378297</c:v>
                </c:pt>
                <c:pt idx="211">
                  <c:v>987.80111944755811</c:v>
                </c:pt>
              </c:numCache>
            </c:numRef>
          </c:yVal>
          <c:smooth val="0"/>
        </c:ser>
        <c:ser>
          <c:idx val="3"/>
          <c:order val="1"/>
          <c:tx>
            <c:v>2nd Guitar</c:v>
          </c:tx>
          <c:spPr>
            <a:ln>
              <a:solidFill>
                <a:schemeClr val="accent2"/>
              </a:solidFill>
            </a:ln>
          </c:spPr>
          <c:marker>
            <c:symbol val="x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Sheet4!$F$1304:$F$1519</c:f>
              <c:numCache>
                <c:formatCode>General</c:formatCode>
                <c:ptCount val="216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8.5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16.5</c:v>
                </c:pt>
                <c:pt idx="9">
                  <c:v>18</c:v>
                </c:pt>
                <c:pt idx="10">
                  <c:v>20</c:v>
                </c:pt>
                <c:pt idx="11">
                  <c:v>21</c:v>
                </c:pt>
                <c:pt idx="12">
                  <c:v>22.5</c:v>
                </c:pt>
                <c:pt idx="13">
                  <c:v>24.25</c:v>
                </c:pt>
                <c:pt idx="14">
                  <c:v>25.5</c:v>
                </c:pt>
                <c:pt idx="15">
                  <c:v>27</c:v>
                </c:pt>
                <c:pt idx="16">
                  <c:v>28.5</c:v>
                </c:pt>
                <c:pt idx="17">
                  <c:v>29.75</c:v>
                </c:pt>
                <c:pt idx="18">
                  <c:v>31.5</c:v>
                </c:pt>
                <c:pt idx="19">
                  <c:v>32.75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38.5</c:v>
                </c:pt>
                <c:pt idx="24">
                  <c:v>40.25</c:v>
                </c:pt>
                <c:pt idx="25">
                  <c:v>41.5</c:v>
                </c:pt>
                <c:pt idx="26">
                  <c:v>43</c:v>
                </c:pt>
                <c:pt idx="27">
                  <c:v>44.5</c:v>
                </c:pt>
                <c:pt idx="28">
                  <c:v>45.75</c:v>
                </c:pt>
                <c:pt idx="29">
                  <c:v>47.5</c:v>
                </c:pt>
                <c:pt idx="30">
                  <c:v>48.75</c:v>
                </c:pt>
                <c:pt idx="31">
                  <c:v>50</c:v>
                </c:pt>
                <c:pt idx="32">
                  <c:v>52</c:v>
                </c:pt>
                <c:pt idx="33">
                  <c:v>53</c:v>
                </c:pt>
                <c:pt idx="34">
                  <c:v>54.5</c:v>
                </c:pt>
                <c:pt idx="35">
                  <c:v>56.25</c:v>
                </c:pt>
                <c:pt idx="36">
                  <c:v>57.5</c:v>
                </c:pt>
                <c:pt idx="37">
                  <c:v>59</c:v>
                </c:pt>
                <c:pt idx="38">
                  <c:v>60.5</c:v>
                </c:pt>
                <c:pt idx="39">
                  <c:v>61.75</c:v>
                </c:pt>
                <c:pt idx="40">
                  <c:v>63.5</c:v>
                </c:pt>
                <c:pt idx="41">
                  <c:v>64.75</c:v>
                </c:pt>
                <c:pt idx="42">
                  <c:v>66</c:v>
                </c:pt>
                <c:pt idx="43">
                  <c:v>68</c:v>
                </c:pt>
                <c:pt idx="44">
                  <c:v>69</c:v>
                </c:pt>
                <c:pt idx="45">
                  <c:v>70.5</c:v>
                </c:pt>
                <c:pt idx="46">
                  <c:v>72.25</c:v>
                </c:pt>
                <c:pt idx="47">
                  <c:v>73.5</c:v>
                </c:pt>
                <c:pt idx="48">
                  <c:v>75</c:v>
                </c:pt>
                <c:pt idx="49">
                  <c:v>76.5</c:v>
                </c:pt>
                <c:pt idx="50">
                  <c:v>77.75</c:v>
                </c:pt>
                <c:pt idx="51">
                  <c:v>79.5</c:v>
                </c:pt>
                <c:pt idx="52">
                  <c:v>80.75</c:v>
                </c:pt>
                <c:pt idx="53">
                  <c:v>82</c:v>
                </c:pt>
                <c:pt idx="54">
                  <c:v>84</c:v>
                </c:pt>
                <c:pt idx="55">
                  <c:v>85</c:v>
                </c:pt>
                <c:pt idx="56">
                  <c:v>86.5</c:v>
                </c:pt>
                <c:pt idx="57">
                  <c:v>88</c:v>
                </c:pt>
                <c:pt idx="58">
                  <c:v>89</c:v>
                </c:pt>
                <c:pt idx="59">
                  <c:v>90.5</c:v>
                </c:pt>
                <c:pt idx="60">
                  <c:v>92</c:v>
                </c:pt>
                <c:pt idx="61">
                  <c:v>93</c:v>
                </c:pt>
                <c:pt idx="62">
                  <c:v>94</c:v>
                </c:pt>
                <c:pt idx="63">
                  <c:v>95</c:v>
                </c:pt>
                <c:pt idx="64">
                  <c:v>96</c:v>
                </c:pt>
                <c:pt idx="65">
                  <c:v>97</c:v>
                </c:pt>
                <c:pt idx="66">
                  <c:v>99</c:v>
                </c:pt>
                <c:pt idx="67">
                  <c:v>100.5</c:v>
                </c:pt>
                <c:pt idx="68">
                  <c:v>101.5</c:v>
                </c:pt>
                <c:pt idx="69">
                  <c:v>102.5</c:v>
                </c:pt>
                <c:pt idx="70">
                  <c:v>103.5</c:v>
                </c:pt>
                <c:pt idx="71">
                  <c:v>104.5</c:v>
                </c:pt>
                <c:pt idx="72">
                  <c:v>106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115</c:v>
                </c:pt>
                <c:pt idx="80">
                  <c:v>116.5</c:v>
                </c:pt>
                <c:pt idx="81">
                  <c:v>117.5</c:v>
                </c:pt>
                <c:pt idx="82">
                  <c:v>118.5</c:v>
                </c:pt>
                <c:pt idx="83">
                  <c:v>119.5</c:v>
                </c:pt>
                <c:pt idx="84">
                  <c:v>120.5</c:v>
                </c:pt>
                <c:pt idx="85">
                  <c:v>122</c:v>
                </c:pt>
                <c:pt idx="86">
                  <c:v>124</c:v>
                </c:pt>
                <c:pt idx="87">
                  <c:v>125</c:v>
                </c:pt>
                <c:pt idx="88">
                  <c:v>126.5</c:v>
                </c:pt>
                <c:pt idx="89">
                  <c:v>128.25</c:v>
                </c:pt>
                <c:pt idx="90">
                  <c:v>129.5</c:v>
                </c:pt>
                <c:pt idx="91">
                  <c:v>131</c:v>
                </c:pt>
                <c:pt idx="92">
                  <c:v>132.5</c:v>
                </c:pt>
                <c:pt idx="93">
                  <c:v>133.75</c:v>
                </c:pt>
                <c:pt idx="94">
                  <c:v>135.5</c:v>
                </c:pt>
                <c:pt idx="95">
                  <c:v>136.75</c:v>
                </c:pt>
                <c:pt idx="96">
                  <c:v>138</c:v>
                </c:pt>
                <c:pt idx="97">
                  <c:v>140</c:v>
                </c:pt>
                <c:pt idx="98">
                  <c:v>141</c:v>
                </c:pt>
                <c:pt idx="99">
                  <c:v>142.5</c:v>
                </c:pt>
                <c:pt idx="100">
                  <c:v>144.25</c:v>
                </c:pt>
                <c:pt idx="101">
                  <c:v>145.5</c:v>
                </c:pt>
                <c:pt idx="102">
                  <c:v>147</c:v>
                </c:pt>
                <c:pt idx="103">
                  <c:v>148.5</c:v>
                </c:pt>
                <c:pt idx="104">
                  <c:v>149.75</c:v>
                </c:pt>
                <c:pt idx="105">
                  <c:v>151.5</c:v>
                </c:pt>
                <c:pt idx="106">
                  <c:v>152.75</c:v>
                </c:pt>
                <c:pt idx="107">
                  <c:v>154</c:v>
                </c:pt>
                <c:pt idx="108">
                  <c:v>156</c:v>
                </c:pt>
                <c:pt idx="109">
                  <c:v>157</c:v>
                </c:pt>
                <c:pt idx="110">
                  <c:v>158.5</c:v>
                </c:pt>
                <c:pt idx="111">
                  <c:v>160.25</c:v>
                </c:pt>
                <c:pt idx="112">
                  <c:v>161.5</c:v>
                </c:pt>
                <c:pt idx="113">
                  <c:v>163</c:v>
                </c:pt>
                <c:pt idx="114">
                  <c:v>164.5</c:v>
                </c:pt>
                <c:pt idx="115">
                  <c:v>165.75</c:v>
                </c:pt>
                <c:pt idx="116">
                  <c:v>167.5</c:v>
                </c:pt>
                <c:pt idx="117">
                  <c:v>168.75</c:v>
                </c:pt>
                <c:pt idx="118">
                  <c:v>170</c:v>
                </c:pt>
                <c:pt idx="119">
                  <c:v>172</c:v>
                </c:pt>
                <c:pt idx="120">
                  <c:v>173</c:v>
                </c:pt>
                <c:pt idx="121">
                  <c:v>174.5</c:v>
                </c:pt>
                <c:pt idx="122">
                  <c:v>176.25</c:v>
                </c:pt>
                <c:pt idx="123">
                  <c:v>177.5</c:v>
                </c:pt>
                <c:pt idx="124">
                  <c:v>179</c:v>
                </c:pt>
                <c:pt idx="125">
                  <c:v>180.5</c:v>
                </c:pt>
                <c:pt idx="126">
                  <c:v>181.75</c:v>
                </c:pt>
                <c:pt idx="127">
                  <c:v>183.5</c:v>
                </c:pt>
                <c:pt idx="128">
                  <c:v>184.75</c:v>
                </c:pt>
                <c:pt idx="129">
                  <c:v>186</c:v>
                </c:pt>
                <c:pt idx="130">
                  <c:v>188</c:v>
                </c:pt>
                <c:pt idx="131">
                  <c:v>189</c:v>
                </c:pt>
                <c:pt idx="132">
                  <c:v>190.5</c:v>
                </c:pt>
                <c:pt idx="133">
                  <c:v>192</c:v>
                </c:pt>
                <c:pt idx="134">
                  <c:v>193</c:v>
                </c:pt>
                <c:pt idx="135">
                  <c:v>194.5</c:v>
                </c:pt>
                <c:pt idx="136">
                  <c:v>196</c:v>
                </c:pt>
                <c:pt idx="137">
                  <c:v>197</c:v>
                </c:pt>
                <c:pt idx="138">
                  <c:v>198</c:v>
                </c:pt>
                <c:pt idx="139">
                  <c:v>199</c:v>
                </c:pt>
                <c:pt idx="140">
                  <c:v>200</c:v>
                </c:pt>
                <c:pt idx="141">
                  <c:v>201</c:v>
                </c:pt>
                <c:pt idx="142">
                  <c:v>203</c:v>
                </c:pt>
                <c:pt idx="143">
                  <c:v>204.5</c:v>
                </c:pt>
                <c:pt idx="144">
                  <c:v>205.5</c:v>
                </c:pt>
                <c:pt idx="145">
                  <c:v>206.5</c:v>
                </c:pt>
                <c:pt idx="146">
                  <c:v>207.5</c:v>
                </c:pt>
                <c:pt idx="147">
                  <c:v>208.5</c:v>
                </c:pt>
                <c:pt idx="148">
                  <c:v>210</c:v>
                </c:pt>
                <c:pt idx="149">
                  <c:v>212</c:v>
                </c:pt>
                <c:pt idx="150">
                  <c:v>213</c:v>
                </c:pt>
                <c:pt idx="151">
                  <c:v>214</c:v>
                </c:pt>
                <c:pt idx="152">
                  <c:v>215</c:v>
                </c:pt>
                <c:pt idx="153">
                  <c:v>216</c:v>
                </c:pt>
                <c:pt idx="154">
                  <c:v>217</c:v>
                </c:pt>
                <c:pt idx="155">
                  <c:v>219</c:v>
                </c:pt>
                <c:pt idx="156">
                  <c:v>220.5</c:v>
                </c:pt>
                <c:pt idx="157">
                  <c:v>221.5</c:v>
                </c:pt>
                <c:pt idx="158">
                  <c:v>222.5</c:v>
                </c:pt>
                <c:pt idx="159">
                  <c:v>223.5</c:v>
                </c:pt>
                <c:pt idx="160">
                  <c:v>224.5</c:v>
                </c:pt>
                <c:pt idx="161">
                  <c:v>226</c:v>
                </c:pt>
                <c:pt idx="162">
                  <c:v>228</c:v>
                </c:pt>
                <c:pt idx="163">
                  <c:v>229</c:v>
                </c:pt>
                <c:pt idx="164">
                  <c:v>231</c:v>
                </c:pt>
                <c:pt idx="165">
                  <c:v>232.5</c:v>
                </c:pt>
                <c:pt idx="166">
                  <c:v>234</c:v>
                </c:pt>
                <c:pt idx="167">
                  <c:v>236</c:v>
                </c:pt>
                <c:pt idx="168">
                  <c:v>237</c:v>
                </c:pt>
                <c:pt idx="169">
                  <c:v>239</c:v>
                </c:pt>
                <c:pt idx="170">
                  <c:v>240.5</c:v>
                </c:pt>
                <c:pt idx="171">
                  <c:v>242</c:v>
                </c:pt>
                <c:pt idx="172">
                  <c:v>244</c:v>
                </c:pt>
                <c:pt idx="173">
                  <c:v>245</c:v>
                </c:pt>
                <c:pt idx="174">
                  <c:v>246.5</c:v>
                </c:pt>
                <c:pt idx="175">
                  <c:v>248</c:v>
                </c:pt>
                <c:pt idx="176">
                  <c:v>249</c:v>
                </c:pt>
                <c:pt idx="177">
                  <c:v>250.5</c:v>
                </c:pt>
                <c:pt idx="178">
                  <c:v>252</c:v>
                </c:pt>
                <c:pt idx="179">
                  <c:v>253</c:v>
                </c:pt>
                <c:pt idx="180">
                  <c:v>255</c:v>
                </c:pt>
                <c:pt idx="181">
                  <c:v>256.5</c:v>
                </c:pt>
                <c:pt idx="182">
                  <c:v>258</c:v>
                </c:pt>
                <c:pt idx="183">
                  <c:v>260</c:v>
                </c:pt>
                <c:pt idx="184">
                  <c:v>261</c:v>
                </c:pt>
                <c:pt idx="185">
                  <c:v>263</c:v>
                </c:pt>
                <c:pt idx="186">
                  <c:v>264.5</c:v>
                </c:pt>
                <c:pt idx="187">
                  <c:v>266</c:v>
                </c:pt>
                <c:pt idx="188">
                  <c:v>268</c:v>
                </c:pt>
                <c:pt idx="189">
                  <c:v>269</c:v>
                </c:pt>
                <c:pt idx="190">
                  <c:v>270.5</c:v>
                </c:pt>
                <c:pt idx="191">
                  <c:v>272</c:v>
                </c:pt>
                <c:pt idx="192">
                  <c:v>273</c:v>
                </c:pt>
                <c:pt idx="193">
                  <c:v>274.5</c:v>
                </c:pt>
                <c:pt idx="194">
                  <c:v>276</c:v>
                </c:pt>
                <c:pt idx="195">
                  <c:v>277</c:v>
                </c:pt>
                <c:pt idx="196">
                  <c:v>278.5</c:v>
                </c:pt>
                <c:pt idx="197">
                  <c:v>280</c:v>
                </c:pt>
                <c:pt idx="198">
                  <c:v>281</c:v>
                </c:pt>
                <c:pt idx="199">
                  <c:v>282.5</c:v>
                </c:pt>
                <c:pt idx="200">
                  <c:v>284</c:v>
                </c:pt>
                <c:pt idx="201">
                  <c:v>285</c:v>
                </c:pt>
                <c:pt idx="202">
                  <c:v>286.5</c:v>
                </c:pt>
                <c:pt idx="203">
                  <c:v>288</c:v>
                </c:pt>
                <c:pt idx="204">
                  <c:v>289</c:v>
                </c:pt>
                <c:pt idx="205">
                  <c:v>290.5</c:v>
                </c:pt>
                <c:pt idx="206">
                  <c:v>292</c:v>
                </c:pt>
                <c:pt idx="207">
                  <c:v>293</c:v>
                </c:pt>
                <c:pt idx="208">
                  <c:v>294.5</c:v>
                </c:pt>
                <c:pt idx="209">
                  <c:v>296</c:v>
                </c:pt>
                <c:pt idx="210">
                  <c:v>297</c:v>
                </c:pt>
                <c:pt idx="211">
                  <c:v>298.5</c:v>
                </c:pt>
                <c:pt idx="212">
                  <c:v>300</c:v>
                </c:pt>
                <c:pt idx="213">
                  <c:v>310.75</c:v>
                </c:pt>
                <c:pt idx="214">
                  <c:v>314</c:v>
                </c:pt>
                <c:pt idx="215">
                  <c:v>317.5</c:v>
                </c:pt>
              </c:numCache>
            </c:numRef>
          </c:xVal>
          <c:yVal>
            <c:numRef>
              <c:f>Sheet4!$I$1304:$I$1519</c:f>
              <c:numCache>
                <c:formatCode>General</c:formatCode>
                <c:ptCount val="216"/>
                <c:pt idx="0">
                  <c:v>220.00279814001337</c:v>
                </c:pt>
                <c:pt idx="1">
                  <c:v>392.00377257605692</c:v>
                </c:pt>
                <c:pt idx="2">
                  <c:v>392.00377257605692</c:v>
                </c:pt>
                <c:pt idx="3">
                  <c:v>392.00377257605692</c:v>
                </c:pt>
                <c:pt idx="4">
                  <c:v>392.00377257605692</c:v>
                </c:pt>
                <c:pt idx="5">
                  <c:v>220.00279814001337</c:v>
                </c:pt>
                <c:pt idx="6">
                  <c:v>392.00377257605692</c:v>
                </c:pt>
                <c:pt idx="7">
                  <c:v>392.00377257605692</c:v>
                </c:pt>
                <c:pt idx="8">
                  <c:v>392.00377257605692</c:v>
                </c:pt>
                <c:pt idx="9">
                  <c:v>392.00377257605692</c:v>
                </c:pt>
                <c:pt idx="10">
                  <c:v>220.00279814001337</c:v>
                </c:pt>
                <c:pt idx="11">
                  <c:v>392.00377257605692</c:v>
                </c:pt>
                <c:pt idx="12">
                  <c:v>392.00377257605692</c:v>
                </c:pt>
                <c:pt idx="13">
                  <c:v>349.23506143398839</c:v>
                </c:pt>
                <c:pt idx="14">
                  <c:v>493.89549345236594</c:v>
                </c:pt>
                <c:pt idx="15">
                  <c:v>493.89549345236594</c:v>
                </c:pt>
                <c:pt idx="16">
                  <c:v>349.23506143398839</c:v>
                </c:pt>
                <c:pt idx="17">
                  <c:v>293.66975814369101</c:v>
                </c:pt>
                <c:pt idx="18">
                  <c:v>293.66975814369101</c:v>
                </c:pt>
                <c:pt idx="19">
                  <c:v>293.66975814369101</c:v>
                </c:pt>
                <c:pt idx="20">
                  <c:v>261.62956379894968</c:v>
                </c:pt>
                <c:pt idx="21">
                  <c:v>220.00279814001337</c:v>
                </c:pt>
                <c:pt idx="22">
                  <c:v>392.00377257605692</c:v>
                </c:pt>
                <c:pt idx="23">
                  <c:v>392.00377257605692</c:v>
                </c:pt>
                <c:pt idx="24">
                  <c:v>349.23506143398839</c:v>
                </c:pt>
                <c:pt idx="25">
                  <c:v>493.89549345236594</c:v>
                </c:pt>
                <c:pt idx="26">
                  <c:v>493.89549345236594</c:v>
                </c:pt>
                <c:pt idx="27">
                  <c:v>349.23506143398839</c:v>
                </c:pt>
                <c:pt idx="28">
                  <c:v>293.66975814369101</c:v>
                </c:pt>
                <c:pt idx="29">
                  <c:v>293.66975814369101</c:v>
                </c:pt>
                <c:pt idx="30">
                  <c:v>293.66975814369101</c:v>
                </c:pt>
                <c:pt idx="31">
                  <c:v>261.62956379894968</c:v>
                </c:pt>
                <c:pt idx="32">
                  <c:v>220.00279814001337</c:v>
                </c:pt>
                <c:pt idx="33">
                  <c:v>392.00377257605692</c:v>
                </c:pt>
                <c:pt idx="34">
                  <c:v>392.00377257605692</c:v>
                </c:pt>
                <c:pt idx="35">
                  <c:v>349.23506143398839</c:v>
                </c:pt>
                <c:pt idx="36">
                  <c:v>493.89549345236594</c:v>
                </c:pt>
                <c:pt idx="37">
                  <c:v>493.89549345236594</c:v>
                </c:pt>
                <c:pt idx="38">
                  <c:v>349.23506143398839</c:v>
                </c:pt>
                <c:pt idx="39">
                  <c:v>293.66975814369101</c:v>
                </c:pt>
                <c:pt idx="40">
                  <c:v>293.66975814369101</c:v>
                </c:pt>
                <c:pt idx="41">
                  <c:v>293.66975814369101</c:v>
                </c:pt>
                <c:pt idx="42">
                  <c:v>261.62956379894968</c:v>
                </c:pt>
                <c:pt idx="43">
                  <c:v>220.00279814001337</c:v>
                </c:pt>
                <c:pt idx="44">
                  <c:v>392.00377257605692</c:v>
                </c:pt>
                <c:pt idx="45">
                  <c:v>392.00377257605692</c:v>
                </c:pt>
                <c:pt idx="46">
                  <c:v>349.23506143398839</c:v>
                </c:pt>
                <c:pt idx="47">
                  <c:v>493.89549345236594</c:v>
                </c:pt>
                <c:pt idx="48">
                  <c:v>493.89549345236594</c:v>
                </c:pt>
                <c:pt idx="49">
                  <c:v>349.23506143398839</c:v>
                </c:pt>
                <c:pt idx="50">
                  <c:v>293.66975814369101</c:v>
                </c:pt>
                <c:pt idx="51">
                  <c:v>293.66975814369101</c:v>
                </c:pt>
                <c:pt idx="52">
                  <c:v>293.66975814369101</c:v>
                </c:pt>
                <c:pt idx="53">
                  <c:v>261.62956379894968</c:v>
                </c:pt>
                <c:pt idx="54">
                  <c:v>220.00279814001337</c:v>
                </c:pt>
                <c:pt idx="55">
                  <c:v>493.89549345236594</c:v>
                </c:pt>
                <c:pt idx="56">
                  <c:v>246.94521361646048</c:v>
                </c:pt>
                <c:pt idx="57">
                  <c:v>220.00279814001337</c:v>
                </c:pt>
                <c:pt idx="58">
                  <c:v>493.89549345236594</c:v>
                </c:pt>
                <c:pt idx="59">
                  <c:v>246.94521361646048</c:v>
                </c:pt>
                <c:pt idx="60">
                  <c:v>164.8151702626221</c:v>
                </c:pt>
                <c:pt idx="61">
                  <c:v>164.8151702626221</c:v>
                </c:pt>
                <c:pt idx="62">
                  <c:v>164.8151702626221</c:v>
                </c:pt>
                <c:pt idx="63">
                  <c:v>164.8151702626221</c:v>
                </c:pt>
                <c:pt idx="64">
                  <c:v>164.8151702626221</c:v>
                </c:pt>
                <c:pt idx="65">
                  <c:v>195.99987576438383</c:v>
                </c:pt>
                <c:pt idx="66">
                  <c:v>195.99987576438383</c:v>
                </c:pt>
                <c:pt idx="67">
                  <c:v>195.99987576438383</c:v>
                </c:pt>
                <c:pt idx="68">
                  <c:v>220.00279814001337</c:v>
                </c:pt>
                <c:pt idx="69">
                  <c:v>246.94521361646048</c:v>
                </c:pt>
                <c:pt idx="70">
                  <c:v>246.94521361646048</c:v>
                </c:pt>
                <c:pt idx="71">
                  <c:v>195.99987576438383</c:v>
                </c:pt>
                <c:pt idx="72">
                  <c:v>195.99987576438383</c:v>
                </c:pt>
                <c:pt idx="73">
                  <c:v>164.8151702626221</c:v>
                </c:pt>
                <c:pt idx="74">
                  <c:v>164.8151702626221</c:v>
                </c:pt>
                <c:pt idx="75">
                  <c:v>164.8151702626221</c:v>
                </c:pt>
                <c:pt idx="76">
                  <c:v>164.8151702626221</c:v>
                </c:pt>
                <c:pt idx="77">
                  <c:v>164.8151702626221</c:v>
                </c:pt>
                <c:pt idx="78">
                  <c:v>195.99987576438383</c:v>
                </c:pt>
                <c:pt idx="79">
                  <c:v>195.99987576438383</c:v>
                </c:pt>
                <c:pt idx="80">
                  <c:v>195.99987576438383</c:v>
                </c:pt>
                <c:pt idx="81">
                  <c:v>220.00279814001337</c:v>
                </c:pt>
                <c:pt idx="82">
                  <c:v>246.94521361646048</c:v>
                </c:pt>
                <c:pt idx="83">
                  <c:v>246.94521361646048</c:v>
                </c:pt>
                <c:pt idx="84">
                  <c:v>195.99987576438383</c:v>
                </c:pt>
                <c:pt idx="85">
                  <c:v>195.99987576438383</c:v>
                </c:pt>
                <c:pt idx="86">
                  <c:v>220.00279814001337</c:v>
                </c:pt>
                <c:pt idx="87">
                  <c:v>392.00377257605692</c:v>
                </c:pt>
                <c:pt idx="88">
                  <c:v>392.00377257605692</c:v>
                </c:pt>
                <c:pt idx="89">
                  <c:v>349.23506143398839</c:v>
                </c:pt>
                <c:pt idx="90">
                  <c:v>493.89549345236594</c:v>
                </c:pt>
                <c:pt idx="91">
                  <c:v>493.89549345236594</c:v>
                </c:pt>
                <c:pt idx="92">
                  <c:v>349.23506143398839</c:v>
                </c:pt>
                <c:pt idx="93">
                  <c:v>293.66975814369101</c:v>
                </c:pt>
                <c:pt idx="94">
                  <c:v>293.66975814369101</c:v>
                </c:pt>
                <c:pt idx="95">
                  <c:v>293.66975814369101</c:v>
                </c:pt>
                <c:pt idx="96">
                  <c:v>261.62956379894968</c:v>
                </c:pt>
                <c:pt idx="97">
                  <c:v>220.00279814001337</c:v>
                </c:pt>
                <c:pt idx="98">
                  <c:v>392.00377257605692</c:v>
                </c:pt>
                <c:pt idx="99">
                  <c:v>392.00377257605692</c:v>
                </c:pt>
                <c:pt idx="100">
                  <c:v>349.23506143398839</c:v>
                </c:pt>
                <c:pt idx="101">
                  <c:v>493.89549345236594</c:v>
                </c:pt>
                <c:pt idx="102">
                  <c:v>493.89549345236594</c:v>
                </c:pt>
                <c:pt idx="103">
                  <c:v>349.23506143398839</c:v>
                </c:pt>
                <c:pt idx="104">
                  <c:v>293.66975814369101</c:v>
                </c:pt>
                <c:pt idx="105">
                  <c:v>293.66975814369101</c:v>
                </c:pt>
                <c:pt idx="106">
                  <c:v>293.66975814369101</c:v>
                </c:pt>
                <c:pt idx="107">
                  <c:v>261.62956379894968</c:v>
                </c:pt>
                <c:pt idx="108">
                  <c:v>220.00279814001337</c:v>
                </c:pt>
                <c:pt idx="109">
                  <c:v>392.00377257605692</c:v>
                </c:pt>
                <c:pt idx="110">
                  <c:v>392.00377257605692</c:v>
                </c:pt>
                <c:pt idx="111">
                  <c:v>349.23506143398839</c:v>
                </c:pt>
                <c:pt idx="112">
                  <c:v>493.89549345236594</c:v>
                </c:pt>
                <c:pt idx="113">
                  <c:v>493.89549345236594</c:v>
                </c:pt>
                <c:pt idx="114">
                  <c:v>349.23506143398839</c:v>
                </c:pt>
                <c:pt idx="115">
                  <c:v>293.66975814369101</c:v>
                </c:pt>
                <c:pt idx="116">
                  <c:v>293.66975814369101</c:v>
                </c:pt>
                <c:pt idx="117">
                  <c:v>293.66975814369101</c:v>
                </c:pt>
                <c:pt idx="118">
                  <c:v>261.62956379894968</c:v>
                </c:pt>
                <c:pt idx="119">
                  <c:v>220.00279814001337</c:v>
                </c:pt>
                <c:pt idx="120">
                  <c:v>392.00377257605692</c:v>
                </c:pt>
                <c:pt idx="121">
                  <c:v>392.00377257605692</c:v>
                </c:pt>
                <c:pt idx="122">
                  <c:v>349.23506143398839</c:v>
                </c:pt>
                <c:pt idx="123">
                  <c:v>493.89549345236594</c:v>
                </c:pt>
                <c:pt idx="124">
                  <c:v>493.89549345236594</c:v>
                </c:pt>
                <c:pt idx="125">
                  <c:v>349.23506143398839</c:v>
                </c:pt>
                <c:pt idx="126">
                  <c:v>293.66975814369101</c:v>
                </c:pt>
                <c:pt idx="127">
                  <c:v>293.66975814369101</c:v>
                </c:pt>
                <c:pt idx="128">
                  <c:v>293.66975814369101</c:v>
                </c:pt>
                <c:pt idx="129">
                  <c:v>261.62956379894968</c:v>
                </c:pt>
                <c:pt idx="130">
                  <c:v>220.00279814001337</c:v>
                </c:pt>
                <c:pt idx="131">
                  <c:v>493.89549345236594</c:v>
                </c:pt>
                <c:pt idx="132">
                  <c:v>246.94521361646048</c:v>
                </c:pt>
                <c:pt idx="133">
                  <c:v>220.00279814001337</c:v>
                </c:pt>
                <c:pt idx="134">
                  <c:v>493.89549345236594</c:v>
                </c:pt>
                <c:pt idx="135">
                  <c:v>246.94521361646048</c:v>
                </c:pt>
                <c:pt idx="136">
                  <c:v>164.8151702626221</c:v>
                </c:pt>
                <c:pt idx="137">
                  <c:v>164.8151702626221</c:v>
                </c:pt>
                <c:pt idx="138">
                  <c:v>164.8151702626221</c:v>
                </c:pt>
                <c:pt idx="139">
                  <c:v>164.8151702626221</c:v>
                </c:pt>
                <c:pt idx="140">
                  <c:v>164.8151702626221</c:v>
                </c:pt>
                <c:pt idx="141">
                  <c:v>195.99987576438383</c:v>
                </c:pt>
                <c:pt idx="142">
                  <c:v>195.99987576438383</c:v>
                </c:pt>
                <c:pt idx="143">
                  <c:v>195.99987576438383</c:v>
                </c:pt>
                <c:pt idx="144">
                  <c:v>220.00279814001337</c:v>
                </c:pt>
                <c:pt idx="145">
                  <c:v>246.94521361646048</c:v>
                </c:pt>
                <c:pt idx="146">
                  <c:v>220.00279814001337</c:v>
                </c:pt>
                <c:pt idx="147">
                  <c:v>195.99987576438383</c:v>
                </c:pt>
                <c:pt idx="148">
                  <c:v>195.99987576438383</c:v>
                </c:pt>
                <c:pt idx="149">
                  <c:v>164.8151702626221</c:v>
                </c:pt>
                <c:pt idx="150">
                  <c:v>164.8151702626221</c:v>
                </c:pt>
                <c:pt idx="151">
                  <c:v>164.8151702626221</c:v>
                </c:pt>
                <c:pt idx="152">
                  <c:v>164.8151702626221</c:v>
                </c:pt>
                <c:pt idx="153">
                  <c:v>164.8151702626221</c:v>
                </c:pt>
                <c:pt idx="154">
                  <c:v>195.99987576438383</c:v>
                </c:pt>
                <c:pt idx="155">
                  <c:v>195.99987576438383</c:v>
                </c:pt>
                <c:pt idx="156">
                  <c:v>195.99987576438383</c:v>
                </c:pt>
                <c:pt idx="157">
                  <c:v>220.00279814001337</c:v>
                </c:pt>
                <c:pt idx="158">
                  <c:v>246.94521361646048</c:v>
                </c:pt>
                <c:pt idx="159">
                  <c:v>220.00279814001337</c:v>
                </c:pt>
                <c:pt idx="160">
                  <c:v>195.99987576438383</c:v>
                </c:pt>
                <c:pt idx="161">
                  <c:v>195.99987576438383</c:v>
                </c:pt>
                <c:pt idx="162">
                  <c:v>220.00279814001337</c:v>
                </c:pt>
                <c:pt idx="163">
                  <c:v>392.00377257605692</c:v>
                </c:pt>
                <c:pt idx="164">
                  <c:v>493.89549345236594</c:v>
                </c:pt>
                <c:pt idx="165">
                  <c:v>392.00377257605692</c:v>
                </c:pt>
                <c:pt idx="166">
                  <c:v>493.89549345236594</c:v>
                </c:pt>
                <c:pt idx="167">
                  <c:v>220.00279814001337</c:v>
                </c:pt>
                <c:pt idx="168">
                  <c:v>392.00377257605692</c:v>
                </c:pt>
                <c:pt idx="169">
                  <c:v>493.89549345236594</c:v>
                </c:pt>
                <c:pt idx="170">
                  <c:v>392.00377257605692</c:v>
                </c:pt>
                <c:pt idx="171">
                  <c:v>493.89549345236594</c:v>
                </c:pt>
                <c:pt idx="172">
                  <c:v>220.00279814001337</c:v>
                </c:pt>
                <c:pt idx="173">
                  <c:v>392.00377257605692</c:v>
                </c:pt>
                <c:pt idx="174">
                  <c:v>392.00377257605692</c:v>
                </c:pt>
                <c:pt idx="175">
                  <c:v>220.00279814001337</c:v>
                </c:pt>
                <c:pt idx="176">
                  <c:v>392.00377257605692</c:v>
                </c:pt>
                <c:pt idx="177">
                  <c:v>392.00377257605692</c:v>
                </c:pt>
                <c:pt idx="178">
                  <c:v>220.00279814001337</c:v>
                </c:pt>
                <c:pt idx="179">
                  <c:v>392.00377257605692</c:v>
                </c:pt>
                <c:pt idx="180">
                  <c:v>493.89549345236594</c:v>
                </c:pt>
                <c:pt idx="181">
                  <c:v>392.00377257605692</c:v>
                </c:pt>
                <c:pt idx="182">
                  <c:v>493.89549345236594</c:v>
                </c:pt>
                <c:pt idx="183">
                  <c:v>220.00279814001337</c:v>
                </c:pt>
                <c:pt idx="184">
                  <c:v>392.00377257605692</c:v>
                </c:pt>
                <c:pt idx="185">
                  <c:v>493.89549345236594</c:v>
                </c:pt>
                <c:pt idx="186">
                  <c:v>392.00377257605692</c:v>
                </c:pt>
                <c:pt idx="187">
                  <c:v>493.89549345236594</c:v>
                </c:pt>
                <c:pt idx="188">
                  <c:v>220.00279814001337</c:v>
                </c:pt>
                <c:pt idx="189">
                  <c:v>392.00377257605692</c:v>
                </c:pt>
                <c:pt idx="190">
                  <c:v>392.00377257605692</c:v>
                </c:pt>
                <c:pt idx="191">
                  <c:v>220.00279814001337</c:v>
                </c:pt>
                <c:pt idx="192">
                  <c:v>392.00377257605692</c:v>
                </c:pt>
                <c:pt idx="193">
                  <c:v>392.00377257605692</c:v>
                </c:pt>
                <c:pt idx="194">
                  <c:v>220.00279814001337</c:v>
                </c:pt>
                <c:pt idx="195">
                  <c:v>392.00377257605692</c:v>
                </c:pt>
                <c:pt idx="196">
                  <c:v>392.00377257605692</c:v>
                </c:pt>
                <c:pt idx="197">
                  <c:v>220.00279814001337</c:v>
                </c:pt>
                <c:pt idx="198">
                  <c:v>392.00377257605692</c:v>
                </c:pt>
                <c:pt idx="199">
                  <c:v>392.00377257605692</c:v>
                </c:pt>
                <c:pt idx="200">
                  <c:v>220.00279814001337</c:v>
                </c:pt>
                <c:pt idx="201">
                  <c:v>392.00377257605692</c:v>
                </c:pt>
                <c:pt idx="202">
                  <c:v>392.00377257605692</c:v>
                </c:pt>
                <c:pt idx="203">
                  <c:v>220.00279814001337</c:v>
                </c:pt>
                <c:pt idx="204">
                  <c:v>392.00377257605692</c:v>
                </c:pt>
                <c:pt idx="205">
                  <c:v>392.00377257605692</c:v>
                </c:pt>
                <c:pt idx="206">
                  <c:v>220.00279814001337</c:v>
                </c:pt>
                <c:pt idx="207">
                  <c:v>392.00377257605692</c:v>
                </c:pt>
                <c:pt idx="208">
                  <c:v>392.00377257605692</c:v>
                </c:pt>
                <c:pt idx="209">
                  <c:v>220.00279814001337</c:v>
                </c:pt>
                <c:pt idx="210">
                  <c:v>392.00377257605692</c:v>
                </c:pt>
                <c:pt idx="211">
                  <c:v>392.00377257605692</c:v>
                </c:pt>
                <c:pt idx="212">
                  <c:v>261.62956379894968</c:v>
                </c:pt>
                <c:pt idx="213">
                  <c:v>392.00377257605692</c:v>
                </c:pt>
                <c:pt idx="214">
                  <c:v>466.17487092753117</c:v>
                </c:pt>
                <c:pt idx="215">
                  <c:v>880.02924657542201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39392"/>
        <c:axId val="123539968"/>
      </c:scatterChart>
      <c:valAx>
        <c:axId val="12353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539968"/>
        <c:crosses val="autoZero"/>
        <c:crossBetween val="midCat"/>
      </c:valAx>
      <c:valAx>
        <c:axId val="123539968"/>
        <c:scaling>
          <c:logBase val="10"/>
          <c:orientation val="minMax"/>
          <c:max val="18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5393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50268738977739"/>
          <c:y val="0.31317505071691398"/>
          <c:w val="4.0177112417229002E-2"/>
          <c:h val="0.42867173262730801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1/8 of All Notes</a:t>
            </a:r>
          </a:p>
        </c:rich>
      </c:tx>
      <c:layout>
        <c:manualLayout>
          <c:xMode val="edge"/>
          <c:yMode val="edge"/>
          <c:x val="0.37588689711658402"/>
          <c:y val="3.08008213552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9175155553108298E-2"/>
          <c:y val="0.154069622876088"/>
          <c:w val="0.82416998751680404"/>
          <c:h val="0.62291625490133595"/>
        </c:manualLayout>
      </c:layout>
      <c:scatterChart>
        <c:scatterStyle val="lineMarker"/>
        <c:varyColors val="0"/>
        <c:ser>
          <c:idx val="0"/>
          <c:order val="0"/>
          <c:tx>
            <c:v>C Major</c:v>
          </c:tx>
          <c:xVal>
            <c:numRef>
              <c:f>Sheet5!$A$4:$A$32</c:f>
              <c:numCache>
                <c:formatCode>General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</c:numCache>
            </c:numRef>
          </c:xVal>
          <c:yVal>
            <c:numRef>
              <c:f>Sheet5!$D$4:$D$32</c:f>
              <c:numCache>
                <c:formatCode>General</c:formatCode>
                <c:ptCount val="29"/>
                <c:pt idx="0">
                  <c:v>261.62956379894968</c:v>
                </c:pt>
                <c:pt idx="1">
                  <c:v>293.66975814369101</c:v>
                </c:pt>
                <c:pt idx="2">
                  <c:v>329.63372180082422</c:v>
                </c:pt>
                <c:pt idx="3">
                  <c:v>349.23506143398839</c:v>
                </c:pt>
                <c:pt idx="4">
                  <c:v>392.00377257605692</c:v>
                </c:pt>
                <c:pt idx="5">
                  <c:v>440.01010976071973</c:v>
                </c:pt>
                <c:pt idx="6">
                  <c:v>493.89549345236594</c:v>
                </c:pt>
                <c:pt idx="7">
                  <c:v>523.26449507501752</c:v>
                </c:pt>
                <c:pt idx="8">
                  <c:v>587.34554108704231</c:v>
                </c:pt>
                <c:pt idx="9">
                  <c:v>659.27420622217721</c:v>
                </c:pt>
                <c:pt idx="10">
                  <c:v>698.47728762097279</c:v>
                </c:pt>
                <c:pt idx="11">
                  <c:v>784.01558732918636</c:v>
                </c:pt>
                <c:pt idx="12">
                  <c:v>880.02924657542201</c:v>
                </c:pt>
                <c:pt idx="13">
                  <c:v>987.80111944755811</c:v>
                </c:pt>
                <c:pt idx="14">
                  <c:v>1046.5397252143878</c:v>
                </c:pt>
                <c:pt idx="15">
                  <c:v>987.80111944755811</c:v>
                </c:pt>
                <c:pt idx="16">
                  <c:v>880.02924657542201</c:v>
                </c:pt>
                <c:pt idx="17">
                  <c:v>784.01558732918636</c:v>
                </c:pt>
                <c:pt idx="18">
                  <c:v>698.47728762097279</c:v>
                </c:pt>
                <c:pt idx="19">
                  <c:v>659.27420622217721</c:v>
                </c:pt>
                <c:pt idx="20">
                  <c:v>587.34554108704231</c:v>
                </c:pt>
                <c:pt idx="21">
                  <c:v>523.26449507501752</c:v>
                </c:pt>
                <c:pt idx="22">
                  <c:v>493.89549345236594</c:v>
                </c:pt>
                <c:pt idx="23">
                  <c:v>440.01010976071973</c:v>
                </c:pt>
                <c:pt idx="24">
                  <c:v>392.00377257605692</c:v>
                </c:pt>
                <c:pt idx="25">
                  <c:v>349.23506143398839</c:v>
                </c:pt>
                <c:pt idx="26">
                  <c:v>329.63372180082422</c:v>
                </c:pt>
                <c:pt idx="27">
                  <c:v>293.66975814369101</c:v>
                </c:pt>
                <c:pt idx="28">
                  <c:v>261.62956379894968</c:v>
                </c:pt>
              </c:numCache>
            </c:numRef>
          </c:yVal>
          <c:smooth val="0"/>
        </c:ser>
        <c:ser>
          <c:idx val="1"/>
          <c:order val="1"/>
          <c:tx>
            <c:v>C Minor</c:v>
          </c:tx>
          <c:xVal>
            <c:numRef>
              <c:f>Sheet5!$G$4:$G$32</c:f>
              <c:numCache>
                <c:formatCode>General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</c:numCache>
            </c:numRef>
          </c:xVal>
          <c:yVal>
            <c:numRef>
              <c:f>Sheet5!$J$4:$J$32</c:f>
              <c:numCache>
                <c:formatCode>General</c:formatCode>
                <c:ptCount val="29"/>
                <c:pt idx="0">
                  <c:v>261.62956379894968</c:v>
                </c:pt>
                <c:pt idx="1">
                  <c:v>293.66975814369101</c:v>
                </c:pt>
                <c:pt idx="2">
                  <c:v>311.13253664194741</c:v>
                </c:pt>
                <c:pt idx="3">
                  <c:v>349.23506143398839</c:v>
                </c:pt>
                <c:pt idx="4">
                  <c:v>392.00377257605692</c:v>
                </c:pt>
                <c:pt idx="5">
                  <c:v>415.31388490851958</c:v>
                </c:pt>
                <c:pt idx="6">
                  <c:v>493.89549345236594</c:v>
                </c:pt>
                <c:pt idx="7">
                  <c:v>523.26449507501752</c:v>
                </c:pt>
                <c:pt idx="8">
                  <c:v>587.34554108704231</c:v>
                </c:pt>
                <c:pt idx="9">
                  <c:v>622.27145634224212</c:v>
                </c:pt>
                <c:pt idx="10">
                  <c:v>698.47728762097279</c:v>
                </c:pt>
                <c:pt idx="11">
                  <c:v>784.01558732918636</c:v>
                </c:pt>
                <c:pt idx="12">
                  <c:v>830.63629021412908</c:v>
                </c:pt>
                <c:pt idx="13">
                  <c:v>987.80111944755811</c:v>
                </c:pt>
                <c:pt idx="14">
                  <c:v>1046.5397252143878</c:v>
                </c:pt>
                <c:pt idx="15">
                  <c:v>987.80111944755811</c:v>
                </c:pt>
                <c:pt idx="16">
                  <c:v>830.63629021412908</c:v>
                </c:pt>
                <c:pt idx="17">
                  <c:v>784.01558732918636</c:v>
                </c:pt>
                <c:pt idx="18">
                  <c:v>698.47728762097279</c:v>
                </c:pt>
                <c:pt idx="19">
                  <c:v>659.27420622217721</c:v>
                </c:pt>
                <c:pt idx="20">
                  <c:v>587.34554108704231</c:v>
                </c:pt>
                <c:pt idx="21">
                  <c:v>523.26449507501752</c:v>
                </c:pt>
                <c:pt idx="22">
                  <c:v>493.89549345236594</c:v>
                </c:pt>
                <c:pt idx="23">
                  <c:v>440.01010976071973</c:v>
                </c:pt>
                <c:pt idx="24">
                  <c:v>392.00377257605692</c:v>
                </c:pt>
                <c:pt idx="25">
                  <c:v>349.23506143398839</c:v>
                </c:pt>
                <c:pt idx="26">
                  <c:v>329.63372180082422</c:v>
                </c:pt>
                <c:pt idx="27">
                  <c:v>293.66975814369101</c:v>
                </c:pt>
                <c:pt idx="28">
                  <c:v>261.62956379894968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41696"/>
        <c:axId val="123542272"/>
      </c:scatterChart>
      <c:valAx>
        <c:axId val="123541696"/>
        <c:scaling>
          <c:orientation val="minMax"/>
          <c:max val="1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542272"/>
        <c:crosses val="autoZero"/>
        <c:crossBetween val="midCat"/>
        <c:majorUnit val="21"/>
        <c:minorUnit val="1"/>
      </c:valAx>
      <c:valAx>
        <c:axId val="123542272"/>
        <c:scaling>
          <c:logBase val="10"/>
          <c:orientation val="minMax"/>
          <c:max val="1500"/>
          <c:min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Hertz</a:t>
                </a:r>
              </a:p>
            </c:rich>
          </c:tx>
          <c:layout>
            <c:manualLayout>
              <c:xMode val="edge"/>
              <c:yMode val="edge"/>
              <c:x val="1.77304964539007E-2"/>
              <c:y val="0.449692422944051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35416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1012663241789904"/>
          <c:y val="0.20766600784213701"/>
          <c:w val="7.9440416746687101E-2"/>
          <c:h val="0.51248143071184904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 Major</c:v>
          </c:tx>
          <c:cat>
            <c:numRef>
              <c:f>Sheet5!$P$109:$P$112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Sheet5!$N$109:$N$112</c:f>
              <c:numCache>
                <c:formatCode>General</c:formatCode>
                <c:ptCount val="4"/>
                <c:pt idx="0">
                  <c:v>48</c:v>
                </c:pt>
                <c:pt idx="1">
                  <c:v>48</c:v>
                </c:pt>
                <c:pt idx="2">
                  <c:v>42</c:v>
                </c:pt>
                <c:pt idx="3">
                  <c:v>35</c:v>
                </c:pt>
              </c:numCache>
            </c:numRef>
          </c:val>
          <c:smooth val="0"/>
        </c:ser>
        <c:ser>
          <c:idx val="1"/>
          <c:order val="1"/>
          <c:tx>
            <c:v>Average Regression</c:v>
          </c:tx>
          <c:cat>
            <c:numRef>
              <c:f>Sheet5!$P$109:$P$112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Sheet5!$Q$109:$Q$112</c:f>
              <c:numCache>
                <c:formatCode>General</c:formatCode>
                <c:ptCount val="4"/>
                <c:pt idx="0">
                  <c:v>50</c:v>
                </c:pt>
                <c:pt idx="1">
                  <c:v>45.5</c:v>
                </c:pt>
                <c:pt idx="2">
                  <c:v>41</c:v>
                </c:pt>
                <c:pt idx="3">
                  <c:v>36.5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12064"/>
        <c:axId val="123896384"/>
      </c:lineChart>
      <c:catAx>
        <c:axId val="11471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896384"/>
        <c:crosses val="autoZero"/>
        <c:auto val="1"/>
        <c:lblAlgn val="ctr"/>
        <c:lblOffset val="100"/>
        <c:noMultiLvlLbl val="0"/>
      </c:catAx>
      <c:valAx>
        <c:axId val="123896384"/>
        <c:scaling>
          <c:orientation val="minMax"/>
          <c:min val="3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12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190</xdr:row>
      <xdr:rowOff>0</xdr:rowOff>
    </xdr:from>
    <xdr:to>
      <xdr:col>18</xdr:col>
      <xdr:colOff>622300</xdr:colOff>
      <xdr:row>208</xdr:row>
      <xdr:rowOff>63500</xdr:rowOff>
    </xdr:to>
    <xdr:graphicFrame macro="">
      <xdr:nvGraphicFramePr>
        <xdr:cNvPr id="103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208</xdr:row>
      <xdr:rowOff>127000</xdr:rowOff>
    </xdr:from>
    <xdr:to>
      <xdr:col>18</xdr:col>
      <xdr:colOff>609600</xdr:colOff>
      <xdr:row>227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25400</xdr:colOff>
      <xdr:row>190</xdr:row>
      <xdr:rowOff>38100</xdr:rowOff>
    </xdr:from>
    <xdr:to>
      <xdr:col>32</xdr:col>
      <xdr:colOff>533400</xdr:colOff>
      <xdr:row>208</xdr:row>
      <xdr:rowOff>127000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208</xdr:row>
      <xdr:rowOff>139700</xdr:rowOff>
    </xdr:from>
    <xdr:to>
      <xdr:col>32</xdr:col>
      <xdr:colOff>533400</xdr:colOff>
      <xdr:row>227</xdr:row>
      <xdr:rowOff>101600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177800</xdr:colOff>
      <xdr:row>24</xdr:row>
      <xdr:rowOff>50800</xdr:rowOff>
    </xdr:from>
    <xdr:to>
      <xdr:col>15</xdr:col>
      <xdr:colOff>63500</xdr:colOff>
      <xdr:row>42</xdr:row>
      <xdr:rowOff>139700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165100</xdr:colOff>
      <xdr:row>151</xdr:row>
      <xdr:rowOff>114300</xdr:rowOff>
    </xdr:from>
    <xdr:to>
      <xdr:col>14</xdr:col>
      <xdr:colOff>203200</xdr:colOff>
      <xdr:row>189</xdr:row>
      <xdr:rowOff>25400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203200</xdr:colOff>
      <xdr:row>151</xdr:row>
      <xdr:rowOff>101600</xdr:rowOff>
    </xdr:from>
    <xdr:to>
      <xdr:col>19</xdr:col>
      <xdr:colOff>533400</xdr:colOff>
      <xdr:row>188</xdr:row>
      <xdr:rowOff>139700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203200</xdr:colOff>
      <xdr:row>114</xdr:row>
      <xdr:rowOff>101600</xdr:rowOff>
    </xdr:from>
    <xdr:to>
      <xdr:col>14</xdr:col>
      <xdr:colOff>228600</xdr:colOff>
      <xdr:row>151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228600</xdr:colOff>
      <xdr:row>114</xdr:row>
      <xdr:rowOff>101600</xdr:rowOff>
    </xdr:from>
    <xdr:to>
      <xdr:col>19</xdr:col>
      <xdr:colOff>520700</xdr:colOff>
      <xdr:row>151</xdr:row>
      <xdr:rowOff>101600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342900</xdr:colOff>
      <xdr:row>4</xdr:row>
      <xdr:rowOff>101600</xdr:rowOff>
    </xdr:from>
    <xdr:to>
      <xdr:col>66</xdr:col>
      <xdr:colOff>127000</xdr:colOff>
      <xdr:row>51</xdr:row>
      <xdr:rowOff>25400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50800</xdr:colOff>
      <xdr:row>323</xdr:row>
      <xdr:rowOff>25400</xdr:rowOff>
    </xdr:from>
    <xdr:to>
      <xdr:col>60</xdr:col>
      <xdr:colOff>609600</xdr:colOff>
      <xdr:row>341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25400</xdr:colOff>
      <xdr:row>304</xdr:row>
      <xdr:rowOff>38100</xdr:rowOff>
    </xdr:from>
    <xdr:to>
      <xdr:col>60</xdr:col>
      <xdr:colOff>596900</xdr:colOff>
      <xdr:row>322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88900</xdr:colOff>
      <xdr:row>342</xdr:row>
      <xdr:rowOff>76200</xdr:rowOff>
    </xdr:from>
    <xdr:to>
      <xdr:col>60</xdr:col>
      <xdr:colOff>584200</xdr:colOff>
      <xdr:row>361</xdr:row>
      <xdr:rowOff>25400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114300</xdr:colOff>
      <xdr:row>361</xdr:row>
      <xdr:rowOff>127000</xdr:rowOff>
    </xdr:from>
    <xdr:to>
      <xdr:col>60</xdr:col>
      <xdr:colOff>546100</xdr:colOff>
      <xdr:row>379</xdr:row>
      <xdr:rowOff>38100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457200</xdr:colOff>
      <xdr:row>74</xdr:row>
      <xdr:rowOff>25400</xdr:rowOff>
    </xdr:from>
    <xdr:to>
      <xdr:col>47</xdr:col>
      <xdr:colOff>317500</xdr:colOff>
      <xdr:row>92</xdr:row>
      <xdr:rowOff>25400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0</xdr:colOff>
      <xdr:row>75</xdr:row>
      <xdr:rowOff>0</xdr:rowOff>
    </xdr:from>
    <xdr:to>
      <xdr:col>56</xdr:col>
      <xdr:colOff>0</xdr:colOff>
      <xdr:row>93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50800</xdr:colOff>
      <xdr:row>0</xdr:row>
      <xdr:rowOff>50800</xdr:rowOff>
    </xdr:from>
    <xdr:to>
      <xdr:col>64</xdr:col>
      <xdr:colOff>622300</xdr:colOff>
      <xdr:row>18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215900</xdr:colOff>
      <xdr:row>19</xdr:row>
      <xdr:rowOff>63500</xdr:rowOff>
    </xdr:from>
    <xdr:to>
      <xdr:col>64</xdr:col>
      <xdr:colOff>584200</xdr:colOff>
      <xdr:row>37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88900</xdr:colOff>
      <xdr:row>38</xdr:row>
      <xdr:rowOff>38100</xdr:rowOff>
    </xdr:from>
    <xdr:to>
      <xdr:col>64</xdr:col>
      <xdr:colOff>584200</xdr:colOff>
      <xdr:row>57</xdr:row>
      <xdr:rowOff>12700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76200</xdr:colOff>
      <xdr:row>57</xdr:row>
      <xdr:rowOff>76200</xdr:rowOff>
    </xdr:from>
    <xdr:to>
      <xdr:col>64</xdr:col>
      <xdr:colOff>609600</xdr:colOff>
      <xdr:row>75</xdr:row>
      <xdr:rowOff>101600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101600</xdr:colOff>
      <xdr:row>27</xdr:row>
      <xdr:rowOff>12700</xdr:rowOff>
    </xdr:from>
    <xdr:to>
      <xdr:col>75</xdr:col>
      <xdr:colOff>635000</xdr:colOff>
      <xdr:row>45</xdr:row>
      <xdr:rowOff>88900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77</xdr:col>
      <xdr:colOff>0</xdr:colOff>
      <xdr:row>27</xdr:row>
      <xdr:rowOff>0</xdr:rowOff>
    </xdr:from>
    <xdr:to>
      <xdr:col>84</xdr:col>
      <xdr:colOff>304800</xdr:colOff>
      <xdr:row>45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50800</xdr:colOff>
      <xdr:row>0</xdr:row>
      <xdr:rowOff>38100</xdr:rowOff>
    </xdr:from>
    <xdr:to>
      <xdr:col>28</xdr:col>
      <xdr:colOff>596900</xdr:colOff>
      <xdr:row>18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368300</xdr:colOff>
      <xdr:row>982</xdr:row>
      <xdr:rowOff>0</xdr:rowOff>
    </xdr:from>
    <xdr:to>
      <xdr:col>24</xdr:col>
      <xdr:colOff>228600</xdr:colOff>
      <xdr:row>1000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982</xdr:row>
      <xdr:rowOff>0</xdr:rowOff>
    </xdr:from>
    <xdr:to>
      <xdr:col>33</xdr:col>
      <xdr:colOff>279400</xdr:colOff>
      <xdr:row>1000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50800</xdr:colOff>
      <xdr:row>18</xdr:row>
      <xdr:rowOff>63500</xdr:rowOff>
    </xdr:from>
    <xdr:to>
      <xdr:col>28</xdr:col>
      <xdr:colOff>571500</xdr:colOff>
      <xdr:row>37</xdr:row>
      <xdr:rowOff>63500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63500</xdr:colOff>
      <xdr:row>38</xdr:row>
      <xdr:rowOff>38100</xdr:rowOff>
    </xdr:from>
    <xdr:to>
      <xdr:col>28</xdr:col>
      <xdr:colOff>596900</xdr:colOff>
      <xdr:row>56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50800</xdr:colOff>
      <xdr:row>57</xdr:row>
      <xdr:rowOff>63500</xdr:rowOff>
    </xdr:from>
    <xdr:to>
      <xdr:col>28</xdr:col>
      <xdr:colOff>558800</xdr:colOff>
      <xdr:row>75</xdr:row>
      <xdr:rowOff>12700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828</xdr:row>
      <xdr:rowOff>38100</xdr:rowOff>
    </xdr:from>
    <xdr:to>
      <xdr:col>60</xdr:col>
      <xdr:colOff>508000</xdr:colOff>
      <xdr:row>876</xdr:row>
      <xdr:rowOff>50800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878</xdr:row>
      <xdr:rowOff>0</xdr:rowOff>
    </xdr:from>
    <xdr:to>
      <xdr:col>60</xdr:col>
      <xdr:colOff>508000</xdr:colOff>
      <xdr:row>926</xdr:row>
      <xdr:rowOff>25400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469900</xdr:colOff>
      <xdr:row>927</xdr:row>
      <xdr:rowOff>0</xdr:rowOff>
    </xdr:from>
    <xdr:to>
      <xdr:col>61</xdr:col>
      <xdr:colOff>304800</xdr:colOff>
      <xdr:row>956</xdr:row>
      <xdr:rowOff>139700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39</xdr:row>
      <xdr:rowOff>0</xdr:rowOff>
    </xdr:from>
    <xdr:to>
      <xdr:col>10</xdr:col>
      <xdr:colOff>406400</xdr:colOff>
      <xdr:row>56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558800</xdr:colOff>
      <xdr:row>113</xdr:row>
      <xdr:rowOff>139700</xdr:rowOff>
    </xdr:from>
    <xdr:to>
      <xdr:col>17</xdr:col>
      <xdr:colOff>393700</xdr:colOff>
      <xdr:row>131</xdr:row>
      <xdr:rowOff>139700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7"/>
  <sheetViews>
    <sheetView tabSelected="1" topLeftCell="J1" workbookViewId="0">
      <selection activeCell="Y12" sqref="Y12:Y15"/>
    </sheetView>
  </sheetViews>
  <sheetFormatPr defaultColWidth="7.7109375" defaultRowHeight="12.75" x14ac:dyDescent="0.2"/>
  <cols>
    <col min="2" max="2" width="7.42578125" customWidth="1"/>
    <col min="3" max="3" width="14.7109375" customWidth="1"/>
    <col min="5" max="5" width="12.85546875" customWidth="1"/>
    <col min="7" max="7" width="5.85546875" customWidth="1"/>
    <col min="8" max="8" width="16" customWidth="1"/>
    <col min="10" max="10" width="8.7109375" customWidth="1"/>
    <col min="11" max="11" width="20.7109375" customWidth="1"/>
    <col min="12" max="12" width="18" customWidth="1"/>
    <col min="15" max="15" width="8" bestFit="1" customWidth="1"/>
    <col min="16" max="16" width="14.7109375" customWidth="1"/>
    <col min="18" max="18" width="12.42578125" customWidth="1"/>
    <col min="25" max="25" width="14.42578125" customWidth="1"/>
  </cols>
  <sheetData>
    <row r="1" spans="1:27" x14ac:dyDescent="0.2">
      <c r="B1" t="s">
        <v>415</v>
      </c>
    </row>
    <row r="2" spans="1:27" x14ac:dyDescent="0.2">
      <c r="A2" t="s">
        <v>258</v>
      </c>
      <c r="C2" s="14" t="s">
        <v>1</v>
      </c>
      <c r="F2" t="s">
        <v>26</v>
      </c>
    </row>
    <row r="3" spans="1:27" x14ac:dyDescent="0.2">
      <c r="A3" t="s">
        <v>475</v>
      </c>
      <c r="B3" t="s">
        <v>477</v>
      </c>
      <c r="C3" t="s">
        <v>478</v>
      </c>
      <c r="D3" t="s">
        <v>476</v>
      </c>
      <c r="E3" s="6" t="s">
        <v>49</v>
      </c>
      <c r="F3" t="s">
        <v>475</v>
      </c>
      <c r="G3" t="s">
        <v>477</v>
      </c>
      <c r="H3" t="s">
        <v>478</v>
      </c>
      <c r="I3" t="s">
        <v>476</v>
      </c>
      <c r="J3" t="s">
        <v>471</v>
      </c>
    </row>
    <row r="4" spans="1:27" x14ac:dyDescent="0.2">
      <c r="A4">
        <v>0.25</v>
      </c>
      <c r="B4" s="14" t="s">
        <v>188</v>
      </c>
      <c r="C4">
        <v>48</v>
      </c>
      <c r="D4">
        <f>16.35117682*1.059464^C4</f>
        <v>261.62956379894968</v>
      </c>
      <c r="F4">
        <v>2.25</v>
      </c>
      <c r="G4" s="14" t="s">
        <v>142</v>
      </c>
      <c r="H4">
        <v>36</v>
      </c>
      <c r="I4">
        <f t="shared" ref="I4:I11" si="0">16.35117682*1.059464^H4</f>
        <v>130.81344004395982</v>
      </c>
      <c r="K4" t="s">
        <v>470</v>
      </c>
    </row>
    <row r="5" spans="1:27" x14ac:dyDescent="0.2">
      <c r="A5">
        <v>0.5</v>
      </c>
      <c r="B5" s="14" t="s">
        <v>189</v>
      </c>
      <c r="C5">
        <v>50</v>
      </c>
      <c r="D5">
        <f t="shared" ref="D5:D11" si="1">16.35117682*1.059464^C5</f>
        <v>293.66975814369101</v>
      </c>
      <c r="E5">
        <f>ABS( C5-C4)</f>
        <v>2</v>
      </c>
      <c r="F5">
        <v>2.5</v>
      </c>
      <c r="G5" s="14" t="s">
        <v>143</v>
      </c>
      <c r="H5">
        <v>38</v>
      </c>
      <c r="I5">
        <f t="shared" si="0"/>
        <v>146.83337288738056</v>
      </c>
      <c r="J5">
        <f t="shared" ref="J5:J11" si="2">ABS( H5-H4)</f>
        <v>2</v>
      </c>
    </row>
    <row r="6" spans="1:27" x14ac:dyDescent="0.2">
      <c r="A6">
        <v>0.75</v>
      </c>
      <c r="B6" s="14" t="s">
        <v>190</v>
      </c>
      <c r="C6">
        <v>52</v>
      </c>
      <c r="D6">
        <f t="shared" si="1"/>
        <v>329.63372180082422</v>
      </c>
      <c r="E6">
        <f t="shared" ref="E6:E11" si="3">ABS( C6-C5)</f>
        <v>2</v>
      </c>
      <c r="F6">
        <v>2.75</v>
      </c>
      <c r="G6" s="14" t="s">
        <v>144</v>
      </c>
      <c r="H6">
        <v>40</v>
      </c>
      <c r="I6">
        <f t="shared" si="0"/>
        <v>164.8151702626221</v>
      </c>
      <c r="J6">
        <f t="shared" si="2"/>
        <v>2</v>
      </c>
      <c r="K6" t="s">
        <v>355</v>
      </c>
      <c r="L6" t="s">
        <v>396</v>
      </c>
    </row>
    <row r="7" spans="1:27" x14ac:dyDescent="0.2">
      <c r="A7">
        <v>1</v>
      </c>
      <c r="B7" s="14" t="s">
        <v>191</v>
      </c>
      <c r="C7">
        <v>53</v>
      </c>
      <c r="D7">
        <f t="shared" si="1"/>
        <v>349.23506143398839</v>
      </c>
      <c r="E7">
        <f t="shared" si="3"/>
        <v>1</v>
      </c>
      <c r="F7">
        <v>3</v>
      </c>
      <c r="G7" s="14" t="s">
        <v>145</v>
      </c>
      <c r="H7">
        <v>41</v>
      </c>
      <c r="I7">
        <f t="shared" si="0"/>
        <v>174.61573954711864</v>
      </c>
      <c r="J7">
        <f t="shared" si="2"/>
        <v>1</v>
      </c>
      <c r="K7">
        <f>SUM(E5:E241)</f>
        <v>628</v>
      </c>
      <c r="L7">
        <f>(241-3)</f>
        <v>238</v>
      </c>
    </row>
    <row r="8" spans="1:27" x14ac:dyDescent="0.2">
      <c r="A8">
        <v>1.25</v>
      </c>
      <c r="B8" s="14" t="s">
        <v>189</v>
      </c>
      <c r="C8">
        <v>50</v>
      </c>
      <c r="D8">
        <f t="shared" si="1"/>
        <v>293.66975814369101</v>
      </c>
      <c r="E8">
        <f>ABS( C8-C7)</f>
        <v>3</v>
      </c>
      <c r="F8">
        <v>3.25</v>
      </c>
      <c r="G8" s="14" t="s">
        <v>143</v>
      </c>
      <c r="H8">
        <v>38</v>
      </c>
      <c r="I8">
        <f t="shared" si="0"/>
        <v>146.83337288738056</v>
      </c>
      <c r="J8">
        <f t="shared" si="2"/>
        <v>3</v>
      </c>
    </row>
    <row r="9" spans="1:27" x14ac:dyDescent="0.2">
      <c r="A9">
        <v>1.5</v>
      </c>
      <c r="B9" s="14" t="s">
        <v>190</v>
      </c>
      <c r="C9">
        <v>52</v>
      </c>
      <c r="D9">
        <f t="shared" si="1"/>
        <v>329.63372180082422</v>
      </c>
      <c r="E9">
        <f t="shared" si="3"/>
        <v>2</v>
      </c>
      <c r="F9">
        <v>3.5</v>
      </c>
      <c r="G9" s="14" t="s">
        <v>144</v>
      </c>
      <c r="H9">
        <v>40</v>
      </c>
      <c r="I9">
        <f t="shared" si="0"/>
        <v>164.8151702626221</v>
      </c>
      <c r="J9">
        <f t="shared" si="2"/>
        <v>2</v>
      </c>
      <c r="K9" t="s">
        <v>356</v>
      </c>
    </row>
    <row r="10" spans="1:27" x14ac:dyDescent="0.2">
      <c r="A10">
        <v>1.75</v>
      </c>
      <c r="B10" s="14" t="s">
        <v>188</v>
      </c>
      <c r="C10">
        <v>48</v>
      </c>
      <c r="D10">
        <f t="shared" si="1"/>
        <v>261.62956379894968</v>
      </c>
      <c r="E10">
        <f t="shared" si="3"/>
        <v>4</v>
      </c>
      <c r="F10">
        <v>3.75</v>
      </c>
      <c r="G10" s="14" t="s">
        <v>142</v>
      </c>
      <c r="H10">
        <v>36</v>
      </c>
      <c r="I10">
        <f t="shared" si="0"/>
        <v>130.81344004395982</v>
      </c>
      <c r="J10">
        <f t="shared" si="2"/>
        <v>4</v>
      </c>
      <c r="K10">
        <f>K7/(241-4)</f>
        <v>2.649789029535865</v>
      </c>
    </row>
    <row r="11" spans="1:27" x14ac:dyDescent="0.2">
      <c r="A11">
        <v>2</v>
      </c>
      <c r="B11" s="14" t="s">
        <v>192</v>
      </c>
      <c r="C11">
        <v>55</v>
      </c>
      <c r="D11">
        <f t="shared" si="1"/>
        <v>392.00377257605692</v>
      </c>
      <c r="E11">
        <f t="shared" si="3"/>
        <v>7</v>
      </c>
      <c r="F11">
        <v>4</v>
      </c>
      <c r="G11" s="14" t="s">
        <v>146</v>
      </c>
      <c r="H11">
        <v>43</v>
      </c>
      <c r="I11">
        <f t="shared" si="0"/>
        <v>195.99987576438383</v>
      </c>
      <c r="J11">
        <f t="shared" si="2"/>
        <v>7</v>
      </c>
    </row>
    <row r="12" spans="1:27" x14ac:dyDescent="0.2">
      <c r="A12">
        <v>2.5</v>
      </c>
      <c r="B12" s="14" t="s">
        <v>193</v>
      </c>
      <c r="C12">
        <v>60</v>
      </c>
      <c r="D12">
        <f>16.35117682*1.059464^C12</f>
        <v>523.26449507501752</v>
      </c>
      <c r="E12">
        <f>ABS( C12-C11)</f>
        <v>5</v>
      </c>
      <c r="F12">
        <v>4.5</v>
      </c>
      <c r="G12" s="14" t="s">
        <v>147</v>
      </c>
      <c r="H12">
        <v>31</v>
      </c>
      <c r="I12">
        <f>16.35117682*1.059464^H12</f>
        <v>97.998932630681253</v>
      </c>
      <c r="J12">
        <f>ABS( H12-H11)</f>
        <v>12</v>
      </c>
    </row>
    <row r="13" spans="1:27" x14ac:dyDescent="0.2">
      <c r="A13">
        <v>3</v>
      </c>
      <c r="B13" s="14" t="s">
        <v>194</v>
      </c>
      <c r="C13">
        <v>59</v>
      </c>
      <c r="D13">
        <f>16.35117682*1.059464^C13</f>
        <v>493.89549345236594</v>
      </c>
      <c r="E13">
        <f>ABS( C13-C12)</f>
        <v>1</v>
      </c>
      <c r="F13">
        <v>6.25</v>
      </c>
      <c r="G13" s="14" t="s">
        <v>146</v>
      </c>
      <c r="H13">
        <v>43</v>
      </c>
      <c r="I13">
        <f t="shared" ref="I13:I34" si="4">16.35117682*1.059464^H13</f>
        <v>195.99987576438383</v>
      </c>
      <c r="J13">
        <f>ABS( H13-H12)</f>
        <v>12</v>
      </c>
      <c r="K13" t="s">
        <v>472</v>
      </c>
      <c r="P13" s="2" t="s">
        <v>378</v>
      </c>
      <c r="R13" s="2" t="s">
        <v>377</v>
      </c>
      <c r="V13" s="14" t="s">
        <v>15</v>
      </c>
      <c r="Y13" s="14" t="s">
        <v>226</v>
      </c>
    </row>
    <row r="14" spans="1:27" x14ac:dyDescent="0.2">
      <c r="A14">
        <v>3.5</v>
      </c>
      <c r="B14" s="14" t="s">
        <v>193</v>
      </c>
      <c r="C14">
        <v>60</v>
      </c>
      <c r="D14">
        <f>16.35117682*1.059464^C14</f>
        <v>523.26449507501752</v>
      </c>
      <c r="E14">
        <f>ABS( C14-C13)</f>
        <v>1</v>
      </c>
      <c r="F14">
        <v>6.5</v>
      </c>
      <c r="G14" s="14" t="s">
        <v>148</v>
      </c>
      <c r="H14">
        <v>45</v>
      </c>
      <c r="I14">
        <f t="shared" si="4"/>
        <v>220.00279814001337</v>
      </c>
      <c r="J14">
        <f t="shared" ref="J14:J20" si="5">ABS( H14-H13)</f>
        <v>2</v>
      </c>
      <c r="P14">
        <v>0</v>
      </c>
      <c r="Q14">
        <v>628</v>
      </c>
      <c r="R14" s="2" t="s">
        <v>379</v>
      </c>
      <c r="S14">
        <v>0</v>
      </c>
      <c r="T14">
        <f>(-181.5*S14+589)</f>
        <v>589</v>
      </c>
      <c r="V14">
        <v>0</v>
      </c>
      <c r="W14">
        <f>Q14+Q22</f>
        <v>1292</v>
      </c>
      <c r="Y14" s="14" t="s">
        <v>16</v>
      </c>
      <c r="Z14">
        <v>0</v>
      </c>
      <c r="AA14">
        <v>1218.4000000000001</v>
      </c>
    </row>
    <row r="15" spans="1:27" ht="14.25" x14ac:dyDescent="0.2">
      <c r="A15">
        <v>4</v>
      </c>
      <c r="B15" s="14" t="s">
        <v>195</v>
      </c>
      <c r="C15">
        <v>62</v>
      </c>
      <c r="D15">
        <f t="shared" ref="D15:D23" si="6">16.35117682*1.059464^C15</f>
        <v>587.34554108704231</v>
      </c>
      <c r="E15">
        <f>ABS( C15-C14)</f>
        <v>2</v>
      </c>
      <c r="F15">
        <v>6.75</v>
      </c>
      <c r="G15" s="14" t="s">
        <v>149</v>
      </c>
      <c r="H15">
        <v>47</v>
      </c>
      <c r="I15">
        <f t="shared" si="4"/>
        <v>246.94521361646048</v>
      </c>
      <c r="J15">
        <f t="shared" si="5"/>
        <v>2</v>
      </c>
      <c r="K15" t="s">
        <v>235</v>
      </c>
      <c r="L15" t="s">
        <v>396</v>
      </c>
      <c r="P15">
        <v>1</v>
      </c>
      <c r="Q15">
        <v>371</v>
      </c>
      <c r="R15" s="2" t="s">
        <v>376</v>
      </c>
      <c r="S15">
        <v>1</v>
      </c>
      <c r="T15" s="2">
        <f>(-181.5*S15+589)</f>
        <v>407.5</v>
      </c>
      <c r="V15">
        <v>1</v>
      </c>
      <c r="W15" s="14">
        <f>Q15+Q23</f>
        <v>778</v>
      </c>
      <c r="Y15" s="2" t="s">
        <v>227</v>
      </c>
      <c r="Z15">
        <v>1</v>
      </c>
      <c r="AA15" s="2">
        <v>836.8</v>
      </c>
    </row>
    <row r="16" spans="1:27" x14ac:dyDescent="0.2">
      <c r="A16">
        <v>4.25</v>
      </c>
      <c r="B16" s="14" t="s">
        <v>192</v>
      </c>
      <c r="C16">
        <v>55</v>
      </c>
      <c r="D16">
        <f t="shared" si="6"/>
        <v>392.00377257605692</v>
      </c>
      <c r="E16">
        <f t="shared" ref="E16:E23" si="7">ABS( C16-C15)</f>
        <v>7</v>
      </c>
      <c r="F16">
        <v>7</v>
      </c>
      <c r="G16" s="14" t="s">
        <v>188</v>
      </c>
      <c r="H16">
        <v>48</v>
      </c>
      <c r="I16">
        <f t="shared" si="4"/>
        <v>261.62956379894968</v>
      </c>
      <c r="J16">
        <f t="shared" si="5"/>
        <v>1</v>
      </c>
      <c r="K16">
        <f>SUM(J5:J219)</f>
        <v>664</v>
      </c>
      <c r="L16">
        <f>(219-3)</f>
        <v>216</v>
      </c>
      <c r="P16">
        <v>2</v>
      </c>
      <c r="Q16">
        <v>182</v>
      </c>
      <c r="S16">
        <v>2</v>
      </c>
      <c r="T16" s="2">
        <f>(-181.5*S16+589)</f>
        <v>226</v>
      </c>
      <c r="V16">
        <v>2</v>
      </c>
      <c r="W16" s="14">
        <f>Q16+Q24</f>
        <v>352</v>
      </c>
      <c r="Z16">
        <v>2</v>
      </c>
      <c r="AA16" s="2">
        <v>455.2</v>
      </c>
    </row>
    <row r="17" spans="1:27" x14ac:dyDescent="0.2">
      <c r="A17">
        <v>4.5</v>
      </c>
      <c r="B17" s="14" t="s">
        <v>196</v>
      </c>
      <c r="C17">
        <v>57</v>
      </c>
      <c r="D17">
        <f t="shared" si="6"/>
        <v>440.01010976071973</v>
      </c>
      <c r="E17">
        <f t="shared" si="7"/>
        <v>2</v>
      </c>
      <c r="F17">
        <v>7.25</v>
      </c>
      <c r="G17" s="14" t="s">
        <v>148</v>
      </c>
      <c r="H17">
        <v>45</v>
      </c>
      <c r="I17">
        <f t="shared" si="4"/>
        <v>220.00279814001337</v>
      </c>
      <c r="J17">
        <f t="shared" si="5"/>
        <v>3</v>
      </c>
      <c r="P17">
        <v>3</v>
      </c>
      <c r="Q17">
        <v>86</v>
      </c>
      <c r="S17">
        <v>3</v>
      </c>
      <c r="T17" s="2">
        <f>(-181.5*S17+589)</f>
        <v>44.5</v>
      </c>
      <c r="V17">
        <v>3</v>
      </c>
      <c r="W17" s="14">
        <f>Q17+Q25</f>
        <v>162</v>
      </c>
      <c r="Z17">
        <v>3</v>
      </c>
      <c r="AA17" s="2">
        <v>73.599999999999994</v>
      </c>
    </row>
    <row r="18" spans="1:27" x14ac:dyDescent="0.2">
      <c r="A18">
        <v>4.75</v>
      </c>
      <c r="B18" s="14" t="s">
        <v>197</v>
      </c>
      <c r="C18">
        <v>59</v>
      </c>
      <c r="D18">
        <f t="shared" si="6"/>
        <v>493.89549345236594</v>
      </c>
      <c r="E18">
        <f t="shared" si="7"/>
        <v>2</v>
      </c>
      <c r="F18">
        <v>7.5</v>
      </c>
      <c r="G18" s="14" t="s">
        <v>149</v>
      </c>
      <c r="H18">
        <v>47</v>
      </c>
      <c r="I18">
        <f t="shared" si="4"/>
        <v>246.94521361646048</v>
      </c>
      <c r="J18">
        <f t="shared" si="5"/>
        <v>2</v>
      </c>
      <c r="K18" t="s">
        <v>236</v>
      </c>
      <c r="O18" s="14"/>
      <c r="P18" s="14">
        <v>4</v>
      </c>
      <c r="Q18" s="14">
        <v>63</v>
      </c>
      <c r="R18" s="14"/>
      <c r="S18" s="14"/>
      <c r="T18" s="14"/>
      <c r="U18" s="14"/>
      <c r="V18" s="14"/>
      <c r="W18" s="14"/>
      <c r="X18" s="14"/>
    </row>
    <row r="19" spans="1:27" x14ac:dyDescent="0.2">
      <c r="A19">
        <v>5</v>
      </c>
      <c r="B19" s="14" t="s">
        <v>193</v>
      </c>
      <c r="C19">
        <v>60</v>
      </c>
      <c r="D19">
        <f t="shared" si="6"/>
        <v>523.26449507501752</v>
      </c>
      <c r="E19">
        <f t="shared" si="7"/>
        <v>1</v>
      </c>
      <c r="F19">
        <v>7.75</v>
      </c>
      <c r="G19" s="14" t="s">
        <v>146</v>
      </c>
      <c r="H19">
        <v>43</v>
      </c>
      <c r="I19">
        <f t="shared" si="4"/>
        <v>195.99987576438383</v>
      </c>
      <c r="J19">
        <f t="shared" si="5"/>
        <v>4</v>
      </c>
      <c r="K19">
        <f>K16/(219-4)</f>
        <v>3.0883720930232559</v>
      </c>
      <c r="O19" s="14"/>
      <c r="P19" s="14">
        <v>5</v>
      </c>
      <c r="Q19" s="14">
        <v>51</v>
      </c>
      <c r="R19" s="14"/>
      <c r="S19" s="14"/>
      <c r="T19" s="14"/>
      <c r="U19" s="14"/>
      <c r="V19" s="14"/>
      <c r="W19" s="14"/>
      <c r="X19" s="14"/>
    </row>
    <row r="20" spans="1:27" x14ac:dyDescent="0.2">
      <c r="A20">
        <v>5.25</v>
      </c>
      <c r="B20" s="14" t="s">
        <v>196</v>
      </c>
      <c r="C20">
        <v>57</v>
      </c>
      <c r="D20">
        <f t="shared" si="6"/>
        <v>440.01010976071973</v>
      </c>
      <c r="E20">
        <f t="shared" si="7"/>
        <v>3</v>
      </c>
      <c r="F20">
        <v>8</v>
      </c>
      <c r="G20" s="14" t="s">
        <v>188</v>
      </c>
      <c r="H20">
        <v>48</v>
      </c>
      <c r="I20">
        <f t="shared" si="4"/>
        <v>261.62956379894968</v>
      </c>
      <c r="J20">
        <f t="shared" si="5"/>
        <v>5</v>
      </c>
    </row>
    <row r="21" spans="1:27" x14ac:dyDescent="0.2">
      <c r="A21">
        <v>5.5</v>
      </c>
      <c r="B21" s="14" t="s">
        <v>197</v>
      </c>
      <c r="C21">
        <v>59</v>
      </c>
      <c r="D21">
        <f t="shared" si="6"/>
        <v>493.89549345236594</v>
      </c>
      <c r="E21">
        <f t="shared" si="7"/>
        <v>2</v>
      </c>
      <c r="F21">
        <v>8.5</v>
      </c>
      <c r="G21" s="14" t="s">
        <v>149</v>
      </c>
      <c r="H21">
        <v>47</v>
      </c>
      <c r="I21">
        <f t="shared" si="4"/>
        <v>246.94521361646048</v>
      </c>
      <c r="J21">
        <f t="shared" ref="J21:J38" si="8">ABS( H21-H20)</f>
        <v>1</v>
      </c>
      <c r="P21" s="2" t="s">
        <v>50</v>
      </c>
      <c r="R21" s="2" t="s">
        <v>51</v>
      </c>
    </row>
    <row r="22" spans="1:27" x14ac:dyDescent="0.2">
      <c r="A22">
        <v>5.75</v>
      </c>
      <c r="B22" s="14" t="s">
        <v>192</v>
      </c>
      <c r="C22">
        <v>55</v>
      </c>
      <c r="D22">
        <f t="shared" si="6"/>
        <v>392.00377257605692</v>
      </c>
      <c r="E22">
        <f t="shared" si="7"/>
        <v>4</v>
      </c>
      <c r="F22">
        <v>9</v>
      </c>
      <c r="G22" s="14" t="s">
        <v>188</v>
      </c>
      <c r="H22">
        <v>48</v>
      </c>
      <c r="I22">
        <f t="shared" si="4"/>
        <v>261.62956379894968</v>
      </c>
      <c r="J22">
        <f t="shared" si="8"/>
        <v>1</v>
      </c>
      <c r="P22">
        <v>0</v>
      </c>
      <c r="Q22">
        <v>664</v>
      </c>
      <c r="R22" s="2" t="s">
        <v>52</v>
      </c>
      <c r="S22">
        <v>0</v>
      </c>
      <c r="T22">
        <f>-200.1*S22+629.4</f>
        <v>629.4</v>
      </c>
    </row>
    <row r="23" spans="1:27" ht="14.25" x14ac:dyDescent="0.2">
      <c r="A23">
        <v>6</v>
      </c>
      <c r="B23" s="14" t="s">
        <v>195</v>
      </c>
      <c r="C23">
        <v>62</v>
      </c>
      <c r="D23">
        <f t="shared" si="6"/>
        <v>587.34554108704231</v>
      </c>
      <c r="E23">
        <f t="shared" si="7"/>
        <v>7</v>
      </c>
      <c r="F23">
        <v>9.5</v>
      </c>
      <c r="G23" s="14" t="s">
        <v>189</v>
      </c>
      <c r="H23">
        <v>50</v>
      </c>
      <c r="I23">
        <f t="shared" si="4"/>
        <v>293.66975814369101</v>
      </c>
      <c r="J23">
        <f t="shared" si="8"/>
        <v>2</v>
      </c>
      <c r="P23">
        <v>1</v>
      </c>
      <c r="Q23">
        <v>407</v>
      </c>
      <c r="R23" s="2" t="s">
        <v>225</v>
      </c>
      <c r="S23">
        <v>1</v>
      </c>
      <c r="T23" s="2">
        <f>-200.1*S23+629.4</f>
        <v>429.29999999999995</v>
      </c>
    </row>
    <row r="24" spans="1:27" x14ac:dyDescent="0.2">
      <c r="A24">
        <v>6.5</v>
      </c>
      <c r="B24" s="14" t="s">
        <v>198</v>
      </c>
      <c r="C24">
        <v>67</v>
      </c>
      <c r="D24">
        <f>16.35117682*1.059464^C24</f>
        <v>784.01558732918636</v>
      </c>
      <c r="E24">
        <f>ABS( C24-C23)</f>
        <v>5</v>
      </c>
      <c r="F24">
        <v>10</v>
      </c>
      <c r="G24" s="14" t="s">
        <v>190</v>
      </c>
      <c r="H24">
        <v>52</v>
      </c>
      <c r="I24">
        <f t="shared" si="4"/>
        <v>329.63372180082422</v>
      </c>
      <c r="J24">
        <f t="shared" si="8"/>
        <v>2</v>
      </c>
      <c r="P24">
        <v>2</v>
      </c>
      <c r="Q24">
        <v>170</v>
      </c>
      <c r="S24">
        <v>2</v>
      </c>
      <c r="T24" s="2">
        <f>-200.1*S24+629.4</f>
        <v>229.2</v>
      </c>
    </row>
    <row r="25" spans="1:27" x14ac:dyDescent="0.2">
      <c r="A25">
        <v>7</v>
      </c>
      <c r="B25" s="14" t="s">
        <v>199</v>
      </c>
      <c r="C25">
        <v>65</v>
      </c>
      <c r="D25">
        <f>16.35117682*1.059464^C25</f>
        <v>698.47728762097279</v>
      </c>
      <c r="E25">
        <f>ABS( C25-C24)</f>
        <v>2</v>
      </c>
      <c r="F25">
        <v>10.5</v>
      </c>
      <c r="G25" s="14" t="s">
        <v>146</v>
      </c>
      <c r="H25">
        <v>43</v>
      </c>
      <c r="I25">
        <f t="shared" si="4"/>
        <v>195.99987576438383</v>
      </c>
      <c r="J25">
        <f t="shared" si="8"/>
        <v>9</v>
      </c>
      <c r="P25">
        <v>3</v>
      </c>
      <c r="Q25">
        <v>76</v>
      </c>
      <c r="S25">
        <v>3</v>
      </c>
      <c r="T25" s="2">
        <f>-200.1*S25+629.4</f>
        <v>29.100000000000023</v>
      </c>
    </row>
    <row r="26" spans="1:27" x14ac:dyDescent="0.2">
      <c r="A26">
        <v>7.5</v>
      </c>
      <c r="B26" s="14" t="s">
        <v>198</v>
      </c>
      <c r="C26">
        <v>67</v>
      </c>
      <c r="D26">
        <f>16.35117682*1.059464^C26</f>
        <v>784.01558732918636</v>
      </c>
      <c r="E26">
        <f>ABS( C26-C25)</f>
        <v>2</v>
      </c>
      <c r="F26">
        <v>11</v>
      </c>
      <c r="G26" s="14" t="s">
        <v>148</v>
      </c>
      <c r="H26">
        <v>45</v>
      </c>
      <c r="I26">
        <f t="shared" si="4"/>
        <v>220.00279814001337</v>
      </c>
      <c r="J26">
        <f t="shared" si="8"/>
        <v>2</v>
      </c>
    </row>
    <row r="27" spans="1:27" x14ac:dyDescent="0.2">
      <c r="A27">
        <v>8</v>
      </c>
      <c r="B27" s="14" t="s">
        <v>200</v>
      </c>
      <c r="C27">
        <v>64</v>
      </c>
      <c r="D27">
        <f t="shared" ref="D27:D59" si="9">16.35117682*1.059464^C27</f>
        <v>659.27420622217721</v>
      </c>
      <c r="E27">
        <f>ABS( C27-C26)</f>
        <v>3</v>
      </c>
      <c r="F27">
        <v>11.5</v>
      </c>
      <c r="G27" s="14" t="s">
        <v>149</v>
      </c>
      <c r="H27">
        <v>47</v>
      </c>
      <c r="I27">
        <f t="shared" si="4"/>
        <v>246.94521361646048</v>
      </c>
      <c r="J27">
        <f t="shared" si="8"/>
        <v>2</v>
      </c>
    </row>
    <row r="28" spans="1:27" x14ac:dyDescent="0.2">
      <c r="A28">
        <v>8.25</v>
      </c>
      <c r="B28" s="14" t="s">
        <v>201</v>
      </c>
      <c r="C28">
        <v>69</v>
      </c>
      <c r="D28">
        <f t="shared" si="9"/>
        <v>880.02924657542201</v>
      </c>
      <c r="E28">
        <f t="shared" ref="E28:E59" si="10">ABS( C28-C27)</f>
        <v>5</v>
      </c>
      <c r="F28">
        <v>12</v>
      </c>
      <c r="G28" s="14" t="s">
        <v>188</v>
      </c>
      <c r="H28">
        <v>48</v>
      </c>
      <c r="I28">
        <f t="shared" si="4"/>
        <v>261.62956379894968</v>
      </c>
      <c r="J28">
        <f t="shared" si="8"/>
        <v>1</v>
      </c>
    </row>
    <row r="29" spans="1:27" x14ac:dyDescent="0.2">
      <c r="A29">
        <v>8.5</v>
      </c>
      <c r="B29" s="14" t="s">
        <v>198</v>
      </c>
      <c r="C29">
        <v>67</v>
      </c>
      <c r="D29">
        <f t="shared" si="9"/>
        <v>784.01558732918636</v>
      </c>
      <c r="E29">
        <f t="shared" si="10"/>
        <v>2</v>
      </c>
      <c r="F29">
        <v>12.5</v>
      </c>
      <c r="G29" s="14" t="s">
        <v>144</v>
      </c>
      <c r="H29">
        <v>40</v>
      </c>
      <c r="I29">
        <f t="shared" si="4"/>
        <v>164.8151702626221</v>
      </c>
      <c r="J29">
        <f t="shared" si="8"/>
        <v>8</v>
      </c>
    </row>
    <row r="30" spans="1:27" x14ac:dyDescent="0.2">
      <c r="A30">
        <v>8.75</v>
      </c>
      <c r="B30" s="14" t="s">
        <v>199</v>
      </c>
      <c r="C30">
        <v>65</v>
      </c>
      <c r="D30">
        <f t="shared" si="9"/>
        <v>698.47728762097279</v>
      </c>
      <c r="E30">
        <f t="shared" si="10"/>
        <v>2</v>
      </c>
      <c r="F30">
        <v>13</v>
      </c>
      <c r="G30" s="14" t="s">
        <v>48</v>
      </c>
      <c r="H30">
        <v>42</v>
      </c>
      <c r="I30">
        <f t="shared" si="4"/>
        <v>184.99908988354849</v>
      </c>
      <c r="J30">
        <f t="shared" si="8"/>
        <v>2</v>
      </c>
    </row>
    <row r="31" spans="1:27" x14ac:dyDescent="0.2">
      <c r="A31">
        <v>9</v>
      </c>
      <c r="B31" s="14" t="s">
        <v>200</v>
      </c>
      <c r="C31">
        <v>64</v>
      </c>
      <c r="D31">
        <f t="shared" si="9"/>
        <v>659.27420622217721</v>
      </c>
      <c r="E31">
        <f t="shared" si="10"/>
        <v>1</v>
      </c>
      <c r="F31">
        <v>13.5</v>
      </c>
      <c r="G31" s="14" t="s">
        <v>146</v>
      </c>
      <c r="H31">
        <v>43</v>
      </c>
      <c r="I31">
        <f t="shared" si="4"/>
        <v>195.99987576438383</v>
      </c>
      <c r="J31">
        <f t="shared" si="8"/>
        <v>1</v>
      </c>
    </row>
    <row r="32" spans="1:27" x14ac:dyDescent="0.2">
      <c r="A32">
        <v>9.25</v>
      </c>
      <c r="B32" s="14" t="s">
        <v>198</v>
      </c>
      <c r="C32">
        <v>67</v>
      </c>
      <c r="D32">
        <f t="shared" si="9"/>
        <v>784.01558732918636</v>
      </c>
      <c r="E32">
        <f t="shared" si="10"/>
        <v>3</v>
      </c>
      <c r="F32">
        <v>14</v>
      </c>
      <c r="G32" s="14" t="s">
        <v>148</v>
      </c>
      <c r="H32">
        <v>45</v>
      </c>
      <c r="I32">
        <f t="shared" si="4"/>
        <v>220.00279814001337</v>
      </c>
      <c r="J32">
        <f t="shared" si="8"/>
        <v>2</v>
      </c>
    </row>
    <row r="33" spans="1:10" x14ac:dyDescent="0.2">
      <c r="A33">
        <v>9.5</v>
      </c>
      <c r="B33" s="14" t="s">
        <v>199</v>
      </c>
      <c r="C33">
        <v>65</v>
      </c>
      <c r="D33">
        <f t="shared" si="9"/>
        <v>698.47728762097279</v>
      </c>
      <c r="E33">
        <f t="shared" si="10"/>
        <v>2</v>
      </c>
      <c r="F33">
        <v>14.5</v>
      </c>
      <c r="G33" s="14" t="s">
        <v>149</v>
      </c>
      <c r="H33">
        <v>47</v>
      </c>
      <c r="I33">
        <f t="shared" si="4"/>
        <v>246.94521361646048</v>
      </c>
      <c r="J33">
        <f t="shared" si="8"/>
        <v>2</v>
      </c>
    </row>
    <row r="34" spans="1:10" x14ac:dyDescent="0.2">
      <c r="A34">
        <v>9.75</v>
      </c>
      <c r="B34" s="14" t="s">
        <v>201</v>
      </c>
      <c r="C34">
        <v>69</v>
      </c>
      <c r="D34">
        <f t="shared" si="9"/>
        <v>880.02924657542201</v>
      </c>
      <c r="E34">
        <f t="shared" si="10"/>
        <v>4</v>
      </c>
      <c r="F34">
        <v>15</v>
      </c>
      <c r="G34" s="14" t="s">
        <v>188</v>
      </c>
      <c r="H34">
        <v>48</v>
      </c>
      <c r="I34">
        <f t="shared" si="4"/>
        <v>261.62956379894968</v>
      </c>
      <c r="J34">
        <f t="shared" si="8"/>
        <v>1</v>
      </c>
    </row>
    <row r="35" spans="1:10" x14ac:dyDescent="0.2">
      <c r="A35">
        <v>10</v>
      </c>
      <c r="B35" s="14" t="s">
        <v>198</v>
      </c>
      <c r="C35">
        <v>67</v>
      </c>
      <c r="D35">
        <f t="shared" si="9"/>
        <v>784.01558732918636</v>
      </c>
      <c r="E35">
        <f t="shared" si="10"/>
        <v>2</v>
      </c>
      <c r="F35">
        <v>16.25</v>
      </c>
      <c r="G35" s="14" t="s">
        <v>143</v>
      </c>
      <c r="H35">
        <v>38</v>
      </c>
      <c r="I35">
        <f t="shared" ref="I35:I42" si="11">16.35117682*1.059464^H35</f>
        <v>146.83337288738056</v>
      </c>
      <c r="J35">
        <f t="shared" si="8"/>
        <v>10</v>
      </c>
    </row>
    <row r="36" spans="1:10" x14ac:dyDescent="0.2">
      <c r="A36">
        <v>10.25</v>
      </c>
      <c r="B36" s="14" t="s">
        <v>199</v>
      </c>
      <c r="C36">
        <v>65</v>
      </c>
      <c r="D36">
        <f t="shared" si="9"/>
        <v>698.47728762097279</v>
      </c>
      <c r="E36">
        <f t="shared" si="10"/>
        <v>2</v>
      </c>
      <c r="F36">
        <v>16.5</v>
      </c>
      <c r="G36" s="14" t="s">
        <v>144</v>
      </c>
      <c r="H36">
        <v>40</v>
      </c>
      <c r="I36">
        <f t="shared" si="11"/>
        <v>164.8151702626221</v>
      </c>
      <c r="J36">
        <f t="shared" si="8"/>
        <v>2</v>
      </c>
    </row>
    <row r="37" spans="1:10" x14ac:dyDescent="0.2">
      <c r="A37">
        <v>10.5</v>
      </c>
      <c r="B37" s="14" t="s">
        <v>200</v>
      </c>
      <c r="C37">
        <v>64</v>
      </c>
      <c r="D37">
        <f t="shared" si="9"/>
        <v>659.27420622217721</v>
      </c>
      <c r="E37">
        <f t="shared" si="10"/>
        <v>1</v>
      </c>
      <c r="F37">
        <v>16.75</v>
      </c>
      <c r="G37" s="14" t="s">
        <v>48</v>
      </c>
      <c r="H37">
        <v>42</v>
      </c>
      <c r="I37">
        <f t="shared" si="11"/>
        <v>184.99908988354849</v>
      </c>
      <c r="J37">
        <f t="shared" si="8"/>
        <v>2</v>
      </c>
    </row>
    <row r="38" spans="1:10" x14ac:dyDescent="0.2">
      <c r="A38">
        <v>10.75</v>
      </c>
      <c r="B38" s="14" t="s">
        <v>195</v>
      </c>
      <c r="C38">
        <v>62</v>
      </c>
      <c r="D38">
        <f t="shared" si="9"/>
        <v>587.34554108704231</v>
      </c>
      <c r="E38">
        <f t="shared" si="10"/>
        <v>2</v>
      </c>
      <c r="F38">
        <v>17</v>
      </c>
      <c r="G38" s="14" t="s">
        <v>146</v>
      </c>
      <c r="H38">
        <v>43</v>
      </c>
      <c r="I38">
        <f t="shared" si="11"/>
        <v>195.99987576438383</v>
      </c>
      <c r="J38">
        <f t="shared" si="8"/>
        <v>1</v>
      </c>
    </row>
    <row r="39" spans="1:10" x14ac:dyDescent="0.2">
      <c r="A39">
        <v>11</v>
      </c>
      <c r="B39" s="14" t="s">
        <v>193</v>
      </c>
      <c r="C39">
        <v>60</v>
      </c>
      <c r="D39">
        <f t="shared" si="9"/>
        <v>523.26449507501752</v>
      </c>
      <c r="E39">
        <f t="shared" si="10"/>
        <v>2</v>
      </c>
      <c r="F39">
        <v>17.25</v>
      </c>
      <c r="G39" s="14" t="s">
        <v>144</v>
      </c>
      <c r="H39">
        <v>40</v>
      </c>
      <c r="I39">
        <f t="shared" si="11"/>
        <v>164.8151702626221</v>
      </c>
      <c r="J39">
        <f t="shared" ref="J39:J54" si="12">ABS( H39-H38)</f>
        <v>3</v>
      </c>
    </row>
    <row r="40" spans="1:10" x14ac:dyDescent="0.2">
      <c r="A40">
        <v>11.25</v>
      </c>
      <c r="B40" s="14" t="s">
        <v>200</v>
      </c>
      <c r="C40">
        <v>64</v>
      </c>
      <c r="D40">
        <f t="shared" si="9"/>
        <v>659.27420622217721</v>
      </c>
      <c r="E40">
        <f t="shared" si="10"/>
        <v>4</v>
      </c>
      <c r="F40">
        <v>17.5</v>
      </c>
      <c r="G40" s="14" t="s">
        <v>48</v>
      </c>
      <c r="H40">
        <v>42</v>
      </c>
      <c r="I40">
        <f t="shared" si="11"/>
        <v>184.99908988354849</v>
      </c>
      <c r="J40">
        <f t="shared" si="12"/>
        <v>2</v>
      </c>
    </row>
    <row r="41" spans="1:10" x14ac:dyDescent="0.2">
      <c r="A41">
        <v>11.5</v>
      </c>
      <c r="B41" s="14" t="s">
        <v>195</v>
      </c>
      <c r="C41">
        <v>62</v>
      </c>
      <c r="D41">
        <f t="shared" si="9"/>
        <v>587.34554108704231</v>
      </c>
      <c r="E41">
        <f t="shared" si="10"/>
        <v>2</v>
      </c>
      <c r="F41">
        <v>17.75</v>
      </c>
      <c r="G41" s="14" t="s">
        <v>143</v>
      </c>
      <c r="H41">
        <v>38</v>
      </c>
      <c r="I41">
        <f t="shared" si="11"/>
        <v>146.83337288738056</v>
      </c>
      <c r="J41">
        <f t="shared" si="12"/>
        <v>4</v>
      </c>
    </row>
    <row r="42" spans="1:10" x14ac:dyDescent="0.2">
      <c r="A42">
        <v>11.75</v>
      </c>
      <c r="B42" s="14" t="s">
        <v>199</v>
      </c>
      <c r="C42">
        <v>65</v>
      </c>
      <c r="D42">
        <f t="shared" si="9"/>
        <v>698.47728762097279</v>
      </c>
      <c r="E42">
        <f t="shared" si="10"/>
        <v>3</v>
      </c>
      <c r="F42">
        <v>18</v>
      </c>
      <c r="G42" s="14" t="s">
        <v>146</v>
      </c>
      <c r="H42">
        <v>43</v>
      </c>
      <c r="I42">
        <f t="shared" si="11"/>
        <v>195.99987576438383</v>
      </c>
      <c r="J42">
        <f t="shared" si="12"/>
        <v>5</v>
      </c>
    </row>
    <row r="43" spans="1:10" x14ac:dyDescent="0.2">
      <c r="A43">
        <v>12</v>
      </c>
      <c r="B43" s="14" t="s">
        <v>200</v>
      </c>
      <c r="C43">
        <v>64</v>
      </c>
      <c r="D43">
        <f t="shared" si="9"/>
        <v>659.27420622217721</v>
      </c>
      <c r="E43">
        <f t="shared" si="10"/>
        <v>1</v>
      </c>
      <c r="F43">
        <v>18.5</v>
      </c>
      <c r="G43" s="14" t="s">
        <v>150</v>
      </c>
      <c r="H43">
        <v>35</v>
      </c>
      <c r="I43">
        <f t="shared" ref="I43:I53" si="13">16.35117682*1.059464^H43</f>
        <v>123.4713402663609</v>
      </c>
      <c r="J43">
        <f t="shared" si="12"/>
        <v>8</v>
      </c>
    </row>
    <row r="44" spans="1:10" x14ac:dyDescent="0.2">
      <c r="A44">
        <v>12.25</v>
      </c>
      <c r="B44" s="14" t="s">
        <v>195</v>
      </c>
      <c r="C44">
        <v>62</v>
      </c>
      <c r="D44">
        <f t="shared" si="9"/>
        <v>587.34554108704231</v>
      </c>
      <c r="E44">
        <f t="shared" si="10"/>
        <v>2</v>
      </c>
      <c r="F44">
        <v>19</v>
      </c>
      <c r="G44" s="14" t="s">
        <v>142</v>
      </c>
      <c r="H44">
        <v>36</v>
      </c>
      <c r="I44">
        <f t="shared" si="13"/>
        <v>130.81344004395982</v>
      </c>
      <c r="J44">
        <f t="shared" si="12"/>
        <v>1</v>
      </c>
    </row>
    <row r="45" spans="1:10" x14ac:dyDescent="0.2">
      <c r="A45">
        <v>12.5</v>
      </c>
      <c r="B45" s="14" t="s">
        <v>193</v>
      </c>
      <c r="C45">
        <v>60</v>
      </c>
      <c r="D45">
        <f t="shared" si="9"/>
        <v>523.26449507501752</v>
      </c>
      <c r="E45">
        <f t="shared" si="10"/>
        <v>2</v>
      </c>
      <c r="F45">
        <v>19.5</v>
      </c>
      <c r="G45" s="14" t="s">
        <v>143</v>
      </c>
      <c r="H45">
        <v>38</v>
      </c>
      <c r="I45">
        <f t="shared" si="13"/>
        <v>146.83337288738056</v>
      </c>
      <c r="J45">
        <f t="shared" si="12"/>
        <v>2</v>
      </c>
    </row>
    <row r="46" spans="1:10" x14ac:dyDescent="0.2">
      <c r="A46">
        <v>12.75</v>
      </c>
      <c r="B46" s="14" t="s">
        <v>197</v>
      </c>
      <c r="C46">
        <v>59</v>
      </c>
      <c r="D46">
        <f t="shared" si="9"/>
        <v>493.89549345236594</v>
      </c>
      <c r="E46">
        <f t="shared" si="10"/>
        <v>1</v>
      </c>
      <c r="F46">
        <v>20</v>
      </c>
      <c r="G46" s="14" t="s">
        <v>144</v>
      </c>
      <c r="H46">
        <v>40</v>
      </c>
      <c r="I46">
        <f t="shared" si="13"/>
        <v>164.8151702626221</v>
      </c>
      <c r="J46">
        <f t="shared" si="12"/>
        <v>2</v>
      </c>
    </row>
    <row r="47" spans="1:10" x14ac:dyDescent="0.2">
      <c r="A47">
        <v>13</v>
      </c>
      <c r="B47" s="14" t="s">
        <v>196</v>
      </c>
      <c r="C47">
        <v>57</v>
      </c>
      <c r="D47">
        <f t="shared" si="9"/>
        <v>440.01010976071973</v>
      </c>
      <c r="E47">
        <f t="shared" si="10"/>
        <v>2</v>
      </c>
      <c r="F47">
        <v>20.5</v>
      </c>
      <c r="G47" s="14" t="s">
        <v>48</v>
      </c>
      <c r="H47">
        <v>42</v>
      </c>
      <c r="I47">
        <f t="shared" si="13"/>
        <v>184.99908988354849</v>
      </c>
      <c r="J47">
        <f t="shared" si="12"/>
        <v>2</v>
      </c>
    </row>
    <row r="48" spans="1:10" x14ac:dyDescent="0.2">
      <c r="A48">
        <v>13.25</v>
      </c>
      <c r="B48" s="14" t="s">
        <v>193</v>
      </c>
      <c r="C48">
        <v>60</v>
      </c>
      <c r="D48">
        <f t="shared" si="9"/>
        <v>523.26449507501752</v>
      </c>
      <c r="E48">
        <f t="shared" si="10"/>
        <v>3</v>
      </c>
      <c r="F48">
        <v>21</v>
      </c>
      <c r="G48" s="14" t="s">
        <v>146</v>
      </c>
      <c r="H48">
        <v>43</v>
      </c>
      <c r="I48">
        <f t="shared" si="13"/>
        <v>195.99987576438383</v>
      </c>
      <c r="J48">
        <f t="shared" si="12"/>
        <v>1</v>
      </c>
    </row>
    <row r="49" spans="1:10" x14ac:dyDescent="0.2">
      <c r="A49">
        <v>13.5</v>
      </c>
      <c r="B49" s="14" t="s">
        <v>197</v>
      </c>
      <c r="C49">
        <v>59</v>
      </c>
      <c r="D49">
        <f t="shared" si="9"/>
        <v>493.89549345236594</v>
      </c>
      <c r="E49">
        <f t="shared" si="10"/>
        <v>1</v>
      </c>
      <c r="F49">
        <v>21.5</v>
      </c>
      <c r="G49" s="14" t="s">
        <v>144</v>
      </c>
      <c r="H49">
        <v>40</v>
      </c>
      <c r="I49">
        <f t="shared" si="13"/>
        <v>164.8151702626221</v>
      </c>
      <c r="J49">
        <f t="shared" si="12"/>
        <v>3</v>
      </c>
    </row>
    <row r="50" spans="1:10" x14ac:dyDescent="0.2">
      <c r="A50">
        <v>13.75</v>
      </c>
      <c r="B50" s="14" t="s">
        <v>195</v>
      </c>
      <c r="C50">
        <v>62</v>
      </c>
      <c r="D50">
        <f t="shared" si="9"/>
        <v>587.34554108704231</v>
      </c>
      <c r="E50">
        <f t="shared" si="10"/>
        <v>3</v>
      </c>
      <c r="F50">
        <v>22</v>
      </c>
      <c r="G50" s="14" t="s">
        <v>150</v>
      </c>
      <c r="H50">
        <v>35</v>
      </c>
      <c r="I50">
        <f t="shared" si="13"/>
        <v>123.4713402663609</v>
      </c>
      <c r="J50">
        <f t="shared" si="12"/>
        <v>5</v>
      </c>
    </row>
    <row r="51" spans="1:10" x14ac:dyDescent="0.2">
      <c r="A51">
        <v>14</v>
      </c>
      <c r="B51" s="14" t="s">
        <v>193</v>
      </c>
      <c r="C51">
        <v>60</v>
      </c>
      <c r="D51">
        <f t="shared" si="9"/>
        <v>523.26449507501752</v>
      </c>
      <c r="E51">
        <f t="shared" si="10"/>
        <v>2</v>
      </c>
      <c r="F51">
        <v>22.75</v>
      </c>
      <c r="G51" s="14" t="s">
        <v>142</v>
      </c>
      <c r="H51">
        <v>36</v>
      </c>
      <c r="I51">
        <f t="shared" si="13"/>
        <v>130.81344004395982</v>
      </c>
      <c r="J51">
        <f t="shared" si="12"/>
        <v>1</v>
      </c>
    </row>
    <row r="52" spans="1:10" x14ac:dyDescent="0.2">
      <c r="A52">
        <v>14.25</v>
      </c>
      <c r="B52" s="14" t="s">
        <v>197</v>
      </c>
      <c r="C52">
        <v>59</v>
      </c>
      <c r="D52">
        <f t="shared" si="9"/>
        <v>493.89549345236594</v>
      </c>
      <c r="E52">
        <f t="shared" si="10"/>
        <v>1</v>
      </c>
      <c r="F52">
        <v>23</v>
      </c>
      <c r="G52" s="14" t="s">
        <v>143</v>
      </c>
      <c r="H52">
        <v>38</v>
      </c>
      <c r="I52">
        <f t="shared" si="13"/>
        <v>146.83337288738056</v>
      </c>
      <c r="J52">
        <f t="shared" si="12"/>
        <v>2</v>
      </c>
    </row>
    <row r="53" spans="1:10" x14ac:dyDescent="0.2">
      <c r="A53">
        <v>14.5</v>
      </c>
      <c r="B53" s="14" t="s">
        <v>196</v>
      </c>
      <c r="C53">
        <v>57</v>
      </c>
      <c r="D53">
        <f t="shared" si="9"/>
        <v>440.01010976071973</v>
      </c>
      <c r="E53">
        <f t="shared" si="10"/>
        <v>2</v>
      </c>
      <c r="F53">
        <v>23.5</v>
      </c>
      <c r="G53" s="14" t="s">
        <v>151</v>
      </c>
      <c r="H53">
        <v>26</v>
      </c>
      <c r="I53">
        <f t="shared" si="13"/>
        <v>73.415933359182759</v>
      </c>
      <c r="J53">
        <f t="shared" si="12"/>
        <v>12</v>
      </c>
    </row>
    <row r="54" spans="1:10" x14ac:dyDescent="0.2">
      <c r="A54">
        <v>14.75</v>
      </c>
      <c r="B54" s="14" t="s">
        <v>192</v>
      </c>
      <c r="C54">
        <v>55</v>
      </c>
      <c r="D54">
        <f t="shared" si="9"/>
        <v>392.00377257605692</v>
      </c>
      <c r="E54">
        <f t="shared" si="10"/>
        <v>2</v>
      </c>
      <c r="F54">
        <v>24.25</v>
      </c>
      <c r="G54" s="14" t="s">
        <v>147</v>
      </c>
      <c r="H54">
        <v>31</v>
      </c>
      <c r="I54">
        <f t="shared" ref="I54:I61" si="14">16.35117682*1.059464^H54</f>
        <v>97.998932630681253</v>
      </c>
      <c r="J54">
        <f t="shared" si="12"/>
        <v>5</v>
      </c>
    </row>
    <row r="55" spans="1:10" x14ac:dyDescent="0.2">
      <c r="A55">
        <v>15</v>
      </c>
      <c r="B55" s="14" t="s">
        <v>257</v>
      </c>
      <c r="C55">
        <v>54</v>
      </c>
      <c r="D55">
        <f t="shared" si="9"/>
        <v>370.00197512709912</v>
      </c>
      <c r="E55">
        <f t="shared" si="10"/>
        <v>1</v>
      </c>
      <c r="F55">
        <v>24.5</v>
      </c>
      <c r="G55" s="14" t="s">
        <v>152</v>
      </c>
      <c r="H55">
        <v>33</v>
      </c>
      <c r="I55">
        <f t="shared" si="14"/>
        <v>110.00027071140791</v>
      </c>
      <c r="J55">
        <f t="shared" ref="J55:J61" si="15">ABS( H55-H54)</f>
        <v>2</v>
      </c>
    </row>
    <row r="56" spans="1:10" x14ac:dyDescent="0.2">
      <c r="A56">
        <v>15.25</v>
      </c>
      <c r="B56" s="14" t="s">
        <v>196</v>
      </c>
      <c r="C56">
        <v>57</v>
      </c>
      <c r="D56">
        <f t="shared" si="9"/>
        <v>440.01010976071973</v>
      </c>
      <c r="E56">
        <f t="shared" si="10"/>
        <v>3</v>
      </c>
      <c r="F56">
        <v>24.75</v>
      </c>
      <c r="G56" s="14" t="s">
        <v>150</v>
      </c>
      <c r="H56">
        <v>35</v>
      </c>
      <c r="I56">
        <f t="shared" si="14"/>
        <v>123.4713402663609</v>
      </c>
      <c r="J56">
        <f t="shared" si="15"/>
        <v>2</v>
      </c>
    </row>
    <row r="57" spans="1:10" x14ac:dyDescent="0.2">
      <c r="A57">
        <v>15.5</v>
      </c>
      <c r="B57" s="14" t="s">
        <v>192</v>
      </c>
      <c r="C57">
        <v>55</v>
      </c>
      <c r="D57">
        <f t="shared" si="9"/>
        <v>392.00377257605692</v>
      </c>
      <c r="E57">
        <f t="shared" si="10"/>
        <v>2</v>
      </c>
      <c r="F57">
        <v>25</v>
      </c>
      <c r="G57" s="14" t="s">
        <v>142</v>
      </c>
      <c r="H57">
        <v>36</v>
      </c>
      <c r="I57">
        <f t="shared" si="14"/>
        <v>130.81344004395982</v>
      </c>
      <c r="J57">
        <f t="shared" si="15"/>
        <v>1</v>
      </c>
    </row>
    <row r="58" spans="1:10" x14ac:dyDescent="0.2">
      <c r="A58">
        <v>15.75</v>
      </c>
      <c r="B58" s="14" t="s">
        <v>197</v>
      </c>
      <c r="C58">
        <v>59</v>
      </c>
      <c r="D58">
        <f t="shared" si="9"/>
        <v>493.89549345236594</v>
      </c>
      <c r="E58">
        <f t="shared" si="10"/>
        <v>4</v>
      </c>
      <c r="F58">
        <v>25.25</v>
      </c>
      <c r="G58" s="14" t="s">
        <v>152</v>
      </c>
      <c r="H58">
        <v>33</v>
      </c>
      <c r="I58">
        <f t="shared" si="14"/>
        <v>110.00027071140791</v>
      </c>
      <c r="J58">
        <f t="shared" si="15"/>
        <v>3</v>
      </c>
    </row>
    <row r="59" spans="1:10" x14ac:dyDescent="0.2">
      <c r="A59">
        <v>16</v>
      </c>
      <c r="B59" s="14" t="s">
        <v>196</v>
      </c>
      <c r="C59">
        <v>57</v>
      </c>
      <c r="D59">
        <f t="shared" si="9"/>
        <v>440.01010976071973</v>
      </c>
      <c r="E59">
        <f t="shared" si="10"/>
        <v>2</v>
      </c>
      <c r="F59">
        <v>25.5</v>
      </c>
      <c r="G59" s="14" t="s">
        <v>150</v>
      </c>
      <c r="H59">
        <v>35</v>
      </c>
      <c r="I59">
        <f t="shared" si="14"/>
        <v>123.4713402663609</v>
      </c>
      <c r="J59">
        <f t="shared" si="15"/>
        <v>2</v>
      </c>
    </row>
    <row r="60" spans="1:10" x14ac:dyDescent="0.2">
      <c r="A60">
        <v>16.5</v>
      </c>
      <c r="B60" s="14" t="s">
        <v>189</v>
      </c>
      <c r="C60">
        <v>50</v>
      </c>
      <c r="D60">
        <f>16.35117682*1.059464^C60</f>
        <v>293.66975814369101</v>
      </c>
      <c r="E60">
        <f>ABS( C60-C59)</f>
        <v>7</v>
      </c>
      <c r="F60">
        <v>25.75</v>
      </c>
      <c r="G60" s="14" t="s">
        <v>147</v>
      </c>
      <c r="H60">
        <v>31</v>
      </c>
      <c r="I60">
        <f t="shared" si="14"/>
        <v>97.998932630681253</v>
      </c>
      <c r="J60">
        <f t="shared" si="15"/>
        <v>4</v>
      </c>
    </row>
    <row r="61" spans="1:10" x14ac:dyDescent="0.2">
      <c r="A61">
        <v>17</v>
      </c>
      <c r="B61" s="14" t="s">
        <v>193</v>
      </c>
      <c r="C61">
        <v>60</v>
      </c>
      <c r="D61">
        <f>16.35117682*1.059464^C61</f>
        <v>523.26449507501752</v>
      </c>
      <c r="E61">
        <f>ABS( C61-C60)</f>
        <v>10</v>
      </c>
      <c r="F61">
        <v>26</v>
      </c>
      <c r="G61" s="14" t="s">
        <v>143</v>
      </c>
      <c r="H61">
        <v>38</v>
      </c>
      <c r="I61">
        <f t="shared" si="14"/>
        <v>146.83337288738056</v>
      </c>
      <c r="J61">
        <f t="shared" si="15"/>
        <v>7</v>
      </c>
    </row>
    <row r="62" spans="1:10" x14ac:dyDescent="0.2">
      <c r="A62">
        <v>17.75</v>
      </c>
      <c r="B62" s="14" t="s">
        <v>195</v>
      </c>
      <c r="C62">
        <v>62</v>
      </c>
      <c r="D62">
        <f t="shared" ref="D62:D87" si="16">16.35117682*1.059464^C62</f>
        <v>587.34554108704231</v>
      </c>
      <c r="E62">
        <f>ABS( C62-C61)</f>
        <v>2</v>
      </c>
      <c r="F62">
        <v>26.5</v>
      </c>
      <c r="G62" s="14" t="s">
        <v>146</v>
      </c>
      <c r="H62">
        <v>43</v>
      </c>
      <c r="I62">
        <f>16.35117682*1.059464^H62</f>
        <v>195.99987576438383</v>
      </c>
      <c r="J62">
        <f>ABS( H62-H61)</f>
        <v>5</v>
      </c>
    </row>
    <row r="63" spans="1:10" x14ac:dyDescent="0.2">
      <c r="A63">
        <v>18</v>
      </c>
      <c r="B63" s="14" t="s">
        <v>197</v>
      </c>
      <c r="C63">
        <v>59</v>
      </c>
      <c r="D63">
        <f t="shared" si="16"/>
        <v>493.89549345236594</v>
      </c>
      <c r="E63">
        <f t="shared" ref="E63:E87" si="17">ABS( C63-C62)</f>
        <v>3</v>
      </c>
      <c r="F63">
        <v>27</v>
      </c>
      <c r="G63" s="14" t="s">
        <v>48</v>
      </c>
      <c r="H63">
        <v>42</v>
      </c>
      <c r="I63">
        <f>16.35117682*1.059464^H63</f>
        <v>184.99908988354849</v>
      </c>
      <c r="J63">
        <f>ABS( H63-H62)</f>
        <v>1</v>
      </c>
    </row>
    <row r="64" spans="1:10" x14ac:dyDescent="0.2">
      <c r="A64">
        <v>18.25</v>
      </c>
      <c r="B64" s="14" t="s">
        <v>196</v>
      </c>
      <c r="C64">
        <v>57</v>
      </c>
      <c r="D64">
        <f t="shared" si="16"/>
        <v>440.01010976071973</v>
      </c>
      <c r="E64">
        <f t="shared" si="17"/>
        <v>2</v>
      </c>
      <c r="F64">
        <v>27.5</v>
      </c>
      <c r="G64" s="14" t="s">
        <v>146</v>
      </c>
      <c r="H64">
        <v>43</v>
      </c>
      <c r="I64">
        <f>16.35117682*1.059464^H64</f>
        <v>195.99987576438383</v>
      </c>
      <c r="J64">
        <f>ABS( H64-H63)</f>
        <v>1</v>
      </c>
    </row>
    <row r="65" spans="1:10" x14ac:dyDescent="0.2">
      <c r="A65">
        <v>18.5</v>
      </c>
      <c r="B65" s="14" t="s">
        <v>192</v>
      </c>
      <c r="C65">
        <v>55</v>
      </c>
      <c r="D65">
        <f t="shared" si="16"/>
        <v>392.00377257605692</v>
      </c>
      <c r="E65">
        <f t="shared" si="17"/>
        <v>2</v>
      </c>
      <c r="F65">
        <v>28</v>
      </c>
      <c r="G65" s="14" t="s">
        <v>148</v>
      </c>
      <c r="H65">
        <v>45</v>
      </c>
      <c r="I65">
        <f t="shared" ref="I65:I73" si="18">16.35117682*1.059464^H65</f>
        <v>220.00279814001337</v>
      </c>
      <c r="J65">
        <f>ABS( H65-H64)</f>
        <v>2</v>
      </c>
    </row>
    <row r="66" spans="1:10" x14ac:dyDescent="0.2">
      <c r="A66">
        <v>18.75</v>
      </c>
      <c r="B66" s="14" t="s">
        <v>257</v>
      </c>
      <c r="C66">
        <v>54</v>
      </c>
      <c r="D66">
        <f t="shared" si="16"/>
        <v>370.00197512709912</v>
      </c>
      <c r="E66">
        <f t="shared" si="17"/>
        <v>1</v>
      </c>
      <c r="F66">
        <v>28.25</v>
      </c>
      <c r="G66" s="14" t="s">
        <v>143</v>
      </c>
      <c r="H66">
        <v>38</v>
      </c>
      <c r="I66">
        <f t="shared" si="18"/>
        <v>146.83337288738056</v>
      </c>
      <c r="J66">
        <f t="shared" ref="J66:J73" si="19">ABS( H66-H65)</f>
        <v>7</v>
      </c>
    </row>
    <row r="67" spans="1:10" x14ac:dyDescent="0.2">
      <c r="A67">
        <v>19</v>
      </c>
      <c r="B67" s="14" t="s">
        <v>190</v>
      </c>
      <c r="C67">
        <v>52</v>
      </c>
      <c r="D67">
        <f t="shared" si="16"/>
        <v>329.63372180082422</v>
      </c>
      <c r="E67">
        <f t="shared" si="17"/>
        <v>2</v>
      </c>
      <c r="F67">
        <v>28.5</v>
      </c>
      <c r="G67" s="14" t="s">
        <v>144</v>
      </c>
      <c r="H67">
        <v>40</v>
      </c>
      <c r="I67">
        <f t="shared" si="18"/>
        <v>164.8151702626221</v>
      </c>
      <c r="J67">
        <f t="shared" si="19"/>
        <v>2</v>
      </c>
    </row>
    <row r="68" spans="1:10" x14ac:dyDescent="0.2">
      <c r="A68">
        <v>19.25</v>
      </c>
      <c r="B68" s="14" t="s">
        <v>192</v>
      </c>
      <c r="C68">
        <v>55</v>
      </c>
      <c r="D68">
        <f t="shared" si="16"/>
        <v>392.00377257605692</v>
      </c>
      <c r="E68">
        <f t="shared" si="17"/>
        <v>3</v>
      </c>
      <c r="F68">
        <v>28.75</v>
      </c>
      <c r="G68" s="14" t="s">
        <v>48</v>
      </c>
      <c r="H68">
        <v>42</v>
      </c>
      <c r="I68">
        <f t="shared" si="18"/>
        <v>184.99908988354849</v>
      </c>
      <c r="J68">
        <f t="shared" si="19"/>
        <v>2</v>
      </c>
    </row>
    <row r="69" spans="1:10" x14ac:dyDescent="0.2">
      <c r="A69">
        <v>19.5</v>
      </c>
      <c r="B69" s="14" t="s">
        <v>257</v>
      </c>
      <c r="C69">
        <v>54</v>
      </c>
      <c r="D69">
        <f t="shared" si="16"/>
        <v>370.00197512709912</v>
      </c>
      <c r="E69">
        <f t="shared" si="17"/>
        <v>1</v>
      </c>
      <c r="F69">
        <v>29</v>
      </c>
      <c r="G69" s="14" t="s">
        <v>146</v>
      </c>
      <c r="H69">
        <v>43</v>
      </c>
      <c r="I69">
        <f t="shared" si="18"/>
        <v>195.99987576438383</v>
      </c>
      <c r="J69">
        <f t="shared" si="19"/>
        <v>1</v>
      </c>
    </row>
    <row r="70" spans="1:10" x14ac:dyDescent="0.2">
      <c r="A70">
        <v>19.75</v>
      </c>
      <c r="B70" s="14" t="s">
        <v>196</v>
      </c>
      <c r="C70">
        <v>57</v>
      </c>
      <c r="D70">
        <f t="shared" si="16"/>
        <v>440.01010976071973</v>
      </c>
      <c r="E70">
        <f t="shared" si="17"/>
        <v>3</v>
      </c>
      <c r="F70">
        <v>29.25</v>
      </c>
      <c r="G70" s="14" t="s">
        <v>144</v>
      </c>
      <c r="H70">
        <v>40</v>
      </c>
      <c r="I70">
        <f t="shared" si="18"/>
        <v>164.8151702626221</v>
      </c>
      <c r="J70">
        <f t="shared" si="19"/>
        <v>3</v>
      </c>
    </row>
    <row r="71" spans="1:10" x14ac:dyDescent="0.2">
      <c r="A71">
        <v>20</v>
      </c>
      <c r="B71" s="14" t="s">
        <v>192</v>
      </c>
      <c r="C71">
        <v>55</v>
      </c>
      <c r="D71">
        <f t="shared" si="16"/>
        <v>392.00377257605692</v>
      </c>
      <c r="E71">
        <f t="shared" si="17"/>
        <v>2</v>
      </c>
      <c r="F71">
        <v>29.5</v>
      </c>
      <c r="G71" s="14" t="s">
        <v>48</v>
      </c>
      <c r="H71">
        <v>42</v>
      </c>
      <c r="I71">
        <f t="shared" si="18"/>
        <v>184.99908988354849</v>
      </c>
      <c r="J71">
        <f t="shared" si="19"/>
        <v>2</v>
      </c>
    </row>
    <row r="72" spans="1:10" x14ac:dyDescent="0.2">
      <c r="A72">
        <v>20.25</v>
      </c>
      <c r="B72" s="14" t="s">
        <v>197</v>
      </c>
      <c r="C72">
        <v>59</v>
      </c>
      <c r="D72">
        <f t="shared" si="16"/>
        <v>493.89549345236594</v>
      </c>
      <c r="E72">
        <f t="shared" si="17"/>
        <v>4</v>
      </c>
      <c r="F72">
        <v>29.75</v>
      </c>
      <c r="G72" s="14" t="s">
        <v>143</v>
      </c>
      <c r="H72">
        <v>38</v>
      </c>
      <c r="I72">
        <f t="shared" si="18"/>
        <v>146.83337288738056</v>
      </c>
      <c r="J72">
        <f t="shared" si="19"/>
        <v>4</v>
      </c>
    </row>
    <row r="73" spans="1:10" x14ac:dyDescent="0.2">
      <c r="A73">
        <v>20.5</v>
      </c>
      <c r="B73" s="14" t="s">
        <v>196</v>
      </c>
      <c r="C73">
        <v>57</v>
      </c>
      <c r="D73">
        <f t="shared" si="16"/>
        <v>440.01010976071973</v>
      </c>
      <c r="E73">
        <f t="shared" si="17"/>
        <v>2</v>
      </c>
      <c r="F73">
        <v>30</v>
      </c>
      <c r="G73" s="14" t="s">
        <v>148</v>
      </c>
      <c r="H73">
        <v>45</v>
      </c>
      <c r="I73">
        <f t="shared" si="18"/>
        <v>220.00279814001337</v>
      </c>
      <c r="J73">
        <f t="shared" si="19"/>
        <v>7</v>
      </c>
    </row>
    <row r="74" spans="1:10" x14ac:dyDescent="0.2">
      <c r="A74">
        <v>20.75</v>
      </c>
      <c r="B74" s="14" t="s">
        <v>193</v>
      </c>
      <c r="C74">
        <v>60</v>
      </c>
      <c r="D74">
        <f t="shared" si="16"/>
        <v>523.26449507501752</v>
      </c>
      <c r="E74">
        <f t="shared" si="17"/>
        <v>3</v>
      </c>
      <c r="F74">
        <v>30.25</v>
      </c>
      <c r="G74" s="14" t="s">
        <v>189</v>
      </c>
      <c r="H74">
        <v>50</v>
      </c>
      <c r="I74">
        <f>16.35117682*1.059464^H74</f>
        <v>293.66975814369101</v>
      </c>
      <c r="J74">
        <f>ABS( H74-H73)</f>
        <v>5</v>
      </c>
    </row>
    <row r="75" spans="1:10" x14ac:dyDescent="0.2">
      <c r="A75">
        <v>21</v>
      </c>
      <c r="B75" s="14" t="s">
        <v>197</v>
      </c>
      <c r="C75">
        <v>59</v>
      </c>
      <c r="D75">
        <f t="shared" si="16"/>
        <v>493.89549345236594</v>
      </c>
      <c r="E75">
        <f t="shared" si="17"/>
        <v>1</v>
      </c>
      <c r="F75">
        <v>30.75</v>
      </c>
      <c r="G75" s="14" t="s">
        <v>188</v>
      </c>
      <c r="H75">
        <v>48</v>
      </c>
      <c r="I75">
        <f>16.35117682*1.059464^H75</f>
        <v>261.62956379894968</v>
      </c>
      <c r="J75">
        <f>ABS( H75-H74)</f>
        <v>2</v>
      </c>
    </row>
    <row r="76" spans="1:10" x14ac:dyDescent="0.2">
      <c r="A76">
        <v>21.25</v>
      </c>
      <c r="B76" s="14" t="s">
        <v>195</v>
      </c>
      <c r="C76">
        <v>62</v>
      </c>
      <c r="D76">
        <f t="shared" si="16"/>
        <v>587.34554108704231</v>
      </c>
      <c r="E76">
        <f t="shared" si="17"/>
        <v>3</v>
      </c>
      <c r="F76">
        <v>31.25</v>
      </c>
      <c r="G76" s="14" t="s">
        <v>189</v>
      </c>
      <c r="H76">
        <v>50</v>
      </c>
      <c r="I76">
        <f>16.35117682*1.059464^H76</f>
        <v>293.66975814369101</v>
      </c>
      <c r="J76">
        <f>ABS( H76-H75)</f>
        <v>2</v>
      </c>
    </row>
    <row r="77" spans="1:10" x14ac:dyDescent="0.2">
      <c r="A77">
        <v>21.5</v>
      </c>
      <c r="B77" s="14" t="s">
        <v>193</v>
      </c>
      <c r="C77">
        <v>60</v>
      </c>
      <c r="D77">
        <f t="shared" si="16"/>
        <v>523.26449507501752</v>
      </c>
      <c r="E77">
        <f t="shared" si="17"/>
        <v>2</v>
      </c>
      <c r="F77">
        <v>31.75</v>
      </c>
      <c r="G77" s="14" t="s">
        <v>146</v>
      </c>
      <c r="H77">
        <v>43</v>
      </c>
      <c r="I77">
        <f t="shared" ref="I77:I135" si="20">16.35117682*1.059464^H77</f>
        <v>195.99987576438383</v>
      </c>
      <c r="J77">
        <f>ABS( H77-H76)</f>
        <v>7</v>
      </c>
    </row>
    <row r="78" spans="1:10" x14ac:dyDescent="0.2">
      <c r="A78">
        <v>21.75</v>
      </c>
      <c r="B78" s="14" t="s">
        <v>200</v>
      </c>
      <c r="C78">
        <v>64</v>
      </c>
      <c r="D78">
        <f t="shared" si="16"/>
        <v>659.27420622217721</v>
      </c>
      <c r="E78">
        <f t="shared" si="17"/>
        <v>4</v>
      </c>
      <c r="F78">
        <v>32.25</v>
      </c>
      <c r="G78" s="14" t="s">
        <v>192</v>
      </c>
      <c r="H78">
        <v>55</v>
      </c>
      <c r="I78">
        <f t="shared" si="20"/>
        <v>392.00377257605692</v>
      </c>
      <c r="J78">
        <f t="shared" ref="J78:J85" si="21">ABS( H78-H77)</f>
        <v>12</v>
      </c>
    </row>
    <row r="79" spans="1:10" x14ac:dyDescent="0.2">
      <c r="A79">
        <v>22</v>
      </c>
      <c r="B79" s="14" t="s">
        <v>195</v>
      </c>
      <c r="C79">
        <v>62</v>
      </c>
      <c r="D79">
        <f t="shared" si="16"/>
        <v>587.34554108704231</v>
      </c>
      <c r="E79">
        <f t="shared" si="17"/>
        <v>2</v>
      </c>
      <c r="F79">
        <v>32.5</v>
      </c>
      <c r="G79" s="14" t="s">
        <v>191</v>
      </c>
      <c r="H79">
        <v>53</v>
      </c>
      <c r="I79">
        <f t="shared" si="20"/>
        <v>349.23506143398839</v>
      </c>
      <c r="J79">
        <f t="shared" si="21"/>
        <v>2</v>
      </c>
    </row>
    <row r="80" spans="1:10" x14ac:dyDescent="0.2">
      <c r="A80">
        <v>22.25</v>
      </c>
      <c r="B80" s="14" t="s">
        <v>197</v>
      </c>
      <c r="C80">
        <v>59</v>
      </c>
      <c r="D80">
        <f t="shared" si="16"/>
        <v>493.89549345236594</v>
      </c>
      <c r="E80">
        <f t="shared" si="17"/>
        <v>3</v>
      </c>
      <c r="F80">
        <v>32.75</v>
      </c>
      <c r="G80" s="14" t="s">
        <v>190</v>
      </c>
      <c r="H80">
        <v>52</v>
      </c>
      <c r="I80">
        <f t="shared" si="20"/>
        <v>329.63372180082422</v>
      </c>
      <c r="J80">
        <f t="shared" si="21"/>
        <v>1</v>
      </c>
    </row>
    <row r="81" spans="1:10" x14ac:dyDescent="0.2">
      <c r="A81">
        <v>22.375</v>
      </c>
      <c r="B81" s="14" t="s">
        <v>193</v>
      </c>
      <c r="C81">
        <v>60</v>
      </c>
      <c r="D81">
        <f t="shared" si="16"/>
        <v>523.26449507501752</v>
      </c>
      <c r="E81">
        <f t="shared" si="17"/>
        <v>1</v>
      </c>
      <c r="F81">
        <v>33</v>
      </c>
      <c r="G81" s="14" t="s">
        <v>189</v>
      </c>
      <c r="H81">
        <v>50</v>
      </c>
      <c r="I81">
        <f t="shared" si="20"/>
        <v>293.66975814369101</v>
      </c>
      <c r="J81">
        <f t="shared" si="21"/>
        <v>2</v>
      </c>
    </row>
    <row r="82" spans="1:10" x14ac:dyDescent="0.2">
      <c r="A82">
        <v>22.5</v>
      </c>
      <c r="B82" s="14" t="s">
        <v>195</v>
      </c>
      <c r="C82">
        <v>62</v>
      </c>
      <c r="D82">
        <f t="shared" si="16"/>
        <v>587.34554108704231</v>
      </c>
      <c r="E82">
        <f t="shared" si="17"/>
        <v>2</v>
      </c>
      <c r="F82">
        <v>33.25</v>
      </c>
      <c r="G82" s="14" t="s">
        <v>191</v>
      </c>
      <c r="H82">
        <v>53</v>
      </c>
      <c r="I82">
        <f t="shared" si="20"/>
        <v>349.23506143398839</v>
      </c>
      <c r="J82">
        <f t="shared" si="21"/>
        <v>3</v>
      </c>
    </row>
    <row r="83" spans="1:10" x14ac:dyDescent="0.2">
      <c r="A83">
        <v>22.75</v>
      </c>
      <c r="B83" s="14" t="s">
        <v>198</v>
      </c>
      <c r="C83">
        <v>67</v>
      </c>
      <c r="D83">
        <f t="shared" si="16"/>
        <v>784.01558732918636</v>
      </c>
      <c r="E83">
        <f t="shared" si="17"/>
        <v>5</v>
      </c>
      <c r="F83">
        <v>33.5</v>
      </c>
      <c r="G83" s="14" t="s">
        <v>190</v>
      </c>
      <c r="H83">
        <v>52</v>
      </c>
      <c r="I83">
        <f t="shared" si="20"/>
        <v>329.63372180082422</v>
      </c>
      <c r="J83">
        <f t="shared" si="21"/>
        <v>1</v>
      </c>
    </row>
    <row r="84" spans="1:10" x14ac:dyDescent="0.2">
      <c r="A84">
        <v>23</v>
      </c>
      <c r="B84" s="14" t="s">
        <v>197</v>
      </c>
      <c r="C84">
        <v>59</v>
      </c>
      <c r="D84">
        <f t="shared" si="16"/>
        <v>493.89549345236594</v>
      </c>
      <c r="E84">
        <f t="shared" si="17"/>
        <v>8</v>
      </c>
      <c r="F84">
        <v>33.75</v>
      </c>
      <c r="G84" s="14" t="s">
        <v>192</v>
      </c>
      <c r="H84">
        <v>55</v>
      </c>
      <c r="I84">
        <f t="shared" si="20"/>
        <v>392.00377257605692</v>
      </c>
      <c r="J84">
        <f t="shared" si="21"/>
        <v>3</v>
      </c>
    </row>
    <row r="85" spans="1:10" x14ac:dyDescent="0.2">
      <c r="A85">
        <v>23.25</v>
      </c>
      <c r="B85" s="14" t="s">
        <v>196</v>
      </c>
      <c r="C85">
        <v>57</v>
      </c>
      <c r="D85">
        <f t="shared" si="16"/>
        <v>440.01010976071973</v>
      </c>
      <c r="E85">
        <f t="shared" si="17"/>
        <v>2</v>
      </c>
      <c r="F85">
        <v>34</v>
      </c>
      <c r="G85" s="14" t="s">
        <v>191</v>
      </c>
      <c r="H85">
        <v>53</v>
      </c>
      <c r="I85">
        <f t="shared" si="20"/>
        <v>349.23506143398839</v>
      </c>
      <c r="J85">
        <f t="shared" si="21"/>
        <v>2</v>
      </c>
    </row>
    <row r="86" spans="1:10" x14ac:dyDescent="0.2">
      <c r="A86">
        <v>23.5</v>
      </c>
      <c r="B86" s="14" t="s">
        <v>192</v>
      </c>
      <c r="C86">
        <v>55</v>
      </c>
      <c r="D86">
        <f t="shared" si="16"/>
        <v>392.00377257605692</v>
      </c>
      <c r="E86">
        <f t="shared" si="17"/>
        <v>2</v>
      </c>
      <c r="F86">
        <v>34.5</v>
      </c>
      <c r="G86" s="14" t="s">
        <v>190</v>
      </c>
      <c r="H86">
        <v>52</v>
      </c>
      <c r="I86">
        <f t="shared" si="20"/>
        <v>329.63372180082422</v>
      </c>
      <c r="J86">
        <f>ABS( H86-H85)</f>
        <v>1</v>
      </c>
    </row>
    <row r="87" spans="1:10" x14ac:dyDescent="0.2">
      <c r="A87">
        <v>23.75</v>
      </c>
      <c r="B87" s="14" t="s">
        <v>192</v>
      </c>
      <c r="C87">
        <v>55</v>
      </c>
      <c r="D87">
        <f t="shared" si="16"/>
        <v>392.00377257605692</v>
      </c>
      <c r="E87">
        <f t="shared" si="17"/>
        <v>0</v>
      </c>
      <c r="F87">
        <v>35</v>
      </c>
      <c r="G87" s="14" t="s">
        <v>191</v>
      </c>
      <c r="H87">
        <v>53</v>
      </c>
      <c r="I87">
        <f t="shared" si="20"/>
        <v>349.23506143398839</v>
      </c>
      <c r="J87">
        <f>ABS( H87-H86)</f>
        <v>1</v>
      </c>
    </row>
    <row r="88" spans="1:10" x14ac:dyDescent="0.2">
      <c r="A88">
        <v>26.25</v>
      </c>
      <c r="B88" s="14" t="s">
        <v>192</v>
      </c>
      <c r="C88">
        <v>55</v>
      </c>
      <c r="D88">
        <f t="shared" ref="D88:D95" si="22">16.35117682*1.059464^C88</f>
        <v>392.00377257605692</v>
      </c>
      <c r="E88">
        <f>ABS( C88-C87)</f>
        <v>0</v>
      </c>
      <c r="F88">
        <v>35.5</v>
      </c>
      <c r="G88" s="14" t="s">
        <v>189</v>
      </c>
      <c r="H88">
        <v>50</v>
      </c>
      <c r="I88">
        <f t="shared" si="20"/>
        <v>293.66975814369101</v>
      </c>
      <c r="J88">
        <f>ABS( H88-H87)</f>
        <v>3</v>
      </c>
    </row>
    <row r="89" spans="1:10" x14ac:dyDescent="0.2">
      <c r="A89">
        <v>26.5</v>
      </c>
      <c r="B89" s="14" t="s">
        <v>196</v>
      </c>
      <c r="C89">
        <v>57</v>
      </c>
      <c r="D89">
        <f t="shared" si="22"/>
        <v>440.01010976071973</v>
      </c>
      <c r="E89">
        <f>ABS( C89-C88)</f>
        <v>2</v>
      </c>
      <c r="F89">
        <v>36</v>
      </c>
      <c r="G89" s="14" t="s">
        <v>190</v>
      </c>
      <c r="H89">
        <v>52</v>
      </c>
      <c r="I89">
        <f t="shared" si="20"/>
        <v>329.63372180082422</v>
      </c>
      <c r="J89">
        <f>ABS( H89-H88)</f>
        <v>2</v>
      </c>
    </row>
    <row r="90" spans="1:10" x14ac:dyDescent="0.2">
      <c r="A90">
        <v>26.75</v>
      </c>
      <c r="B90" s="14" t="s">
        <v>197</v>
      </c>
      <c r="C90">
        <v>59</v>
      </c>
      <c r="D90">
        <f t="shared" si="22"/>
        <v>493.89549345236594</v>
      </c>
      <c r="E90">
        <f t="shared" ref="E90:E95" si="23">ABS( C90-C89)</f>
        <v>2</v>
      </c>
      <c r="F90">
        <v>36.25</v>
      </c>
      <c r="G90" s="14" t="s">
        <v>196</v>
      </c>
      <c r="H90">
        <v>57</v>
      </c>
      <c r="I90">
        <f t="shared" si="20"/>
        <v>440.01010976071973</v>
      </c>
      <c r="J90">
        <f t="shared" ref="J90:J97" si="24">ABS( H90-H89)</f>
        <v>5</v>
      </c>
    </row>
    <row r="91" spans="1:10" x14ac:dyDescent="0.2">
      <c r="A91">
        <v>27</v>
      </c>
      <c r="B91" s="14" t="s">
        <v>193</v>
      </c>
      <c r="C91">
        <v>60</v>
      </c>
      <c r="D91">
        <f t="shared" si="22"/>
        <v>523.26449507501752</v>
      </c>
      <c r="E91">
        <f t="shared" si="23"/>
        <v>1</v>
      </c>
      <c r="F91">
        <v>36.5</v>
      </c>
      <c r="G91" s="14" t="s">
        <v>192</v>
      </c>
      <c r="H91">
        <v>55</v>
      </c>
      <c r="I91">
        <f t="shared" si="20"/>
        <v>392.00377257605692</v>
      </c>
      <c r="J91">
        <f t="shared" si="24"/>
        <v>2</v>
      </c>
    </row>
    <row r="92" spans="1:10" x14ac:dyDescent="0.2">
      <c r="A92">
        <v>27.25</v>
      </c>
      <c r="B92" s="14" t="s">
        <v>196</v>
      </c>
      <c r="C92">
        <v>57</v>
      </c>
      <c r="D92">
        <f t="shared" si="22"/>
        <v>440.01010976071973</v>
      </c>
      <c r="E92">
        <f t="shared" si="23"/>
        <v>3</v>
      </c>
      <c r="F92">
        <v>36.75</v>
      </c>
      <c r="G92" s="14" t="s">
        <v>191</v>
      </c>
      <c r="H92">
        <v>53</v>
      </c>
      <c r="I92">
        <f t="shared" si="20"/>
        <v>349.23506143398839</v>
      </c>
      <c r="J92">
        <f t="shared" si="24"/>
        <v>2</v>
      </c>
    </row>
    <row r="93" spans="1:10" x14ac:dyDescent="0.2">
      <c r="A93">
        <v>27.5</v>
      </c>
      <c r="B93" s="14" t="s">
        <v>197</v>
      </c>
      <c r="C93">
        <v>59</v>
      </c>
      <c r="D93">
        <f t="shared" si="22"/>
        <v>493.89549345236594</v>
      </c>
      <c r="E93">
        <f t="shared" si="23"/>
        <v>2</v>
      </c>
      <c r="F93">
        <v>37</v>
      </c>
      <c r="G93" s="14" t="s">
        <v>190</v>
      </c>
      <c r="H93">
        <v>52</v>
      </c>
      <c r="I93">
        <f t="shared" si="20"/>
        <v>329.63372180082422</v>
      </c>
      <c r="J93">
        <f t="shared" si="24"/>
        <v>1</v>
      </c>
    </row>
    <row r="94" spans="1:10" x14ac:dyDescent="0.2">
      <c r="A94">
        <v>27.75</v>
      </c>
      <c r="B94" s="14" t="s">
        <v>192</v>
      </c>
      <c r="C94">
        <v>55</v>
      </c>
      <c r="D94">
        <f t="shared" si="22"/>
        <v>392.00377257605692</v>
      </c>
      <c r="E94">
        <f t="shared" si="23"/>
        <v>4</v>
      </c>
      <c r="F94">
        <v>37.25</v>
      </c>
      <c r="G94" s="14" t="s">
        <v>192</v>
      </c>
      <c r="H94">
        <v>55</v>
      </c>
      <c r="I94">
        <f t="shared" si="20"/>
        <v>392.00377257605692</v>
      </c>
      <c r="J94">
        <f t="shared" si="24"/>
        <v>3</v>
      </c>
    </row>
    <row r="95" spans="1:10" x14ac:dyDescent="0.2">
      <c r="A95">
        <v>28</v>
      </c>
      <c r="B95" s="14" t="s">
        <v>257</v>
      </c>
      <c r="C95">
        <v>54</v>
      </c>
      <c r="D95">
        <f t="shared" si="22"/>
        <v>370.00197512709912</v>
      </c>
      <c r="E95">
        <f t="shared" si="23"/>
        <v>1</v>
      </c>
      <c r="F95">
        <v>37.5</v>
      </c>
      <c r="G95" s="14" t="s">
        <v>191</v>
      </c>
      <c r="H95">
        <v>53</v>
      </c>
      <c r="I95">
        <f t="shared" si="20"/>
        <v>349.23506143398839</v>
      </c>
      <c r="J95">
        <f t="shared" si="24"/>
        <v>2</v>
      </c>
    </row>
    <row r="96" spans="1:10" x14ac:dyDescent="0.2">
      <c r="A96">
        <v>30.25</v>
      </c>
      <c r="B96" s="14" t="s">
        <v>196</v>
      </c>
      <c r="C96">
        <v>57</v>
      </c>
      <c r="D96">
        <f t="shared" ref="D96:D103" si="25">16.35117682*1.059464^C96</f>
        <v>440.01010976071973</v>
      </c>
      <c r="E96">
        <f>ABS( C96-C95)</f>
        <v>3</v>
      </c>
      <c r="F96">
        <v>37.75</v>
      </c>
      <c r="G96" s="14" t="s">
        <v>196</v>
      </c>
      <c r="H96">
        <v>57</v>
      </c>
      <c r="I96">
        <f t="shared" si="20"/>
        <v>440.01010976071973</v>
      </c>
      <c r="J96">
        <f t="shared" si="24"/>
        <v>4</v>
      </c>
    </row>
    <row r="97" spans="1:10" x14ac:dyDescent="0.2">
      <c r="A97">
        <v>30.5</v>
      </c>
      <c r="B97" s="14" t="s">
        <v>197</v>
      </c>
      <c r="C97">
        <v>59</v>
      </c>
      <c r="D97">
        <f t="shared" si="25"/>
        <v>493.89549345236594</v>
      </c>
      <c r="E97">
        <f t="shared" ref="E97:E103" si="26">ABS( C97-C96)</f>
        <v>2</v>
      </c>
      <c r="F97">
        <v>38</v>
      </c>
      <c r="G97" s="14" t="s">
        <v>192</v>
      </c>
      <c r="H97">
        <v>55</v>
      </c>
      <c r="I97">
        <f t="shared" si="20"/>
        <v>392.00377257605692</v>
      </c>
      <c r="J97">
        <f t="shared" si="24"/>
        <v>2</v>
      </c>
    </row>
    <row r="98" spans="1:10" x14ac:dyDescent="0.2">
      <c r="A98">
        <v>30.75</v>
      </c>
      <c r="B98" s="14" t="s">
        <v>193</v>
      </c>
      <c r="C98">
        <v>60</v>
      </c>
      <c r="D98">
        <f t="shared" si="25"/>
        <v>523.26449507501752</v>
      </c>
      <c r="E98">
        <f t="shared" si="26"/>
        <v>1</v>
      </c>
      <c r="F98">
        <v>38.5</v>
      </c>
      <c r="G98" s="14" t="s">
        <v>191</v>
      </c>
      <c r="H98">
        <v>53</v>
      </c>
      <c r="I98">
        <f t="shared" si="20"/>
        <v>349.23506143398839</v>
      </c>
      <c r="J98">
        <f>ABS( H98-H97)</f>
        <v>2</v>
      </c>
    </row>
    <row r="99" spans="1:10" x14ac:dyDescent="0.2">
      <c r="A99">
        <v>31</v>
      </c>
      <c r="B99" s="14" t="s">
        <v>195</v>
      </c>
      <c r="C99">
        <v>62</v>
      </c>
      <c r="D99">
        <f t="shared" si="25"/>
        <v>587.34554108704231</v>
      </c>
      <c r="E99">
        <f t="shared" si="26"/>
        <v>2</v>
      </c>
      <c r="F99">
        <v>39</v>
      </c>
      <c r="G99" s="14" t="s">
        <v>192</v>
      </c>
      <c r="H99">
        <v>55</v>
      </c>
      <c r="I99">
        <f t="shared" si="20"/>
        <v>392.00377257605692</v>
      </c>
      <c r="J99">
        <f>ABS( H99-H98)</f>
        <v>2</v>
      </c>
    </row>
    <row r="100" spans="1:10" x14ac:dyDescent="0.2">
      <c r="A100">
        <v>31.25</v>
      </c>
      <c r="B100" s="14" t="s">
        <v>197</v>
      </c>
      <c r="C100">
        <v>59</v>
      </c>
      <c r="D100">
        <f t="shared" si="25"/>
        <v>493.89549345236594</v>
      </c>
      <c r="E100">
        <f t="shared" si="26"/>
        <v>3</v>
      </c>
      <c r="F100">
        <v>39.5</v>
      </c>
      <c r="G100" s="14" t="s">
        <v>190</v>
      </c>
      <c r="H100">
        <v>52</v>
      </c>
      <c r="I100">
        <f t="shared" si="20"/>
        <v>329.63372180082422</v>
      </c>
      <c r="J100">
        <f>ABS( H100-H99)</f>
        <v>3</v>
      </c>
    </row>
    <row r="101" spans="1:10" x14ac:dyDescent="0.2">
      <c r="A101">
        <v>31.5</v>
      </c>
      <c r="B101" s="14" t="s">
        <v>193</v>
      </c>
      <c r="C101">
        <v>60</v>
      </c>
      <c r="D101">
        <f t="shared" si="25"/>
        <v>523.26449507501752</v>
      </c>
      <c r="E101">
        <f t="shared" si="26"/>
        <v>1</v>
      </c>
      <c r="F101">
        <v>40</v>
      </c>
      <c r="G101" s="14" t="s">
        <v>191</v>
      </c>
      <c r="H101">
        <v>53</v>
      </c>
      <c r="I101">
        <f t="shared" si="20"/>
        <v>349.23506143398839</v>
      </c>
      <c r="J101">
        <f>ABS( H101-H100)</f>
        <v>1</v>
      </c>
    </row>
    <row r="102" spans="1:10" x14ac:dyDescent="0.2">
      <c r="A102">
        <v>31.75</v>
      </c>
      <c r="B102" s="14" t="s">
        <v>196</v>
      </c>
      <c r="C102">
        <v>57</v>
      </c>
      <c r="D102">
        <f t="shared" si="25"/>
        <v>440.01010976071973</v>
      </c>
      <c r="E102">
        <f t="shared" si="26"/>
        <v>3</v>
      </c>
      <c r="F102">
        <v>40.25</v>
      </c>
      <c r="G102" s="14" t="s">
        <v>411</v>
      </c>
      <c r="H102">
        <v>58</v>
      </c>
      <c r="I102">
        <f t="shared" si="20"/>
        <v>466.17487092753117</v>
      </c>
      <c r="J102">
        <f t="shared" ref="J102:J133" si="27">ABS( H102-H101)</f>
        <v>5</v>
      </c>
    </row>
    <row r="103" spans="1:10" x14ac:dyDescent="0.2">
      <c r="A103">
        <v>32</v>
      </c>
      <c r="B103" s="14" t="s">
        <v>197</v>
      </c>
      <c r="C103">
        <v>59</v>
      </c>
      <c r="D103">
        <f t="shared" si="25"/>
        <v>493.89549345236594</v>
      </c>
      <c r="E103">
        <f t="shared" si="26"/>
        <v>2</v>
      </c>
      <c r="F103">
        <v>40.5</v>
      </c>
      <c r="G103" s="14" t="s">
        <v>196</v>
      </c>
      <c r="H103">
        <v>57</v>
      </c>
      <c r="I103">
        <f t="shared" si="20"/>
        <v>440.01010976071973</v>
      </c>
      <c r="J103">
        <f t="shared" si="27"/>
        <v>1</v>
      </c>
    </row>
    <row r="104" spans="1:10" x14ac:dyDescent="0.2">
      <c r="A104">
        <v>34.25</v>
      </c>
      <c r="B104" s="14" t="s">
        <v>195</v>
      </c>
      <c r="C104">
        <v>62</v>
      </c>
      <c r="D104">
        <f t="shared" ref="D104:D111" si="28">16.35117682*1.059464^C104</f>
        <v>587.34554108704231</v>
      </c>
      <c r="E104">
        <f>ABS( C104-C103)</f>
        <v>3</v>
      </c>
      <c r="F104">
        <v>40.75</v>
      </c>
      <c r="G104" s="14" t="s">
        <v>192</v>
      </c>
      <c r="H104">
        <v>55</v>
      </c>
      <c r="I104">
        <f t="shared" si="20"/>
        <v>392.00377257605692</v>
      </c>
      <c r="J104">
        <f t="shared" si="27"/>
        <v>2</v>
      </c>
    </row>
    <row r="105" spans="1:10" x14ac:dyDescent="0.2">
      <c r="A105">
        <v>34.5</v>
      </c>
      <c r="B105" s="14" t="s">
        <v>193</v>
      </c>
      <c r="C105">
        <v>60</v>
      </c>
      <c r="D105">
        <f t="shared" si="28"/>
        <v>523.26449507501752</v>
      </c>
      <c r="E105">
        <f t="shared" ref="E105:E112" si="29">ABS( C105-C104)</f>
        <v>2</v>
      </c>
      <c r="F105">
        <v>41</v>
      </c>
      <c r="G105" s="14" t="s">
        <v>191</v>
      </c>
      <c r="H105">
        <v>53</v>
      </c>
      <c r="I105">
        <f t="shared" si="20"/>
        <v>349.23506143398839</v>
      </c>
      <c r="J105">
        <f t="shared" si="27"/>
        <v>2</v>
      </c>
    </row>
    <row r="106" spans="1:10" x14ac:dyDescent="0.2">
      <c r="A106">
        <v>34.75</v>
      </c>
      <c r="B106" s="14" t="s">
        <v>197</v>
      </c>
      <c r="C106">
        <v>59</v>
      </c>
      <c r="D106">
        <f t="shared" si="28"/>
        <v>493.89549345236594</v>
      </c>
      <c r="E106">
        <f t="shared" si="29"/>
        <v>1</v>
      </c>
      <c r="F106">
        <v>41.25</v>
      </c>
      <c r="G106" s="14" t="s">
        <v>196</v>
      </c>
      <c r="H106">
        <v>57</v>
      </c>
      <c r="I106">
        <f t="shared" si="20"/>
        <v>440.01010976071973</v>
      </c>
      <c r="J106">
        <f t="shared" si="27"/>
        <v>4</v>
      </c>
    </row>
    <row r="107" spans="1:10" x14ac:dyDescent="0.2">
      <c r="A107">
        <v>35</v>
      </c>
      <c r="B107" s="14" t="s">
        <v>196</v>
      </c>
      <c r="C107">
        <v>57</v>
      </c>
      <c r="D107">
        <f t="shared" si="28"/>
        <v>440.01010976071973</v>
      </c>
      <c r="E107">
        <f t="shared" si="29"/>
        <v>2</v>
      </c>
      <c r="F107">
        <v>41.5</v>
      </c>
      <c r="G107" s="14" t="s">
        <v>192</v>
      </c>
      <c r="H107">
        <v>55</v>
      </c>
      <c r="I107">
        <f t="shared" si="20"/>
        <v>392.00377257605692</v>
      </c>
      <c r="J107">
        <f t="shared" si="27"/>
        <v>2</v>
      </c>
    </row>
    <row r="108" spans="1:10" x14ac:dyDescent="0.2">
      <c r="A108">
        <v>35.25</v>
      </c>
      <c r="B108" s="14" t="s">
        <v>193</v>
      </c>
      <c r="C108">
        <v>60</v>
      </c>
      <c r="D108">
        <f t="shared" si="28"/>
        <v>523.26449507501752</v>
      </c>
      <c r="E108">
        <f t="shared" si="29"/>
        <v>3</v>
      </c>
      <c r="F108">
        <v>41.75</v>
      </c>
      <c r="G108" s="14" t="s">
        <v>411</v>
      </c>
      <c r="H108">
        <v>58</v>
      </c>
      <c r="I108">
        <f t="shared" si="20"/>
        <v>466.17487092753117</v>
      </c>
      <c r="J108">
        <f t="shared" si="27"/>
        <v>3</v>
      </c>
    </row>
    <row r="109" spans="1:10" x14ac:dyDescent="0.2">
      <c r="A109">
        <v>35.5</v>
      </c>
      <c r="B109" s="14" t="s">
        <v>197</v>
      </c>
      <c r="C109">
        <v>59</v>
      </c>
      <c r="D109">
        <f t="shared" si="28"/>
        <v>493.89549345236594</v>
      </c>
      <c r="E109">
        <f t="shared" si="29"/>
        <v>1</v>
      </c>
      <c r="F109">
        <v>42</v>
      </c>
      <c r="G109" s="14" t="s">
        <v>196</v>
      </c>
      <c r="H109">
        <v>57</v>
      </c>
      <c r="I109">
        <f t="shared" si="20"/>
        <v>440.01010976071973</v>
      </c>
      <c r="J109">
        <f t="shared" si="27"/>
        <v>1</v>
      </c>
    </row>
    <row r="110" spans="1:10" x14ac:dyDescent="0.2">
      <c r="A110">
        <v>35.75</v>
      </c>
      <c r="B110" s="14" t="s">
        <v>195</v>
      </c>
      <c r="C110">
        <v>62</v>
      </c>
      <c r="D110">
        <f t="shared" si="28"/>
        <v>587.34554108704231</v>
      </c>
      <c r="E110">
        <f t="shared" si="29"/>
        <v>3</v>
      </c>
      <c r="F110">
        <v>42.25</v>
      </c>
      <c r="G110" s="14" t="s">
        <v>192</v>
      </c>
      <c r="H110">
        <v>55</v>
      </c>
      <c r="I110">
        <f t="shared" si="20"/>
        <v>392.00377257605692</v>
      </c>
      <c r="J110">
        <f t="shared" si="27"/>
        <v>2</v>
      </c>
    </row>
    <row r="111" spans="1:10" x14ac:dyDescent="0.2">
      <c r="A111">
        <v>36</v>
      </c>
      <c r="B111" s="14" t="s">
        <v>193</v>
      </c>
      <c r="C111">
        <v>60</v>
      </c>
      <c r="D111">
        <f t="shared" si="28"/>
        <v>523.26449507501752</v>
      </c>
      <c r="E111">
        <f t="shared" si="29"/>
        <v>2</v>
      </c>
      <c r="F111">
        <v>42.5</v>
      </c>
      <c r="G111" s="14" t="s">
        <v>191</v>
      </c>
      <c r="H111">
        <v>53</v>
      </c>
      <c r="I111">
        <f t="shared" si="20"/>
        <v>349.23506143398839</v>
      </c>
      <c r="J111">
        <f t="shared" si="27"/>
        <v>2</v>
      </c>
    </row>
    <row r="112" spans="1:10" x14ac:dyDescent="0.2">
      <c r="A112">
        <v>38.25</v>
      </c>
      <c r="B112" s="14" t="s">
        <v>200</v>
      </c>
      <c r="C112">
        <v>64</v>
      </c>
      <c r="D112">
        <f t="shared" ref="D112:D119" si="30">16.35117682*1.059464^C112</f>
        <v>659.27420622217721</v>
      </c>
      <c r="E112">
        <f t="shared" si="29"/>
        <v>4</v>
      </c>
      <c r="F112">
        <v>42.75</v>
      </c>
      <c r="G112" s="14" t="s">
        <v>190</v>
      </c>
      <c r="H112">
        <v>52</v>
      </c>
      <c r="I112">
        <f t="shared" si="20"/>
        <v>329.63372180082422</v>
      </c>
      <c r="J112">
        <f t="shared" si="27"/>
        <v>1</v>
      </c>
    </row>
    <row r="113" spans="1:10" x14ac:dyDescent="0.2">
      <c r="A113">
        <v>38.5</v>
      </c>
      <c r="B113" s="14" t="s">
        <v>195</v>
      </c>
      <c r="C113">
        <v>62</v>
      </c>
      <c r="D113">
        <f t="shared" si="30"/>
        <v>587.34554108704231</v>
      </c>
      <c r="E113">
        <f t="shared" ref="E113:E119" si="31">ABS( C113-C112)</f>
        <v>2</v>
      </c>
      <c r="F113">
        <v>43</v>
      </c>
      <c r="G113" s="14" t="s">
        <v>189</v>
      </c>
      <c r="H113">
        <v>50</v>
      </c>
      <c r="I113">
        <f t="shared" si="20"/>
        <v>293.66975814369101</v>
      </c>
      <c r="J113">
        <f t="shared" si="27"/>
        <v>2</v>
      </c>
    </row>
    <row r="114" spans="1:10" x14ac:dyDescent="0.2">
      <c r="A114">
        <v>38.75</v>
      </c>
      <c r="B114" s="14" t="s">
        <v>193</v>
      </c>
      <c r="C114">
        <v>60</v>
      </c>
      <c r="D114">
        <f t="shared" si="30"/>
        <v>523.26449507501752</v>
      </c>
      <c r="E114">
        <f t="shared" si="31"/>
        <v>2</v>
      </c>
      <c r="F114">
        <v>43.25</v>
      </c>
      <c r="G114" s="14" t="s">
        <v>191</v>
      </c>
      <c r="H114">
        <v>53</v>
      </c>
      <c r="I114">
        <f t="shared" si="20"/>
        <v>349.23506143398839</v>
      </c>
      <c r="J114">
        <f t="shared" si="27"/>
        <v>3</v>
      </c>
    </row>
    <row r="115" spans="1:10" x14ac:dyDescent="0.2">
      <c r="A115">
        <v>39</v>
      </c>
      <c r="B115" s="14" t="s">
        <v>197</v>
      </c>
      <c r="C115">
        <v>59</v>
      </c>
      <c r="D115">
        <f t="shared" si="30"/>
        <v>493.89549345236594</v>
      </c>
      <c r="E115">
        <f t="shared" si="31"/>
        <v>1</v>
      </c>
      <c r="F115">
        <v>43.5</v>
      </c>
      <c r="G115" s="14" t="s">
        <v>190</v>
      </c>
      <c r="H115">
        <v>52</v>
      </c>
      <c r="I115">
        <f t="shared" si="20"/>
        <v>329.63372180082422</v>
      </c>
      <c r="J115">
        <f t="shared" si="27"/>
        <v>1</v>
      </c>
    </row>
    <row r="116" spans="1:10" x14ac:dyDescent="0.2">
      <c r="A116">
        <v>39.25</v>
      </c>
      <c r="B116" s="14" t="s">
        <v>195</v>
      </c>
      <c r="C116">
        <v>62</v>
      </c>
      <c r="D116">
        <f t="shared" si="30"/>
        <v>587.34554108704231</v>
      </c>
      <c r="E116">
        <f t="shared" si="31"/>
        <v>3</v>
      </c>
      <c r="F116">
        <v>43.75</v>
      </c>
      <c r="G116" s="14" t="s">
        <v>192</v>
      </c>
      <c r="H116">
        <v>55</v>
      </c>
      <c r="I116">
        <f t="shared" si="20"/>
        <v>392.00377257605692</v>
      </c>
      <c r="J116">
        <f t="shared" si="27"/>
        <v>3</v>
      </c>
    </row>
    <row r="117" spans="1:10" x14ac:dyDescent="0.2">
      <c r="A117">
        <v>39.5</v>
      </c>
      <c r="B117" s="14" t="s">
        <v>407</v>
      </c>
      <c r="C117">
        <v>61</v>
      </c>
      <c r="D117">
        <f t="shared" si="30"/>
        <v>554.37989501015818</v>
      </c>
      <c r="E117">
        <f t="shared" si="31"/>
        <v>1</v>
      </c>
      <c r="F117">
        <v>44</v>
      </c>
      <c r="G117" s="14" t="s">
        <v>191</v>
      </c>
      <c r="H117">
        <v>53</v>
      </c>
      <c r="I117">
        <f t="shared" si="20"/>
        <v>349.23506143398839</v>
      </c>
      <c r="J117">
        <f t="shared" si="27"/>
        <v>2</v>
      </c>
    </row>
    <row r="118" spans="1:10" x14ac:dyDescent="0.2">
      <c r="A118">
        <v>39.75</v>
      </c>
      <c r="B118" s="14" t="s">
        <v>200</v>
      </c>
      <c r="C118">
        <v>64</v>
      </c>
      <c r="D118">
        <f t="shared" si="30"/>
        <v>659.27420622217721</v>
      </c>
      <c r="E118">
        <f t="shared" si="31"/>
        <v>3</v>
      </c>
      <c r="F118">
        <v>44.25</v>
      </c>
      <c r="G118" s="14" t="s">
        <v>190</v>
      </c>
      <c r="H118">
        <v>52</v>
      </c>
      <c r="I118">
        <f t="shared" si="20"/>
        <v>329.63372180082422</v>
      </c>
      <c r="J118">
        <f t="shared" si="27"/>
        <v>1</v>
      </c>
    </row>
    <row r="119" spans="1:10" x14ac:dyDescent="0.2">
      <c r="A119">
        <v>40</v>
      </c>
      <c r="B119" s="14" t="s">
        <v>195</v>
      </c>
      <c r="C119">
        <v>62</v>
      </c>
      <c r="D119">
        <f t="shared" si="30"/>
        <v>587.34554108704231</v>
      </c>
      <c r="E119">
        <f t="shared" si="31"/>
        <v>2</v>
      </c>
      <c r="F119">
        <v>44.5</v>
      </c>
      <c r="G119" s="14" t="s">
        <v>189</v>
      </c>
      <c r="H119">
        <v>50</v>
      </c>
      <c r="I119">
        <f t="shared" si="20"/>
        <v>293.66975814369101</v>
      </c>
      <c r="J119">
        <f t="shared" si="27"/>
        <v>2</v>
      </c>
    </row>
    <row r="120" spans="1:10" x14ac:dyDescent="0.2">
      <c r="A120">
        <v>40.5</v>
      </c>
      <c r="B120" s="14" t="s">
        <v>407</v>
      </c>
      <c r="C120">
        <v>61</v>
      </c>
      <c r="D120">
        <f t="shared" ref="D120:D133" si="32">16.35117682*1.059464^C120</f>
        <v>554.37989501015818</v>
      </c>
      <c r="E120">
        <f t="shared" ref="E120:E134" si="33">ABS( C120-C119)</f>
        <v>1</v>
      </c>
      <c r="F120">
        <v>44.75</v>
      </c>
      <c r="G120" s="14" t="s">
        <v>188</v>
      </c>
      <c r="H120">
        <v>48</v>
      </c>
      <c r="I120">
        <f t="shared" si="20"/>
        <v>261.62956379894968</v>
      </c>
      <c r="J120">
        <f t="shared" si="27"/>
        <v>2</v>
      </c>
    </row>
    <row r="121" spans="1:10" x14ac:dyDescent="0.2">
      <c r="A121">
        <v>41</v>
      </c>
      <c r="B121" s="14" t="s">
        <v>195</v>
      </c>
      <c r="C121">
        <v>62</v>
      </c>
      <c r="D121">
        <f t="shared" si="32"/>
        <v>587.34554108704231</v>
      </c>
      <c r="E121">
        <f t="shared" si="33"/>
        <v>1</v>
      </c>
      <c r="F121">
        <v>45</v>
      </c>
      <c r="G121" s="14" t="s">
        <v>149</v>
      </c>
      <c r="H121">
        <v>47</v>
      </c>
      <c r="I121">
        <f t="shared" si="20"/>
        <v>246.94521361646048</v>
      </c>
      <c r="J121">
        <f t="shared" si="27"/>
        <v>1</v>
      </c>
    </row>
    <row r="122" spans="1:10" x14ac:dyDescent="0.2">
      <c r="A122">
        <v>41.5</v>
      </c>
      <c r="B122" s="14" t="s">
        <v>200</v>
      </c>
      <c r="C122">
        <v>64</v>
      </c>
      <c r="D122">
        <f t="shared" si="32"/>
        <v>659.27420622217721</v>
      </c>
      <c r="E122">
        <f t="shared" si="33"/>
        <v>2</v>
      </c>
      <c r="F122">
        <v>45.25</v>
      </c>
      <c r="G122" s="14" t="s">
        <v>189</v>
      </c>
      <c r="H122">
        <v>50</v>
      </c>
      <c r="I122">
        <f t="shared" si="20"/>
        <v>293.66975814369101</v>
      </c>
      <c r="J122">
        <f t="shared" si="27"/>
        <v>3</v>
      </c>
    </row>
    <row r="123" spans="1:10" x14ac:dyDescent="0.2">
      <c r="A123">
        <v>42</v>
      </c>
      <c r="B123" s="14" t="s">
        <v>199</v>
      </c>
      <c r="C123">
        <v>65</v>
      </c>
      <c r="D123">
        <f t="shared" si="32"/>
        <v>698.47728762097279</v>
      </c>
      <c r="E123">
        <f t="shared" si="33"/>
        <v>1</v>
      </c>
      <c r="F123">
        <v>45.5</v>
      </c>
      <c r="G123" s="14" t="s">
        <v>188</v>
      </c>
      <c r="H123">
        <v>48</v>
      </c>
      <c r="I123">
        <f t="shared" si="20"/>
        <v>261.62956379894968</v>
      </c>
      <c r="J123">
        <f t="shared" si="27"/>
        <v>2</v>
      </c>
    </row>
    <row r="124" spans="1:10" x14ac:dyDescent="0.2">
      <c r="A124">
        <v>42.5</v>
      </c>
      <c r="B124" s="14" t="s">
        <v>196</v>
      </c>
      <c r="C124">
        <v>57</v>
      </c>
      <c r="D124">
        <f t="shared" si="32"/>
        <v>440.01010976071973</v>
      </c>
      <c r="E124">
        <f t="shared" si="33"/>
        <v>8</v>
      </c>
      <c r="F124">
        <v>45.75</v>
      </c>
      <c r="G124" s="14" t="s">
        <v>190</v>
      </c>
      <c r="H124">
        <v>52</v>
      </c>
      <c r="I124">
        <f t="shared" si="20"/>
        <v>329.63372180082422</v>
      </c>
      <c r="J124">
        <f t="shared" si="27"/>
        <v>4</v>
      </c>
    </row>
    <row r="125" spans="1:10" x14ac:dyDescent="0.2">
      <c r="A125">
        <v>43</v>
      </c>
      <c r="B125" s="14" t="s">
        <v>197</v>
      </c>
      <c r="C125">
        <v>59</v>
      </c>
      <c r="D125">
        <f t="shared" si="32"/>
        <v>493.89549345236594</v>
      </c>
      <c r="E125">
        <f t="shared" si="33"/>
        <v>2</v>
      </c>
      <c r="F125">
        <v>46</v>
      </c>
      <c r="G125" s="14" t="s">
        <v>189</v>
      </c>
      <c r="H125">
        <v>50</v>
      </c>
      <c r="I125">
        <f t="shared" si="20"/>
        <v>293.66975814369101</v>
      </c>
      <c r="J125">
        <f t="shared" si="27"/>
        <v>2</v>
      </c>
    </row>
    <row r="126" spans="1:10" x14ac:dyDescent="0.2">
      <c r="A126">
        <v>43.5</v>
      </c>
      <c r="B126" s="14" t="s">
        <v>193</v>
      </c>
      <c r="C126">
        <v>60</v>
      </c>
      <c r="D126">
        <f t="shared" si="32"/>
        <v>523.26449507501752</v>
      </c>
      <c r="E126">
        <f t="shared" si="33"/>
        <v>1</v>
      </c>
      <c r="F126">
        <v>46.25</v>
      </c>
      <c r="G126" s="14" t="s">
        <v>188</v>
      </c>
      <c r="H126">
        <v>48</v>
      </c>
      <c r="I126">
        <f t="shared" si="20"/>
        <v>261.62956379894968</v>
      </c>
      <c r="J126">
        <f t="shared" si="27"/>
        <v>2</v>
      </c>
    </row>
    <row r="127" spans="1:10" x14ac:dyDescent="0.2">
      <c r="A127">
        <v>44</v>
      </c>
      <c r="B127" s="14" t="s">
        <v>195</v>
      </c>
      <c r="C127">
        <v>62</v>
      </c>
      <c r="D127">
        <f t="shared" si="32"/>
        <v>587.34554108704231</v>
      </c>
      <c r="E127">
        <f t="shared" si="33"/>
        <v>2</v>
      </c>
      <c r="F127">
        <v>46.5</v>
      </c>
      <c r="G127" s="14" t="s">
        <v>149</v>
      </c>
      <c r="H127">
        <v>47</v>
      </c>
      <c r="I127">
        <f t="shared" si="20"/>
        <v>246.94521361646048</v>
      </c>
      <c r="J127">
        <f t="shared" si="27"/>
        <v>1</v>
      </c>
    </row>
    <row r="128" spans="1:10" x14ac:dyDescent="0.2">
      <c r="A128">
        <v>44.5</v>
      </c>
      <c r="B128" s="14" t="s">
        <v>257</v>
      </c>
      <c r="C128">
        <v>54</v>
      </c>
      <c r="D128">
        <f t="shared" si="32"/>
        <v>370.00197512709912</v>
      </c>
      <c r="E128">
        <f t="shared" si="33"/>
        <v>8</v>
      </c>
      <c r="F128">
        <v>46.75</v>
      </c>
      <c r="G128" s="14" t="s">
        <v>148</v>
      </c>
      <c r="H128">
        <v>45</v>
      </c>
      <c r="I128">
        <f t="shared" si="20"/>
        <v>220.00279814001337</v>
      </c>
      <c r="J128">
        <f t="shared" si="27"/>
        <v>2</v>
      </c>
    </row>
    <row r="129" spans="1:10" x14ac:dyDescent="0.2">
      <c r="A129">
        <v>45</v>
      </c>
      <c r="B129" s="14" t="s">
        <v>408</v>
      </c>
      <c r="C129">
        <v>56</v>
      </c>
      <c r="D129">
        <f t="shared" si="32"/>
        <v>415.31388490851958</v>
      </c>
      <c r="E129">
        <f t="shared" si="33"/>
        <v>2</v>
      </c>
      <c r="F129">
        <v>47</v>
      </c>
      <c r="G129" s="14" t="s">
        <v>290</v>
      </c>
      <c r="H129">
        <v>44</v>
      </c>
      <c r="I129">
        <f t="shared" si="20"/>
        <v>207.65481237683719</v>
      </c>
      <c r="J129">
        <f t="shared" si="27"/>
        <v>1</v>
      </c>
    </row>
    <row r="130" spans="1:10" x14ac:dyDescent="0.2">
      <c r="A130">
        <v>45.5</v>
      </c>
      <c r="B130" s="14" t="s">
        <v>196</v>
      </c>
      <c r="C130">
        <v>57</v>
      </c>
      <c r="D130">
        <f t="shared" si="32"/>
        <v>440.01010976071973</v>
      </c>
      <c r="E130">
        <f t="shared" si="33"/>
        <v>1</v>
      </c>
      <c r="F130">
        <v>47.25</v>
      </c>
      <c r="G130" s="14" t="s">
        <v>149</v>
      </c>
      <c r="H130">
        <v>47</v>
      </c>
      <c r="I130">
        <f t="shared" si="20"/>
        <v>246.94521361646048</v>
      </c>
      <c r="J130">
        <f t="shared" si="27"/>
        <v>3</v>
      </c>
    </row>
    <row r="131" spans="1:10" x14ac:dyDescent="0.2">
      <c r="A131">
        <v>46</v>
      </c>
      <c r="B131" s="14" t="s">
        <v>197</v>
      </c>
      <c r="C131">
        <v>59</v>
      </c>
      <c r="D131">
        <f t="shared" si="32"/>
        <v>493.89549345236594</v>
      </c>
      <c r="E131">
        <f t="shared" si="33"/>
        <v>2</v>
      </c>
      <c r="F131">
        <v>47.5</v>
      </c>
      <c r="G131" s="14" t="s">
        <v>148</v>
      </c>
      <c r="H131">
        <v>45</v>
      </c>
      <c r="I131">
        <f t="shared" si="20"/>
        <v>220.00279814001337</v>
      </c>
      <c r="J131">
        <f t="shared" si="27"/>
        <v>2</v>
      </c>
    </row>
    <row r="132" spans="1:10" x14ac:dyDescent="0.2">
      <c r="A132">
        <v>46.5</v>
      </c>
      <c r="B132" s="14" t="s">
        <v>193</v>
      </c>
      <c r="C132">
        <v>60</v>
      </c>
      <c r="D132">
        <f t="shared" si="32"/>
        <v>523.26449507501752</v>
      </c>
      <c r="E132">
        <f t="shared" si="33"/>
        <v>1</v>
      </c>
      <c r="F132">
        <v>47.75</v>
      </c>
      <c r="G132" s="14" t="s">
        <v>188</v>
      </c>
      <c r="H132">
        <v>48</v>
      </c>
      <c r="I132">
        <f t="shared" si="20"/>
        <v>261.62956379894968</v>
      </c>
      <c r="J132">
        <f t="shared" si="27"/>
        <v>3</v>
      </c>
    </row>
    <row r="133" spans="1:10" x14ac:dyDescent="0.2">
      <c r="A133">
        <v>47</v>
      </c>
      <c r="B133" s="14" t="s">
        <v>195</v>
      </c>
      <c r="C133">
        <v>62</v>
      </c>
      <c r="D133">
        <f t="shared" si="32"/>
        <v>587.34554108704231</v>
      </c>
      <c r="E133">
        <f t="shared" si="33"/>
        <v>2</v>
      </c>
      <c r="F133">
        <v>48</v>
      </c>
      <c r="G133" s="14" t="s">
        <v>149</v>
      </c>
      <c r="H133">
        <v>47</v>
      </c>
      <c r="I133">
        <f t="shared" si="20"/>
        <v>246.94521361646048</v>
      </c>
      <c r="J133">
        <f t="shared" si="27"/>
        <v>1</v>
      </c>
    </row>
    <row r="134" spans="1:10" x14ac:dyDescent="0.2">
      <c r="A134">
        <v>48.25</v>
      </c>
      <c r="B134" s="14" t="s">
        <v>190</v>
      </c>
      <c r="C134">
        <v>52</v>
      </c>
      <c r="D134">
        <f t="shared" ref="D134:D172" si="34">16.35117682*1.059464^C134</f>
        <v>329.63372180082422</v>
      </c>
      <c r="E134">
        <f t="shared" si="33"/>
        <v>10</v>
      </c>
      <c r="F134">
        <v>48.5</v>
      </c>
      <c r="G134" s="14" t="s">
        <v>144</v>
      </c>
      <c r="H134">
        <v>40</v>
      </c>
      <c r="I134">
        <f t="shared" si="20"/>
        <v>164.8151702626221</v>
      </c>
      <c r="J134">
        <f>ABS( H134-H133)</f>
        <v>7</v>
      </c>
    </row>
    <row r="135" spans="1:10" x14ac:dyDescent="0.2">
      <c r="A135">
        <v>48.5</v>
      </c>
      <c r="B135" s="14" t="s">
        <v>257</v>
      </c>
      <c r="C135">
        <v>54</v>
      </c>
      <c r="D135">
        <f t="shared" si="34"/>
        <v>370.00197512709912</v>
      </c>
      <c r="E135">
        <f t="shared" ref="E135:E161" si="35">ABS( C135-C134)</f>
        <v>2</v>
      </c>
      <c r="F135">
        <v>49</v>
      </c>
      <c r="G135" s="14" t="s">
        <v>189</v>
      </c>
      <c r="H135">
        <v>38</v>
      </c>
      <c r="I135">
        <f t="shared" si="20"/>
        <v>146.83337288738056</v>
      </c>
      <c r="J135">
        <f>ABS( H135-H134)</f>
        <v>2</v>
      </c>
    </row>
    <row r="136" spans="1:10" x14ac:dyDescent="0.2">
      <c r="A136">
        <v>48.75</v>
      </c>
      <c r="B136" s="14" t="s">
        <v>408</v>
      </c>
      <c r="C136">
        <v>56</v>
      </c>
      <c r="D136">
        <f t="shared" si="34"/>
        <v>415.31388490851958</v>
      </c>
      <c r="E136">
        <f t="shared" si="35"/>
        <v>2</v>
      </c>
      <c r="F136">
        <v>49.75</v>
      </c>
      <c r="G136" s="14" t="s">
        <v>190</v>
      </c>
      <c r="H136">
        <v>52</v>
      </c>
      <c r="I136">
        <f t="shared" ref="I136:I158" si="36">16.35117682*1.059464^H136</f>
        <v>329.63372180082422</v>
      </c>
      <c r="J136">
        <f>ABS( H136-H135)</f>
        <v>14</v>
      </c>
    </row>
    <row r="137" spans="1:10" x14ac:dyDescent="0.2">
      <c r="A137">
        <v>49</v>
      </c>
      <c r="B137" s="14" t="s">
        <v>196</v>
      </c>
      <c r="C137">
        <v>57</v>
      </c>
      <c r="D137">
        <f t="shared" si="34"/>
        <v>440.01010976071973</v>
      </c>
      <c r="E137">
        <f t="shared" si="35"/>
        <v>1</v>
      </c>
      <c r="F137">
        <v>50</v>
      </c>
      <c r="G137" s="14" t="s">
        <v>188</v>
      </c>
      <c r="H137">
        <v>48</v>
      </c>
      <c r="I137">
        <f t="shared" si="36"/>
        <v>261.62956379894968</v>
      </c>
      <c r="J137">
        <f t="shared" ref="J137:J153" si="37">ABS( H137-H136)</f>
        <v>4</v>
      </c>
    </row>
    <row r="138" spans="1:10" x14ac:dyDescent="0.2">
      <c r="A138">
        <v>49.25</v>
      </c>
      <c r="B138" s="14" t="s">
        <v>257</v>
      </c>
      <c r="C138">
        <v>54</v>
      </c>
      <c r="D138">
        <f t="shared" si="34"/>
        <v>370.00197512709912</v>
      </c>
      <c r="E138">
        <f t="shared" si="35"/>
        <v>3</v>
      </c>
      <c r="F138">
        <v>50.25</v>
      </c>
      <c r="G138" s="14" t="s">
        <v>149</v>
      </c>
      <c r="H138">
        <v>47</v>
      </c>
      <c r="I138">
        <f t="shared" si="36"/>
        <v>246.94521361646048</v>
      </c>
      <c r="J138">
        <f t="shared" si="37"/>
        <v>1</v>
      </c>
    </row>
    <row r="139" spans="1:10" x14ac:dyDescent="0.2">
      <c r="A139">
        <v>49.5</v>
      </c>
      <c r="B139" s="14" t="s">
        <v>408</v>
      </c>
      <c r="C139">
        <v>56</v>
      </c>
      <c r="D139">
        <f t="shared" si="34"/>
        <v>415.31388490851958</v>
      </c>
      <c r="E139">
        <f t="shared" si="35"/>
        <v>2</v>
      </c>
      <c r="F139">
        <v>50.5</v>
      </c>
      <c r="G139" s="14" t="s">
        <v>148</v>
      </c>
      <c r="H139">
        <v>45</v>
      </c>
      <c r="I139">
        <f t="shared" si="36"/>
        <v>220.00279814001337</v>
      </c>
      <c r="J139">
        <f t="shared" si="37"/>
        <v>2</v>
      </c>
    </row>
    <row r="140" spans="1:10" x14ac:dyDescent="0.2">
      <c r="A140">
        <v>49.75</v>
      </c>
      <c r="B140" s="14" t="s">
        <v>190</v>
      </c>
      <c r="C140">
        <v>52</v>
      </c>
      <c r="D140">
        <f t="shared" si="34"/>
        <v>329.63372180082422</v>
      </c>
      <c r="E140">
        <f t="shared" si="35"/>
        <v>4</v>
      </c>
      <c r="F140">
        <v>50.75</v>
      </c>
      <c r="G140" s="14" t="s">
        <v>146</v>
      </c>
      <c r="H140">
        <v>43</v>
      </c>
      <c r="I140">
        <f t="shared" si="36"/>
        <v>195.99987576438383</v>
      </c>
      <c r="J140">
        <f t="shared" si="37"/>
        <v>2</v>
      </c>
    </row>
    <row r="141" spans="1:10" x14ac:dyDescent="0.2">
      <c r="A141">
        <v>50</v>
      </c>
      <c r="B141" s="14" t="s">
        <v>200</v>
      </c>
      <c r="C141">
        <v>64</v>
      </c>
      <c r="D141">
        <f t="shared" si="34"/>
        <v>659.27420622217721</v>
      </c>
      <c r="E141">
        <f t="shared" si="35"/>
        <v>12</v>
      </c>
      <c r="F141">
        <v>51</v>
      </c>
      <c r="G141" s="14" t="s">
        <v>48</v>
      </c>
      <c r="H141">
        <v>42</v>
      </c>
      <c r="I141">
        <f t="shared" si="36"/>
        <v>184.99908988354849</v>
      </c>
      <c r="J141">
        <f t="shared" si="37"/>
        <v>1</v>
      </c>
    </row>
    <row r="142" spans="1:10" x14ac:dyDescent="0.2">
      <c r="A142">
        <v>50.25</v>
      </c>
      <c r="B142" s="14" t="s">
        <v>195</v>
      </c>
      <c r="C142">
        <v>62</v>
      </c>
      <c r="D142">
        <f t="shared" si="34"/>
        <v>587.34554108704231</v>
      </c>
      <c r="E142">
        <f t="shared" si="35"/>
        <v>2</v>
      </c>
      <c r="F142">
        <v>51.25</v>
      </c>
      <c r="G142" s="14" t="s">
        <v>148</v>
      </c>
      <c r="H142">
        <v>45</v>
      </c>
      <c r="I142">
        <f t="shared" si="36"/>
        <v>220.00279814001337</v>
      </c>
      <c r="J142">
        <f t="shared" si="37"/>
        <v>3</v>
      </c>
    </row>
    <row r="143" spans="1:10" x14ac:dyDescent="0.2">
      <c r="A143">
        <v>50.5</v>
      </c>
      <c r="B143" s="14" t="s">
        <v>193</v>
      </c>
      <c r="C143">
        <v>60</v>
      </c>
      <c r="D143">
        <f t="shared" si="34"/>
        <v>523.26449507501752</v>
      </c>
      <c r="E143">
        <f t="shared" si="35"/>
        <v>2</v>
      </c>
      <c r="F143">
        <v>51.5</v>
      </c>
      <c r="G143" s="14" t="s">
        <v>290</v>
      </c>
      <c r="H143">
        <v>44</v>
      </c>
      <c r="I143">
        <f t="shared" si="36"/>
        <v>207.65481237683719</v>
      </c>
      <c r="J143">
        <f t="shared" si="37"/>
        <v>1</v>
      </c>
    </row>
    <row r="144" spans="1:10" x14ac:dyDescent="0.2">
      <c r="A144">
        <v>50.75</v>
      </c>
      <c r="B144" s="14" t="s">
        <v>200</v>
      </c>
      <c r="C144">
        <v>64</v>
      </c>
      <c r="D144">
        <f t="shared" si="34"/>
        <v>659.27420622217721</v>
      </c>
      <c r="E144">
        <f t="shared" si="35"/>
        <v>4</v>
      </c>
      <c r="F144">
        <v>51.75</v>
      </c>
      <c r="G144" s="14" t="s">
        <v>149</v>
      </c>
      <c r="H144">
        <v>47</v>
      </c>
      <c r="I144">
        <f t="shared" si="36"/>
        <v>246.94521361646048</v>
      </c>
      <c r="J144">
        <f t="shared" si="37"/>
        <v>3</v>
      </c>
    </row>
    <row r="145" spans="1:10" x14ac:dyDescent="0.2">
      <c r="A145">
        <v>51</v>
      </c>
      <c r="B145" s="14" t="s">
        <v>195</v>
      </c>
      <c r="C145">
        <v>62</v>
      </c>
      <c r="D145">
        <f t="shared" si="34"/>
        <v>587.34554108704231</v>
      </c>
      <c r="E145">
        <f t="shared" si="35"/>
        <v>2</v>
      </c>
      <c r="F145">
        <v>52</v>
      </c>
      <c r="G145" s="14" t="s">
        <v>148</v>
      </c>
      <c r="H145">
        <v>45</v>
      </c>
      <c r="I145">
        <f t="shared" si="36"/>
        <v>220.00279814001337</v>
      </c>
      <c r="J145">
        <f t="shared" si="37"/>
        <v>2</v>
      </c>
    </row>
    <row r="146" spans="1:10" x14ac:dyDescent="0.2">
      <c r="A146">
        <v>51.25</v>
      </c>
      <c r="B146" s="14" t="s">
        <v>193</v>
      </c>
      <c r="C146">
        <v>60</v>
      </c>
      <c r="D146">
        <f t="shared" si="34"/>
        <v>523.26449507501752</v>
      </c>
      <c r="E146">
        <f t="shared" si="35"/>
        <v>2</v>
      </c>
      <c r="F146">
        <v>52.25</v>
      </c>
      <c r="G146" s="14" t="s">
        <v>188</v>
      </c>
      <c r="H146">
        <v>48</v>
      </c>
      <c r="I146">
        <f t="shared" si="36"/>
        <v>261.62956379894968</v>
      </c>
      <c r="J146">
        <f t="shared" si="37"/>
        <v>3</v>
      </c>
    </row>
    <row r="147" spans="1:10" x14ac:dyDescent="0.2">
      <c r="A147">
        <v>51.5</v>
      </c>
      <c r="B147" s="14" t="s">
        <v>197</v>
      </c>
      <c r="C147">
        <v>59</v>
      </c>
      <c r="D147">
        <f t="shared" si="34"/>
        <v>493.89549345236594</v>
      </c>
      <c r="E147">
        <f t="shared" si="35"/>
        <v>1</v>
      </c>
      <c r="F147">
        <v>52.5</v>
      </c>
      <c r="G147" s="14" t="s">
        <v>149</v>
      </c>
      <c r="H147">
        <v>47</v>
      </c>
      <c r="I147">
        <f t="shared" si="36"/>
        <v>246.94521361646048</v>
      </c>
      <c r="J147">
        <f t="shared" si="37"/>
        <v>1</v>
      </c>
    </row>
    <row r="148" spans="1:10" x14ac:dyDescent="0.2">
      <c r="A148">
        <v>51.75</v>
      </c>
      <c r="B148" s="14" t="s">
        <v>195</v>
      </c>
      <c r="C148">
        <v>62</v>
      </c>
      <c r="D148">
        <f t="shared" si="34"/>
        <v>587.34554108704231</v>
      </c>
      <c r="E148">
        <f t="shared" si="35"/>
        <v>3</v>
      </c>
      <c r="F148">
        <v>52.75</v>
      </c>
      <c r="G148" s="14" t="s">
        <v>189</v>
      </c>
      <c r="H148">
        <v>50</v>
      </c>
      <c r="I148">
        <f t="shared" si="36"/>
        <v>293.66975814369101</v>
      </c>
      <c r="J148">
        <f t="shared" si="37"/>
        <v>3</v>
      </c>
    </row>
    <row r="149" spans="1:10" x14ac:dyDescent="0.2">
      <c r="A149">
        <v>52</v>
      </c>
      <c r="B149" s="14" t="s">
        <v>193</v>
      </c>
      <c r="C149">
        <v>60</v>
      </c>
      <c r="D149">
        <f t="shared" si="34"/>
        <v>523.26449507501752</v>
      </c>
      <c r="E149">
        <f t="shared" si="35"/>
        <v>2</v>
      </c>
      <c r="F149">
        <v>53</v>
      </c>
      <c r="G149" s="14" t="s">
        <v>188</v>
      </c>
      <c r="H149">
        <v>48</v>
      </c>
      <c r="I149">
        <f t="shared" si="36"/>
        <v>261.62956379894968</v>
      </c>
      <c r="J149">
        <f t="shared" si="37"/>
        <v>2</v>
      </c>
    </row>
    <row r="150" spans="1:10" x14ac:dyDescent="0.2">
      <c r="A150">
        <v>52.25</v>
      </c>
      <c r="B150" s="14" t="s">
        <v>201</v>
      </c>
      <c r="C150">
        <v>69</v>
      </c>
      <c r="D150">
        <f t="shared" si="34"/>
        <v>880.02924657542201</v>
      </c>
      <c r="E150">
        <f t="shared" si="35"/>
        <v>9</v>
      </c>
      <c r="F150">
        <v>53.25</v>
      </c>
      <c r="G150" s="14" t="s">
        <v>190</v>
      </c>
      <c r="H150">
        <v>52</v>
      </c>
      <c r="I150">
        <f t="shared" si="36"/>
        <v>329.63372180082422</v>
      </c>
      <c r="J150">
        <f t="shared" si="37"/>
        <v>4</v>
      </c>
    </row>
    <row r="151" spans="1:10" x14ac:dyDescent="0.2">
      <c r="A151">
        <v>52.5</v>
      </c>
      <c r="B151" s="14" t="s">
        <v>409</v>
      </c>
      <c r="C151">
        <v>68</v>
      </c>
      <c r="D151">
        <f t="shared" si="34"/>
        <v>830.63629021412908</v>
      </c>
      <c r="E151">
        <f t="shared" si="35"/>
        <v>1</v>
      </c>
      <c r="F151">
        <v>53.5</v>
      </c>
      <c r="G151" s="14" t="s">
        <v>189</v>
      </c>
      <c r="H151">
        <v>50</v>
      </c>
      <c r="I151">
        <f t="shared" si="36"/>
        <v>293.66975814369101</v>
      </c>
      <c r="J151">
        <f t="shared" si="37"/>
        <v>2</v>
      </c>
    </row>
    <row r="152" spans="1:10" x14ac:dyDescent="0.2">
      <c r="A152">
        <v>52.75</v>
      </c>
      <c r="B152" s="14" t="s">
        <v>194</v>
      </c>
      <c r="C152">
        <v>71</v>
      </c>
      <c r="D152">
        <f t="shared" si="34"/>
        <v>987.80111944755811</v>
      </c>
      <c r="E152">
        <f t="shared" si="35"/>
        <v>3</v>
      </c>
      <c r="F152">
        <v>53.75</v>
      </c>
      <c r="G152" s="14" t="s">
        <v>191</v>
      </c>
      <c r="H152">
        <v>53</v>
      </c>
      <c r="I152">
        <f t="shared" si="36"/>
        <v>349.23506143398839</v>
      </c>
      <c r="J152">
        <f t="shared" si="37"/>
        <v>3</v>
      </c>
    </row>
    <row r="153" spans="1:10" x14ac:dyDescent="0.2">
      <c r="A153">
        <v>53</v>
      </c>
      <c r="B153" s="14" t="s">
        <v>201</v>
      </c>
      <c r="C153">
        <v>69</v>
      </c>
      <c r="D153">
        <f t="shared" si="34"/>
        <v>880.02924657542201</v>
      </c>
      <c r="E153">
        <f t="shared" si="35"/>
        <v>2</v>
      </c>
      <c r="F153">
        <v>54</v>
      </c>
      <c r="G153" s="14" t="s">
        <v>190</v>
      </c>
      <c r="H153">
        <v>52</v>
      </c>
      <c r="I153">
        <f t="shared" si="36"/>
        <v>329.63372180082422</v>
      </c>
      <c r="J153">
        <f t="shared" si="37"/>
        <v>1</v>
      </c>
    </row>
    <row r="154" spans="1:10" x14ac:dyDescent="0.2">
      <c r="A154">
        <v>53.25</v>
      </c>
      <c r="B154" s="14" t="s">
        <v>200</v>
      </c>
      <c r="C154">
        <v>64</v>
      </c>
      <c r="D154">
        <f t="shared" si="34"/>
        <v>659.27420622217721</v>
      </c>
      <c r="E154">
        <f t="shared" si="35"/>
        <v>5</v>
      </c>
      <c r="F154">
        <v>54.5</v>
      </c>
      <c r="G154" s="14" t="s">
        <v>148</v>
      </c>
      <c r="H154">
        <v>45</v>
      </c>
      <c r="I154">
        <f t="shared" si="36"/>
        <v>220.00279814001337</v>
      </c>
      <c r="J154">
        <f t="shared" ref="J154:J159" si="38">ABS( H154-H153)</f>
        <v>7</v>
      </c>
    </row>
    <row r="155" spans="1:10" x14ac:dyDescent="0.2">
      <c r="A155">
        <v>53.5</v>
      </c>
      <c r="B155" s="14" t="s">
        <v>199</v>
      </c>
      <c r="C155">
        <v>65</v>
      </c>
      <c r="D155">
        <f t="shared" si="34"/>
        <v>698.47728762097279</v>
      </c>
      <c r="E155">
        <f t="shared" si="35"/>
        <v>1</v>
      </c>
      <c r="F155">
        <v>55</v>
      </c>
      <c r="G155" s="14" t="s">
        <v>190</v>
      </c>
      <c r="H155">
        <v>52</v>
      </c>
      <c r="I155">
        <f t="shared" si="36"/>
        <v>329.63372180082422</v>
      </c>
      <c r="J155">
        <f t="shared" si="38"/>
        <v>7</v>
      </c>
    </row>
    <row r="156" spans="1:10" x14ac:dyDescent="0.2">
      <c r="A156">
        <v>53.75</v>
      </c>
      <c r="B156" s="14" t="s">
        <v>195</v>
      </c>
      <c r="C156">
        <v>62</v>
      </c>
      <c r="D156">
        <f t="shared" si="34"/>
        <v>587.34554108704231</v>
      </c>
      <c r="E156">
        <f t="shared" si="35"/>
        <v>3</v>
      </c>
      <c r="F156">
        <v>55.5</v>
      </c>
      <c r="G156" s="14" t="s">
        <v>144</v>
      </c>
      <c r="H156">
        <v>40</v>
      </c>
      <c r="I156">
        <f t="shared" si="36"/>
        <v>164.8151702626221</v>
      </c>
      <c r="J156">
        <f t="shared" si="38"/>
        <v>12</v>
      </c>
    </row>
    <row r="157" spans="1:10" x14ac:dyDescent="0.2">
      <c r="A157">
        <v>54</v>
      </c>
      <c r="B157" s="14" t="s">
        <v>408</v>
      </c>
      <c r="C157">
        <v>56</v>
      </c>
      <c r="D157">
        <f t="shared" si="34"/>
        <v>415.31388490851958</v>
      </c>
      <c r="E157">
        <f t="shared" si="35"/>
        <v>6</v>
      </c>
      <c r="F157">
        <v>56</v>
      </c>
      <c r="G157" s="14" t="s">
        <v>148</v>
      </c>
      <c r="H157">
        <v>45</v>
      </c>
      <c r="I157">
        <f t="shared" si="36"/>
        <v>220.00279814001337</v>
      </c>
      <c r="J157">
        <f t="shared" si="38"/>
        <v>5</v>
      </c>
    </row>
    <row r="158" spans="1:10" x14ac:dyDescent="0.2">
      <c r="A158">
        <v>54.25</v>
      </c>
      <c r="B158" s="14" t="s">
        <v>199</v>
      </c>
      <c r="C158">
        <v>65</v>
      </c>
      <c r="D158">
        <f t="shared" si="34"/>
        <v>698.47728762097279</v>
      </c>
      <c r="E158">
        <f t="shared" si="35"/>
        <v>9</v>
      </c>
      <c r="F158">
        <v>56.5</v>
      </c>
      <c r="G158" s="14" t="s">
        <v>152</v>
      </c>
      <c r="H158">
        <v>33</v>
      </c>
      <c r="I158">
        <f t="shared" si="36"/>
        <v>110.00027071140791</v>
      </c>
      <c r="J158">
        <f t="shared" si="38"/>
        <v>12</v>
      </c>
    </row>
    <row r="159" spans="1:10" x14ac:dyDescent="0.2">
      <c r="A159">
        <v>54.5</v>
      </c>
      <c r="B159" s="14" t="s">
        <v>200</v>
      </c>
      <c r="C159">
        <v>64</v>
      </c>
      <c r="D159">
        <f t="shared" si="34"/>
        <v>659.27420622217721</v>
      </c>
      <c r="E159">
        <f t="shared" si="35"/>
        <v>1</v>
      </c>
      <c r="F159">
        <v>58.25</v>
      </c>
      <c r="G159" s="14" t="s">
        <v>190</v>
      </c>
      <c r="H159">
        <v>52</v>
      </c>
      <c r="I159">
        <f t="shared" ref="I159:I165" si="39">16.35117682*1.059464^H159</f>
        <v>329.63372180082422</v>
      </c>
      <c r="J159">
        <f t="shared" si="38"/>
        <v>19</v>
      </c>
    </row>
    <row r="160" spans="1:10" x14ac:dyDescent="0.2">
      <c r="A160">
        <v>54.75</v>
      </c>
      <c r="B160" s="14" t="s">
        <v>195</v>
      </c>
      <c r="C160">
        <v>62</v>
      </c>
      <c r="D160">
        <f t="shared" si="34"/>
        <v>587.34554108704231</v>
      </c>
      <c r="E160">
        <f t="shared" si="35"/>
        <v>2</v>
      </c>
      <c r="F160">
        <v>58.5</v>
      </c>
      <c r="G160" s="14" t="s">
        <v>189</v>
      </c>
      <c r="H160">
        <v>50</v>
      </c>
      <c r="I160">
        <f t="shared" si="39"/>
        <v>293.66975814369101</v>
      </c>
      <c r="J160">
        <f t="shared" ref="J160:J166" si="40">ABS( H160-H159)</f>
        <v>2</v>
      </c>
    </row>
    <row r="161" spans="1:10" x14ac:dyDescent="0.2">
      <c r="A161">
        <v>55</v>
      </c>
      <c r="B161" s="14" t="s">
        <v>193</v>
      </c>
      <c r="C161">
        <v>60</v>
      </c>
      <c r="D161">
        <f t="shared" si="34"/>
        <v>523.26449507501752</v>
      </c>
      <c r="E161">
        <f t="shared" si="35"/>
        <v>2</v>
      </c>
      <c r="F161">
        <v>58.75</v>
      </c>
      <c r="G161" s="14" t="s">
        <v>188</v>
      </c>
      <c r="H161">
        <v>48</v>
      </c>
      <c r="I161">
        <f t="shared" si="39"/>
        <v>261.62956379894968</v>
      </c>
      <c r="J161">
        <f t="shared" si="40"/>
        <v>2</v>
      </c>
    </row>
    <row r="162" spans="1:10" x14ac:dyDescent="0.2">
      <c r="A162">
        <v>55.5</v>
      </c>
      <c r="B162" s="14" t="s">
        <v>197</v>
      </c>
      <c r="C162">
        <v>59</v>
      </c>
      <c r="D162">
        <f t="shared" si="34"/>
        <v>493.89549345236594</v>
      </c>
      <c r="E162">
        <f>ABS( C162-C161)</f>
        <v>1</v>
      </c>
      <c r="F162">
        <v>59</v>
      </c>
      <c r="G162" s="14" t="s">
        <v>149</v>
      </c>
      <c r="H162">
        <v>47</v>
      </c>
      <c r="I162">
        <f t="shared" si="39"/>
        <v>246.94521361646048</v>
      </c>
      <c r="J162">
        <f t="shared" si="40"/>
        <v>1</v>
      </c>
    </row>
    <row r="163" spans="1:10" x14ac:dyDescent="0.2">
      <c r="A163">
        <v>55.75</v>
      </c>
      <c r="B163" s="14" t="s">
        <v>196</v>
      </c>
      <c r="C163">
        <v>57</v>
      </c>
      <c r="D163">
        <f t="shared" si="34"/>
        <v>440.01010976071973</v>
      </c>
      <c r="E163">
        <f t="shared" ref="E163:E172" si="41">ABS( C163-C162)</f>
        <v>2</v>
      </c>
      <c r="F163">
        <v>59.25</v>
      </c>
      <c r="G163" s="14" t="s">
        <v>189</v>
      </c>
      <c r="H163">
        <v>50</v>
      </c>
      <c r="I163">
        <f t="shared" si="39"/>
        <v>293.66975814369101</v>
      </c>
      <c r="J163">
        <f t="shared" si="40"/>
        <v>3</v>
      </c>
    </row>
    <row r="164" spans="1:10" x14ac:dyDescent="0.2">
      <c r="A164">
        <v>56</v>
      </c>
      <c r="B164" s="14" t="s">
        <v>196</v>
      </c>
      <c r="C164">
        <v>57</v>
      </c>
      <c r="D164">
        <f t="shared" si="34"/>
        <v>440.01010976071973</v>
      </c>
      <c r="E164">
        <f t="shared" si="41"/>
        <v>0</v>
      </c>
      <c r="F164">
        <v>59.5</v>
      </c>
      <c r="G164" s="14" t="s">
        <v>291</v>
      </c>
      <c r="H164">
        <v>49</v>
      </c>
      <c r="I164">
        <f t="shared" si="39"/>
        <v>277.18710418069043</v>
      </c>
      <c r="J164">
        <f t="shared" si="40"/>
        <v>1</v>
      </c>
    </row>
    <row r="165" spans="1:10" x14ac:dyDescent="0.2">
      <c r="A165">
        <v>56.25</v>
      </c>
      <c r="B165" s="14" t="s">
        <v>201</v>
      </c>
      <c r="C165">
        <v>69</v>
      </c>
      <c r="D165">
        <f t="shared" si="34"/>
        <v>880.02924657542201</v>
      </c>
      <c r="E165">
        <f t="shared" si="41"/>
        <v>12</v>
      </c>
      <c r="F165">
        <v>59.75</v>
      </c>
      <c r="G165" s="14" t="s">
        <v>190</v>
      </c>
      <c r="H165">
        <v>52</v>
      </c>
      <c r="I165">
        <f t="shared" si="39"/>
        <v>329.63372180082422</v>
      </c>
      <c r="J165">
        <f t="shared" si="40"/>
        <v>3</v>
      </c>
    </row>
    <row r="166" spans="1:10" x14ac:dyDescent="0.2">
      <c r="A166">
        <v>56.5</v>
      </c>
      <c r="B166" s="14" t="s">
        <v>198</v>
      </c>
      <c r="C166">
        <v>67</v>
      </c>
      <c r="D166">
        <f t="shared" si="34"/>
        <v>784.01558732918636</v>
      </c>
      <c r="E166">
        <f t="shared" si="41"/>
        <v>2</v>
      </c>
      <c r="F166">
        <v>62.25</v>
      </c>
      <c r="G166" s="14" t="s">
        <v>148</v>
      </c>
      <c r="H166">
        <v>45</v>
      </c>
      <c r="I166">
        <f t="shared" ref="I166:I173" si="42">16.35117682*1.059464^H166</f>
        <v>220.00279814001337</v>
      </c>
      <c r="J166">
        <f t="shared" si="40"/>
        <v>7</v>
      </c>
    </row>
    <row r="167" spans="1:10" x14ac:dyDescent="0.2">
      <c r="A167">
        <v>56.75</v>
      </c>
      <c r="B167" s="14" t="s">
        <v>199</v>
      </c>
      <c r="C167">
        <v>65</v>
      </c>
      <c r="D167">
        <f t="shared" si="34"/>
        <v>698.47728762097279</v>
      </c>
      <c r="E167">
        <f t="shared" si="41"/>
        <v>2</v>
      </c>
      <c r="F167">
        <v>62.5</v>
      </c>
      <c r="G167" s="14" t="s">
        <v>149</v>
      </c>
      <c r="H167">
        <v>47</v>
      </c>
      <c r="I167">
        <f t="shared" si="42"/>
        <v>246.94521361646048</v>
      </c>
      <c r="J167">
        <f t="shared" ref="J167:J173" si="43">ABS( H167-H166)</f>
        <v>2</v>
      </c>
    </row>
    <row r="168" spans="1:10" x14ac:dyDescent="0.2">
      <c r="A168">
        <v>57</v>
      </c>
      <c r="B168" s="14" t="s">
        <v>200</v>
      </c>
      <c r="C168">
        <v>64</v>
      </c>
      <c r="D168">
        <f t="shared" si="34"/>
        <v>659.27420622217721</v>
      </c>
      <c r="E168">
        <f t="shared" si="41"/>
        <v>1</v>
      </c>
      <c r="F168">
        <v>62.75</v>
      </c>
      <c r="G168" s="14" t="s">
        <v>188</v>
      </c>
      <c r="H168">
        <v>48</v>
      </c>
      <c r="I168">
        <f t="shared" si="42"/>
        <v>261.62956379894968</v>
      </c>
      <c r="J168">
        <f t="shared" si="43"/>
        <v>1</v>
      </c>
    </row>
    <row r="169" spans="1:10" x14ac:dyDescent="0.2">
      <c r="A169">
        <v>57.25</v>
      </c>
      <c r="B169" s="14" t="s">
        <v>198</v>
      </c>
      <c r="C169">
        <v>67</v>
      </c>
      <c r="D169">
        <f t="shared" si="34"/>
        <v>784.01558732918636</v>
      </c>
      <c r="E169">
        <f t="shared" si="41"/>
        <v>3</v>
      </c>
      <c r="F169">
        <v>63</v>
      </c>
      <c r="G169" s="14" t="s">
        <v>189</v>
      </c>
      <c r="H169">
        <v>50</v>
      </c>
      <c r="I169">
        <f t="shared" si="42"/>
        <v>293.66975814369101</v>
      </c>
      <c r="J169">
        <f t="shared" si="43"/>
        <v>2</v>
      </c>
    </row>
    <row r="170" spans="1:10" x14ac:dyDescent="0.2">
      <c r="A170">
        <v>57.5</v>
      </c>
      <c r="B170" s="14" t="s">
        <v>199</v>
      </c>
      <c r="C170">
        <v>65</v>
      </c>
      <c r="D170">
        <f t="shared" si="34"/>
        <v>698.47728762097279</v>
      </c>
      <c r="E170">
        <f t="shared" si="41"/>
        <v>2</v>
      </c>
      <c r="F170">
        <v>63.25</v>
      </c>
      <c r="G170" s="14" t="s">
        <v>149</v>
      </c>
      <c r="H170">
        <v>47</v>
      </c>
      <c r="I170">
        <f t="shared" si="42"/>
        <v>246.94521361646048</v>
      </c>
      <c r="J170">
        <f t="shared" si="43"/>
        <v>3</v>
      </c>
    </row>
    <row r="171" spans="1:10" x14ac:dyDescent="0.2">
      <c r="A171">
        <v>57.75</v>
      </c>
      <c r="B171" s="14" t="s">
        <v>201</v>
      </c>
      <c r="C171">
        <v>69</v>
      </c>
      <c r="D171">
        <f t="shared" si="34"/>
        <v>880.02924657542201</v>
      </c>
      <c r="E171">
        <f t="shared" si="41"/>
        <v>4</v>
      </c>
      <c r="F171">
        <v>63.5</v>
      </c>
      <c r="G171" s="14" t="s">
        <v>188</v>
      </c>
      <c r="H171">
        <v>48</v>
      </c>
      <c r="I171">
        <f t="shared" si="42"/>
        <v>261.62956379894968</v>
      </c>
      <c r="J171">
        <f t="shared" si="43"/>
        <v>1</v>
      </c>
    </row>
    <row r="172" spans="1:10" x14ac:dyDescent="0.2">
      <c r="A172">
        <v>58</v>
      </c>
      <c r="B172" s="14" t="s">
        <v>198</v>
      </c>
      <c r="C172">
        <v>67</v>
      </c>
      <c r="D172">
        <f t="shared" si="34"/>
        <v>784.01558732918636</v>
      </c>
      <c r="E172">
        <f t="shared" si="41"/>
        <v>2</v>
      </c>
      <c r="F172">
        <v>63.75</v>
      </c>
      <c r="G172" s="14" t="s">
        <v>148</v>
      </c>
      <c r="H172">
        <v>45</v>
      </c>
      <c r="I172">
        <f t="shared" si="42"/>
        <v>220.00279814001337</v>
      </c>
      <c r="J172">
        <f t="shared" si="43"/>
        <v>3</v>
      </c>
    </row>
    <row r="173" spans="1:10" x14ac:dyDescent="0.2">
      <c r="A173">
        <v>60.25</v>
      </c>
      <c r="B173" s="14" t="s">
        <v>200</v>
      </c>
      <c r="C173">
        <v>64</v>
      </c>
      <c r="D173">
        <f t="shared" ref="D173:D180" si="44">16.35117682*1.059464^C173</f>
        <v>659.27420622217721</v>
      </c>
      <c r="E173">
        <f>ABS( C173-C172)</f>
        <v>3</v>
      </c>
      <c r="F173">
        <v>64</v>
      </c>
      <c r="G173" s="14" t="s">
        <v>149</v>
      </c>
      <c r="H173">
        <v>47</v>
      </c>
      <c r="I173">
        <f t="shared" si="42"/>
        <v>246.94521361646048</v>
      </c>
      <c r="J173">
        <f t="shared" si="43"/>
        <v>2</v>
      </c>
    </row>
    <row r="174" spans="1:10" x14ac:dyDescent="0.2">
      <c r="A174">
        <v>60.5</v>
      </c>
      <c r="B174" s="14" t="s">
        <v>199</v>
      </c>
      <c r="C174">
        <v>65</v>
      </c>
      <c r="D174">
        <f t="shared" si="44"/>
        <v>698.47728762097279</v>
      </c>
      <c r="E174">
        <f t="shared" ref="E174:E180" si="45">ABS( C174-C173)</f>
        <v>1</v>
      </c>
      <c r="F174">
        <v>66.25</v>
      </c>
      <c r="G174" s="14" t="s">
        <v>189</v>
      </c>
      <c r="H174">
        <v>50</v>
      </c>
      <c r="I174">
        <f t="shared" ref="I174:I181" si="46">16.35117682*1.059464^H174</f>
        <v>293.66975814369101</v>
      </c>
      <c r="J174">
        <f>ABS( H174-H173)</f>
        <v>3</v>
      </c>
    </row>
    <row r="175" spans="1:10" x14ac:dyDescent="0.2">
      <c r="A175">
        <v>60.75</v>
      </c>
      <c r="B175" s="14" t="s">
        <v>198</v>
      </c>
      <c r="C175">
        <v>67</v>
      </c>
      <c r="D175">
        <f t="shared" si="44"/>
        <v>784.01558732918636</v>
      </c>
      <c r="E175">
        <f t="shared" si="45"/>
        <v>2</v>
      </c>
      <c r="F175">
        <v>66.5</v>
      </c>
      <c r="G175" s="14" t="s">
        <v>188</v>
      </c>
      <c r="H175">
        <v>48</v>
      </c>
      <c r="I175">
        <f t="shared" si="46"/>
        <v>261.62956379894968</v>
      </c>
      <c r="J175">
        <f t="shared" ref="J175:J181" si="47">ABS( H175-H174)</f>
        <v>2</v>
      </c>
    </row>
    <row r="176" spans="1:10" x14ac:dyDescent="0.2">
      <c r="A176">
        <v>61</v>
      </c>
      <c r="B176" s="14" t="s">
        <v>201</v>
      </c>
      <c r="C176">
        <v>69</v>
      </c>
      <c r="D176">
        <f t="shared" si="44"/>
        <v>880.02924657542201</v>
      </c>
      <c r="E176">
        <f t="shared" si="45"/>
        <v>2</v>
      </c>
      <c r="F176">
        <v>66.75</v>
      </c>
      <c r="G176" s="14" t="s">
        <v>149</v>
      </c>
      <c r="H176">
        <v>47</v>
      </c>
      <c r="I176">
        <f t="shared" si="46"/>
        <v>246.94521361646048</v>
      </c>
      <c r="J176">
        <f t="shared" si="47"/>
        <v>1</v>
      </c>
    </row>
    <row r="177" spans="1:10" x14ac:dyDescent="0.2">
      <c r="A177">
        <v>61.25</v>
      </c>
      <c r="B177" s="14" t="s">
        <v>199</v>
      </c>
      <c r="C177">
        <v>65</v>
      </c>
      <c r="D177">
        <f t="shared" si="44"/>
        <v>698.47728762097279</v>
      </c>
      <c r="E177">
        <f t="shared" si="45"/>
        <v>4</v>
      </c>
      <c r="F177">
        <v>67</v>
      </c>
      <c r="G177" s="14" t="s">
        <v>148</v>
      </c>
      <c r="H177">
        <v>45</v>
      </c>
      <c r="I177">
        <f t="shared" si="46"/>
        <v>220.00279814001337</v>
      </c>
      <c r="J177">
        <f t="shared" si="47"/>
        <v>2</v>
      </c>
    </row>
    <row r="178" spans="1:10" x14ac:dyDescent="0.2">
      <c r="A178">
        <v>61.5</v>
      </c>
      <c r="B178" s="14" t="s">
        <v>198</v>
      </c>
      <c r="C178">
        <v>67</v>
      </c>
      <c r="D178">
        <f t="shared" si="44"/>
        <v>784.01558732918636</v>
      </c>
      <c r="E178">
        <f t="shared" si="45"/>
        <v>2</v>
      </c>
      <c r="F178">
        <v>67.25</v>
      </c>
      <c r="G178" s="14" t="s">
        <v>188</v>
      </c>
      <c r="H178">
        <v>48</v>
      </c>
      <c r="I178">
        <f t="shared" si="46"/>
        <v>261.62956379894968</v>
      </c>
      <c r="J178">
        <f t="shared" si="47"/>
        <v>3</v>
      </c>
    </row>
    <row r="179" spans="1:10" x14ac:dyDescent="0.2">
      <c r="A179">
        <v>61.75</v>
      </c>
      <c r="B179" s="14" t="s">
        <v>200</v>
      </c>
      <c r="C179">
        <v>64</v>
      </c>
      <c r="D179">
        <f t="shared" si="44"/>
        <v>659.27420622217721</v>
      </c>
      <c r="E179">
        <f t="shared" si="45"/>
        <v>3</v>
      </c>
      <c r="F179">
        <v>67.5</v>
      </c>
      <c r="G179" s="14" t="s">
        <v>149</v>
      </c>
      <c r="H179">
        <v>47</v>
      </c>
      <c r="I179">
        <f t="shared" si="46"/>
        <v>246.94521361646048</v>
      </c>
      <c r="J179">
        <f t="shared" si="47"/>
        <v>1</v>
      </c>
    </row>
    <row r="180" spans="1:10" x14ac:dyDescent="0.2">
      <c r="A180">
        <v>62</v>
      </c>
      <c r="B180" s="14" t="s">
        <v>199</v>
      </c>
      <c r="C180">
        <v>65</v>
      </c>
      <c r="D180">
        <f t="shared" si="44"/>
        <v>698.47728762097279</v>
      </c>
      <c r="E180">
        <f t="shared" si="45"/>
        <v>1</v>
      </c>
      <c r="F180">
        <v>67.75</v>
      </c>
      <c r="G180" s="14" t="s">
        <v>189</v>
      </c>
      <c r="H180">
        <v>50</v>
      </c>
      <c r="I180">
        <f t="shared" si="46"/>
        <v>293.66975814369101</v>
      </c>
      <c r="J180">
        <f t="shared" si="47"/>
        <v>3</v>
      </c>
    </row>
    <row r="181" spans="1:10" x14ac:dyDescent="0.2">
      <c r="A181">
        <v>64.25</v>
      </c>
      <c r="B181" s="14" t="s">
        <v>198</v>
      </c>
      <c r="C181">
        <v>67</v>
      </c>
      <c r="D181">
        <f t="shared" ref="D181:D188" si="48">16.35117682*1.059464^C181</f>
        <v>784.01558732918636</v>
      </c>
      <c r="E181">
        <f>ABS( C181-C180)</f>
        <v>2</v>
      </c>
      <c r="F181">
        <v>68</v>
      </c>
      <c r="G181" s="14" t="s">
        <v>188</v>
      </c>
      <c r="H181">
        <v>48</v>
      </c>
      <c r="I181">
        <f t="shared" si="46"/>
        <v>261.62956379894968</v>
      </c>
      <c r="J181">
        <f t="shared" si="47"/>
        <v>2</v>
      </c>
    </row>
    <row r="182" spans="1:10" x14ac:dyDescent="0.2">
      <c r="A182">
        <v>64.5</v>
      </c>
      <c r="B182" s="14" t="s">
        <v>199</v>
      </c>
      <c r="C182">
        <v>65</v>
      </c>
      <c r="D182">
        <f t="shared" si="48"/>
        <v>698.47728762097279</v>
      </c>
      <c r="E182">
        <f t="shared" ref="E182:E188" si="49">ABS( C182-C181)</f>
        <v>2</v>
      </c>
      <c r="F182">
        <v>70.25</v>
      </c>
      <c r="G182" s="14" t="s">
        <v>146</v>
      </c>
      <c r="H182">
        <v>43</v>
      </c>
      <c r="I182">
        <f t="shared" ref="I182:I190" si="50">16.35117682*1.059464^H182</f>
        <v>195.99987576438383</v>
      </c>
      <c r="J182">
        <f>ABS( H182-H181)</f>
        <v>5</v>
      </c>
    </row>
    <row r="183" spans="1:10" x14ac:dyDescent="0.2">
      <c r="A183">
        <v>64.75</v>
      </c>
      <c r="B183" s="14" t="s">
        <v>200</v>
      </c>
      <c r="C183">
        <v>64</v>
      </c>
      <c r="D183">
        <f t="shared" si="48"/>
        <v>659.27420622217721</v>
      </c>
      <c r="E183">
        <f t="shared" si="49"/>
        <v>1</v>
      </c>
      <c r="F183">
        <v>70.5</v>
      </c>
      <c r="G183" s="14" t="s">
        <v>148</v>
      </c>
      <c r="H183">
        <v>45</v>
      </c>
      <c r="I183">
        <f t="shared" si="50"/>
        <v>220.00279814001337</v>
      </c>
      <c r="J183">
        <f t="shared" ref="J183:J189" si="51">ABS( H183-H182)</f>
        <v>2</v>
      </c>
    </row>
    <row r="184" spans="1:10" x14ac:dyDescent="0.2">
      <c r="A184">
        <v>65</v>
      </c>
      <c r="B184" s="14" t="s">
        <v>195</v>
      </c>
      <c r="C184">
        <v>62</v>
      </c>
      <c r="D184">
        <f t="shared" si="48"/>
        <v>587.34554108704231</v>
      </c>
      <c r="E184">
        <f t="shared" si="49"/>
        <v>2</v>
      </c>
      <c r="F184">
        <v>70.75</v>
      </c>
      <c r="G184" s="14" t="s">
        <v>292</v>
      </c>
      <c r="H184">
        <v>46</v>
      </c>
      <c r="I184">
        <f t="shared" si="50"/>
        <v>233.08504452861115</v>
      </c>
      <c r="J184">
        <f t="shared" si="51"/>
        <v>1</v>
      </c>
    </row>
    <row r="185" spans="1:10" x14ac:dyDescent="0.2">
      <c r="A185">
        <v>65.25</v>
      </c>
      <c r="B185" s="14" t="s">
        <v>199</v>
      </c>
      <c r="C185">
        <v>65</v>
      </c>
      <c r="D185">
        <f t="shared" si="48"/>
        <v>698.47728762097279</v>
      </c>
      <c r="E185">
        <f t="shared" si="49"/>
        <v>3</v>
      </c>
      <c r="F185">
        <v>71</v>
      </c>
      <c r="G185" s="14" t="s">
        <v>188</v>
      </c>
      <c r="H185">
        <v>48</v>
      </c>
      <c r="I185">
        <f t="shared" si="50"/>
        <v>261.62956379894968</v>
      </c>
      <c r="J185">
        <f t="shared" si="51"/>
        <v>2</v>
      </c>
    </row>
    <row r="186" spans="1:10" x14ac:dyDescent="0.2">
      <c r="A186">
        <v>65.5</v>
      </c>
      <c r="B186" s="14" t="s">
        <v>200</v>
      </c>
      <c r="C186">
        <v>64</v>
      </c>
      <c r="D186">
        <f t="shared" si="48"/>
        <v>659.27420622217721</v>
      </c>
      <c r="E186">
        <f t="shared" si="49"/>
        <v>1</v>
      </c>
      <c r="F186">
        <v>71.25</v>
      </c>
      <c r="G186" s="14" t="s">
        <v>148</v>
      </c>
      <c r="H186">
        <v>45</v>
      </c>
      <c r="I186">
        <f t="shared" si="50"/>
        <v>220.00279814001337</v>
      </c>
      <c r="J186">
        <f t="shared" si="51"/>
        <v>3</v>
      </c>
    </row>
    <row r="187" spans="1:10" x14ac:dyDescent="0.2">
      <c r="A187">
        <v>65.75</v>
      </c>
      <c r="B187" s="14" t="s">
        <v>198</v>
      </c>
      <c r="C187">
        <v>67</v>
      </c>
      <c r="D187">
        <f t="shared" si="48"/>
        <v>784.01558732918636</v>
      </c>
      <c r="E187">
        <f t="shared" si="49"/>
        <v>3</v>
      </c>
      <c r="F187">
        <v>71.5</v>
      </c>
      <c r="G187" s="14" t="s">
        <v>292</v>
      </c>
      <c r="H187">
        <v>46</v>
      </c>
      <c r="I187">
        <f t="shared" si="50"/>
        <v>233.08504452861115</v>
      </c>
      <c r="J187">
        <f t="shared" si="51"/>
        <v>1</v>
      </c>
    </row>
    <row r="188" spans="1:10" x14ac:dyDescent="0.2">
      <c r="A188">
        <v>66</v>
      </c>
      <c r="B188" s="14" t="s">
        <v>199</v>
      </c>
      <c r="C188">
        <v>65</v>
      </c>
      <c r="D188">
        <f t="shared" si="48"/>
        <v>698.47728762097279</v>
      </c>
      <c r="E188">
        <f t="shared" si="49"/>
        <v>2</v>
      </c>
      <c r="F188">
        <v>71.75</v>
      </c>
      <c r="G188" s="14" t="s">
        <v>146</v>
      </c>
      <c r="H188">
        <v>43</v>
      </c>
      <c r="I188">
        <f t="shared" si="50"/>
        <v>195.99987576438383</v>
      </c>
      <c r="J188">
        <f t="shared" si="51"/>
        <v>3</v>
      </c>
    </row>
    <row r="189" spans="1:10" x14ac:dyDescent="0.2">
      <c r="A189">
        <v>68.25</v>
      </c>
      <c r="B189" s="14" t="s">
        <v>195</v>
      </c>
      <c r="C189">
        <v>62</v>
      </c>
      <c r="D189">
        <f t="shared" ref="D189:D196" si="52">16.35117682*1.059464^C189</f>
        <v>587.34554108704231</v>
      </c>
      <c r="E189">
        <f>ABS( C189-C188)</f>
        <v>3</v>
      </c>
      <c r="F189">
        <v>72</v>
      </c>
      <c r="G189" s="14" t="s">
        <v>148</v>
      </c>
      <c r="H189">
        <v>45</v>
      </c>
      <c r="I189">
        <f t="shared" si="50"/>
        <v>220.00279814001337</v>
      </c>
      <c r="J189">
        <f t="shared" si="51"/>
        <v>2</v>
      </c>
    </row>
    <row r="190" spans="1:10" x14ac:dyDescent="0.2">
      <c r="A190">
        <v>68.5</v>
      </c>
      <c r="B190" s="14" t="s">
        <v>200</v>
      </c>
      <c r="C190">
        <v>64</v>
      </c>
      <c r="D190">
        <f t="shared" si="52"/>
        <v>659.27420622217721</v>
      </c>
      <c r="E190">
        <f t="shared" ref="E190:E196" si="53">ABS( C190-C189)</f>
        <v>2</v>
      </c>
      <c r="F190">
        <v>72.5</v>
      </c>
      <c r="G190" s="14" t="s">
        <v>292</v>
      </c>
      <c r="H190">
        <v>46</v>
      </c>
      <c r="I190">
        <f t="shared" si="50"/>
        <v>233.08504452861115</v>
      </c>
      <c r="J190">
        <f t="shared" ref="J190:J201" si="54">ABS( H190-H189)</f>
        <v>1</v>
      </c>
    </row>
    <row r="191" spans="1:10" x14ac:dyDescent="0.2">
      <c r="A191">
        <v>68.75</v>
      </c>
      <c r="B191" s="14" t="s">
        <v>199</v>
      </c>
      <c r="C191">
        <v>65</v>
      </c>
      <c r="D191">
        <f t="shared" si="52"/>
        <v>698.47728762097279</v>
      </c>
      <c r="E191">
        <f t="shared" si="53"/>
        <v>1</v>
      </c>
      <c r="F191">
        <v>73</v>
      </c>
      <c r="G191" s="14" t="s">
        <v>148</v>
      </c>
      <c r="H191">
        <v>45</v>
      </c>
      <c r="I191">
        <f t="shared" ref="I191" si="55">16.35117682*1.059464^H191</f>
        <v>220.00279814001337</v>
      </c>
      <c r="J191">
        <f t="shared" si="54"/>
        <v>1</v>
      </c>
    </row>
    <row r="192" spans="1:10" x14ac:dyDescent="0.2">
      <c r="A192">
        <v>69</v>
      </c>
      <c r="B192" s="14" t="s">
        <v>198</v>
      </c>
      <c r="C192">
        <v>67</v>
      </c>
      <c r="D192">
        <f t="shared" si="52"/>
        <v>784.01558732918636</v>
      </c>
      <c r="E192">
        <f t="shared" si="53"/>
        <v>2</v>
      </c>
      <c r="F192">
        <v>73.5</v>
      </c>
      <c r="G192" s="14" t="s">
        <v>146</v>
      </c>
      <c r="H192">
        <v>43</v>
      </c>
      <c r="I192">
        <f t="shared" ref="I192" si="56">16.35117682*1.059464^H192</f>
        <v>195.99987576438383</v>
      </c>
      <c r="J192">
        <f t="shared" si="54"/>
        <v>2</v>
      </c>
    </row>
    <row r="193" spans="1:10" x14ac:dyDescent="0.2">
      <c r="A193">
        <v>69.25</v>
      </c>
      <c r="B193" s="14" t="s">
        <v>200</v>
      </c>
      <c r="C193">
        <v>64</v>
      </c>
      <c r="D193">
        <f t="shared" si="52"/>
        <v>659.27420622217721</v>
      </c>
      <c r="E193">
        <f t="shared" si="53"/>
        <v>3</v>
      </c>
      <c r="F193">
        <v>74</v>
      </c>
      <c r="G193" s="14" t="s">
        <v>145</v>
      </c>
      <c r="H193">
        <v>41</v>
      </c>
      <c r="I193">
        <f t="shared" ref="I193" si="57">16.35117682*1.059464^H193</f>
        <v>174.61573954711864</v>
      </c>
      <c r="J193">
        <f t="shared" si="54"/>
        <v>2</v>
      </c>
    </row>
    <row r="194" spans="1:10" x14ac:dyDescent="0.2">
      <c r="A194">
        <v>69.5</v>
      </c>
      <c r="B194" s="14" t="s">
        <v>199</v>
      </c>
      <c r="C194">
        <v>65</v>
      </c>
      <c r="D194">
        <f t="shared" si="52"/>
        <v>698.47728762097279</v>
      </c>
      <c r="E194">
        <f t="shared" si="53"/>
        <v>1</v>
      </c>
      <c r="F194">
        <v>74.5</v>
      </c>
      <c r="G194" s="14" t="s">
        <v>189</v>
      </c>
      <c r="H194">
        <v>50</v>
      </c>
      <c r="I194">
        <f t="shared" ref="I194" si="58">16.35117682*1.059464^H194</f>
        <v>293.66975814369101</v>
      </c>
      <c r="J194">
        <f t="shared" si="54"/>
        <v>9</v>
      </c>
    </row>
    <row r="195" spans="1:10" x14ac:dyDescent="0.2">
      <c r="A195">
        <v>69.75</v>
      </c>
      <c r="B195" s="14" t="s">
        <v>195</v>
      </c>
      <c r="C195">
        <v>62</v>
      </c>
      <c r="D195">
        <f t="shared" si="52"/>
        <v>587.34554108704231</v>
      </c>
      <c r="E195">
        <f t="shared" si="53"/>
        <v>3</v>
      </c>
      <c r="F195">
        <v>75</v>
      </c>
      <c r="G195" s="14" t="s">
        <v>188</v>
      </c>
      <c r="H195">
        <v>48</v>
      </c>
      <c r="I195">
        <f t="shared" ref="I195" si="59">16.35117682*1.059464^H195</f>
        <v>261.62956379894968</v>
      </c>
      <c r="J195">
        <f t="shared" si="54"/>
        <v>2</v>
      </c>
    </row>
    <row r="196" spans="1:10" x14ac:dyDescent="0.2">
      <c r="A196">
        <v>70</v>
      </c>
      <c r="B196" s="14" t="s">
        <v>200</v>
      </c>
      <c r="C196">
        <v>64</v>
      </c>
      <c r="D196">
        <f t="shared" si="52"/>
        <v>659.27420622217721</v>
      </c>
      <c r="E196">
        <f t="shared" si="53"/>
        <v>2</v>
      </c>
      <c r="F196">
        <v>75.5</v>
      </c>
      <c r="G196" s="14" t="s">
        <v>292</v>
      </c>
      <c r="H196">
        <v>46</v>
      </c>
      <c r="I196">
        <f t="shared" ref="I196" si="60">16.35117682*1.059464^H196</f>
        <v>233.08504452861115</v>
      </c>
      <c r="J196">
        <f t="shared" si="54"/>
        <v>2</v>
      </c>
    </row>
    <row r="197" spans="1:10" x14ac:dyDescent="0.2">
      <c r="A197">
        <v>72.25</v>
      </c>
      <c r="B197" s="14" t="s">
        <v>193</v>
      </c>
      <c r="C197">
        <v>60</v>
      </c>
      <c r="D197">
        <f t="shared" ref="D197:D241" si="61">16.35117682*1.059464^C197</f>
        <v>523.26449507501752</v>
      </c>
      <c r="E197">
        <f>ABS( C197-C196)</f>
        <v>4</v>
      </c>
      <c r="F197">
        <v>76</v>
      </c>
      <c r="G197" s="14" t="s">
        <v>148</v>
      </c>
      <c r="H197">
        <v>45</v>
      </c>
      <c r="I197">
        <f t="shared" ref="I197" si="62">16.35117682*1.059464^H197</f>
        <v>220.00279814001337</v>
      </c>
      <c r="J197">
        <f t="shared" si="54"/>
        <v>1</v>
      </c>
    </row>
    <row r="198" spans="1:10" x14ac:dyDescent="0.2">
      <c r="A198">
        <v>72.5</v>
      </c>
      <c r="B198" s="14" t="s">
        <v>195</v>
      </c>
      <c r="C198">
        <v>62</v>
      </c>
      <c r="D198">
        <f t="shared" si="61"/>
        <v>587.34554108704231</v>
      </c>
      <c r="E198">
        <f t="shared" ref="E198:E220" si="63">ABS( C198-C197)</f>
        <v>2</v>
      </c>
      <c r="F198">
        <v>76.5</v>
      </c>
      <c r="G198" s="14" t="s">
        <v>191</v>
      </c>
      <c r="H198">
        <v>53</v>
      </c>
      <c r="I198">
        <f t="shared" ref="I198" si="64">16.35117682*1.059464^H198</f>
        <v>349.23506143398839</v>
      </c>
      <c r="J198">
        <f t="shared" si="54"/>
        <v>8</v>
      </c>
    </row>
    <row r="199" spans="1:10" x14ac:dyDescent="0.2">
      <c r="A199">
        <v>72.75</v>
      </c>
      <c r="B199" s="14" t="s">
        <v>200</v>
      </c>
      <c r="C199">
        <v>64</v>
      </c>
      <c r="D199">
        <f t="shared" si="61"/>
        <v>659.27420622217721</v>
      </c>
      <c r="E199">
        <f t="shared" si="63"/>
        <v>2</v>
      </c>
      <c r="F199">
        <v>77</v>
      </c>
      <c r="G199" s="14" t="s">
        <v>190</v>
      </c>
      <c r="H199">
        <v>52</v>
      </c>
      <c r="I199">
        <f t="shared" ref="I199" si="65">16.35117682*1.059464^H199</f>
        <v>329.63372180082422</v>
      </c>
      <c r="J199">
        <f t="shared" si="54"/>
        <v>1</v>
      </c>
    </row>
    <row r="200" spans="1:10" x14ac:dyDescent="0.2">
      <c r="A200">
        <v>73</v>
      </c>
      <c r="B200" s="14" t="s">
        <v>199</v>
      </c>
      <c r="C200">
        <v>65</v>
      </c>
      <c r="D200">
        <f t="shared" si="61"/>
        <v>698.47728762097279</v>
      </c>
      <c r="E200">
        <f t="shared" si="63"/>
        <v>1</v>
      </c>
      <c r="F200">
        <v>77.5</v>
      </c>
      <c r="G200" s="14" t="s">
        <v>189</v>
      </c>
      <c r="H200">
        <v>50</v>
      </c>
      <c r="I200">
        <f t="shared" ref="I200" si="66">16.35117682*1.059464^H200</f>
        <v>293.66975814369101</v>
      </c>
      <c r="J200">
        <f t="shared" si="54"/>
        <v>2</v>
      </c>
    </row>
    <row r="201" spans="1:10" x14ac:dyDescent="0.2">
      <c r="A201">
        <v>73.25</v>
      </c>
      <c r="B201" s="14" t="s">
        <v>195</v>
      </c>
      <c r="C201">
        <v>62</v>
      </c>
      <c r="D201">
        <f t="shared" si="61"/>
        <v>587.34554108704231</v>
      </c>
      <c r="E201">
        <f t="shared" si="63"/>
        <v>3</v>
      </c>
      <c r="F201">
        <v>78</v>
      </c>
      <c r="G201" s="14" t="s">
        <v>190</v>
      </c>
      <c r="H201">
        <v>52</v>
      </c>
      <c r="I201">
        <f t="shared" ref="I201:I209" si="67">16.35117682*1.059464^H201</f>
        <v>329.63372180082422</v>
      </c>
      <c r="J201">
        <f t="shared" si="54"/>
        <v>2</v>
      </c>
    </row>
    <row r="202" spans="1:10" x14ac:dyDescent="0.2">
      <c r="A202">
        <v>73.5</v>
      </c>
      <c r="B202" s="14" t="s">
        <v>200</v>
      </c>
      <c r="C202">
        <v>64</v>
      </c>
      <c r="D202">
        <f t="shared" si="61"/>
        <v>659.27420622217721</v>
      </c>
      <c r="E202">
        <f t="shared" si="63"/>
        <v>2</v>
      </c>
      <c r="F202">
        <v>78.25</v>
      </c>
      <c r="G202" s="14" t="s">
        <v>143</v>
      </c>
      <c r="H202">
        <v>38</v>
      </c>
      <c r="I202">
        <f t="shared" si="67"/>
        <v>146.83337288738056</v>
      </c>
      <c r="J202">
        <f t="shared" ref="J202:J209" si="68">ABS( H202-H201)</f>
        <v>14</v>
      </c>
    </row>
    <row r="203" spans="1:10" x14ac:dyDescent="0.2">
      <c r="A203">
        <v>73.75</v>
      </c>
      <c r="B203" s="14" t="s">
        <v>193</v>
      </c>
      <c r="C203">
        <v>60</v>
      </c>
      <c r="D203">
        <f t="shared" si="61"/>
        <v>523.26449507501752</v>
      </c>
      <c r="E203">
        <f t="shared" si="63"/>
        <v>4</v>
      </c>
      <c r="F203">
        <v>78.5</v>
      </c>
      <c r="G203" s="14" t="s">
        <v>144</v>
      </c>
      <c r="H203">
        <v>40</v>
      </c>
      <c r="I203">
        <f t="shared" si="67"/>
        <v>164.8151702626221</v>
      </c>
      <c r="J203">
        <f t="shared" si="68"/>
        <v>2</v>
      </c>
    </row>
    <row r="204" spans="1:10" x14ac:dyDescent="0.2">
      <c r="A204">
        <v>74</v>
      </c>
      <c r="B204" s="14" t="s">
        <v>195</v>
      </c>
      <c r="C204">
        <v>62</v>
      </c>
      <c r="D204">
        <f t="shared" si="61"/>
        <v>587.34554108704231</v>
      </c>
      <c r="E204">
        <f t="shared" si="63"/>
        <v>2</v>
      </c>
      <c r="F204">
        <v>78.75</v>
      </c>
      <c r="G204" s="14" t="s">
        <v>145</v>
      </c>
      <c r="H204">
        <v>41</v>
      </c>
      <c r="I204">
        <f t="shared" si="67"/>
        <v>174.61573954711864</v>
      </c>
      <c r="J204">
        <f t="shared" si="68"/>
        <v>1</v>
      </c>
    </row>
    <row r="205" spans="1:10" x14ac:dyDescent="0.2">
      <c r="A205">
        <v>74.25</v>
      </c>
      <c r="B205" s="14" t="s">
        <v>200</v>
      </c>
      <c r="C205">
        <v>64</v>
      </c>
      <c r="D205">
        <f t="shared" si="61"/>
        <v>659.27420622217721</v>
      </c>
      <c r="E205">
        <f t="shared" si="63"/>
        <v>2</v>
      </c>
      <c r="F205">
        <v>79</v>
      </c>
      <c r="G205" s="14" t="s">
        <v>146</v>
      </c>
      <c r="H205">
        <v>43</v>
      </c>
      <c r="I205">
        <f t="shared" si="67"/>
        <v>195.99987576438383</v>
      </c>
      <c r="J205">
        <f t="shared" si="68"/>
        <v>2</v>
      </c>
    </row>
    <row r="206" spans="1:10" x14ac:dyDescent="0.2">
      <c r="A206">
        <v>74.5</v>
      </c>
      <c r="B206" s="14" t="s">
        <v>199</v>
      </c>
      <c r="C206">
        <v>65</v>
      </c>
      <c r="D206">
        <f t="shared" si="61"/>
        <v>698.47728762097279</v>
      </c>
      <c r="E206">
        <f t="shared" si="63"/>
        <v>1</v>
      </c>
      <c r="F206">
        <v>79.25</v>
      </c>
      <c r="G206" s="14" t="s">
        <v>144</v>
      </c>
      <c r="H206">
        <v>40</v>
      </c>
      <c r="I206">
        <f t="shared" si="67"/>
        <v>164.8151702626221</v>
      </c>
      <c r="J206">
        <f t="shared" si="68"/>
        <v>3</v>
      </c>
    </row>
    <row r="207" spans="1:10" x14ac:dyDescent="0.2">
      <c r="A207">
        <v>74.75</v>
      </c>
      <c r="B207" s="14" t="s">
        <v>198</v>
      </c>
      <c r="C207">
        <v>67</v>
      </c>
      <c r="D207">
        <f t="shared" si="61"/>
        <v>784.01558732918636</v>
      </c>
      <c r="E207">
        <f t="shared" si="63"/>
        <v>2</v>
      </c>
      <c r="F207">
        <v>79.5</v>
      </c>
      <c r="G207" s="14" t="s">
        <v>145</v>
      </c>
      <c r="H207">
        <v>41</v>
      </c>
      <c r="I207">
        <f t="shared" si="67"/>
        <v>174.61573954711864</v>
      </c>
      <c r="J207">
        <f t="shared" si="68"/>
        <v>1</v>
      </c>
    </row>
    <row r="208" spans="1:10" x14ac:dyDescent="0.2">
      <c r="A208">
        <v>75</v>
      </c>
      <c r="B208" s="14" t="s">
        <v>201</v>
      </c>
      <c r="C208">
        <v>69</v>
      </c>
      <c r="D208">
        <f t="shared" si="61"/>
        <v>880.02924657542201</v>
      </c>
      <c r="E208">
        <f t="shared" si="63"/>
        <v>2</v>
      </c>
      <c r="F208">
        <v>79.75</v>
      </c>
      <c r="G208" s="14" t="s">
        <v>143</v>
      </c>
      <c r="H208">
        <v>38</v>
      </c>
      <c r="I208">
        <f t="shared" si="67"/>
        <v>146.83337288738056</v>
      </c>
      <c r="J208">
        <f t="shared" si="68"/>
        <v>3</v>
      </c>
    </row>
    <row r="209" spans="1:10" x14ac:dyDescent="0.2">
      <c r="A209">
        <v>75.25</v>
      </c>
      <c r="B209" s="14" t="s">
        <v>199</v>
      </c>
      <c r="C209">
        <v>65</v>
      </c>
      <c r="D209">
        <f t="shared" si="61"/>
        <v>698.47728762097279</v>
      </c>
      <c r="E209">
        <f t="shared" si="63"/>
        <v>4</v>
      </c>
      <c r="F209">
        <v>80</v>
      </c>
      <c r="G209" s="14" t="s">
        <v>144</v>
      </c>
      <c r="H209">
        <v>40</v>
      </c>
      <c r="I209">
        <f t="shared" si="67"/>
        <v>164.8151702626221</v>
      </c>
      <c r="J209">
        <f t="shared" si="68"/>
        <v>2</v>
      </c>
    </row>
    <row r="210" spans="1:10" x14ac:dyDescent="0.2">
      <c r="A210">
        <v>75.5</v>
      </c>
      <c r="B210" s="14" t="s">
        <v>198</v>
      </c>
      <c r="C210">
        <v>67</v>
      </c>
      <c r="D210">
        <f t="shared" si="61"/>
        <v>784.01558732918636</v>
      </c>
      <c r="E210">
        <f t="shared" si="63"/>
        <v>2</v>
      </c>
      <c r="F210">
        <v>80.5</v>
      </c>
      <c r="G210" s="14" t="s">
        <v>142</v>
      </c>
      <c r="H210">
        <v>36</v>
      </c>
      <c r="I210">
        <f t="shared" ref="I210" si="69">16.35117682*1.059464^H210</f>
        <v>130.81344004395982</v>
      </c>
      <c r="J210">
        <f t="shared" ref="J210:J219" si="70">ABS( H210-H209)</f>
        <v>4</v>
      </c>
    </row>
    <row r="211" spans="1:10" x14ac:dyDescent="0.2">
      <c r="A211">
        <v>75.75</v>
      </c>
      <c r="B211" s="14" t="s">
        <v>200</v>
      </c>
      <c r="C211">
        <v>64</v>
      </c>
      <c r="D211">
        <f t="shared" si="61"/>
        <v>659.27420622217721</v>
      </c>
      <c r="E211">
        <f t="shared" si="63"/>
        <v>3</v>
      </c>
      <c r="F211">
        <v>81</v>
      </c>
      <c r="G211" s="14" t="s">
        <v>143</v>
      </c>
      <c r="H211">
        <v>38</v>
      </c>
      <c r="I211">
        <f t="shared" ref="I211" si="71">16.35117682*1.059464^H211</f>
        <v>146.83337288738056</v>
      </c>
      <c r="J211">
        <f t="shared" si="70"/>
        <v>2</v>
      </c>
    </row>
    <row r="212" spans="1:10" x14ac:dyDescent="0.2">
      <c r="A212">
        <v>76</v>
      </c>
      <c r="B212" s="14" t="s">
        <v>199</v>
      </c>
      <c r="C212">
        <v>65</v>
      </c>
      <c r="D212">
        <f t="shared" si="61"/>
        <v>698.47728762097279</v>
      </c>
      <c r="E212">
        <f t="shared" si="63"/>
        <v>1</v>
      </c>
      <c r="F212">
        <v>81.5</v>
      </c>
      <c r="G212" s="14" t="s">
        <v>144</v>
      </c>
      <c r="H212">
        <v>40</v>
      </c>
      <c r="I212">
        <f t="shared" ref="I212" si="72">16.35117682*1.059464^H212</f>
        <v>164.8151702626221</v>
      </c>
      <c r="J212">
        <f t="shared" si="70"/>
        <v>2</v>
      </c>
    </row>
    <row r="213" spans="1:10" x14ac:dyDescent="0.2">
      <c r="A213">
        <v>76.25</v>
      </c>
      <c r="B213" s="14" t="s">
        <v>198</v>
      </c>
      <c r="C213">
        <v>67</v>
      </c>
      <c r="D213">
        <f t="shared" si="61"/>
        <v>784.01558732918636</v>
      </c>
      <c r="E213">
        <f t="shared" si="63"/>
        <v>2</v>
      </c>
      <c r="F213">
        <v>82</v>
      </c>
      <c r="G213" s="14" t="s">
        <v>145</v>
      </c>
      <c r="H213">
        <v>41</v>
      </c>
      <c r="I213">
        <f t="shared" ref="I213:I217" si="73">16.35117682*1.059464^H213</f>
        <v>174.61573954711864</v>
      </c>
      <c r="J213">
        <f t="shared" si="70"/>
        <v>1</v>
      </c>
    </row>
    <row r="214" spans="1:10" x14ac:dyDescent="0.2">
      <c r="A214">
        <v>76.5</v>
      </c>
      <c r="B214" s="14" t="s">
        <v>201</v>
      </c>
      <c r="C214">
        <v>69</v>
      </c>
      <c r="D214">
        <f t="shared" si="61"/>
        <v>880.02924657542201</v>
      </c>
      <c r="E214">
        <f t="shared" si="63"/>
        <v>2</v>
      </c>
      <c r="F214">
        <v>82.25</v>
      </c>
      <c r="G214" s="14" t="s">
        <v>143</v>
      </c>
      <c r="H214">
        <v>38</v>
      </c>
      <c r="I214">
        <f t="shared" si="73"/>
        <v>146.83337288738056</v>
      </c>
      <c r="J214">
        <f t="shared" si="70"/>
        <v>3</v>
      </c>
    </row>
    <row r="215" spans="1:10" x14ac:dyDescent="0.2">
      <c r="A215">
        <v>76.75</v>
      </c>
      <c r="B215" s="14" t="s">
        <v>194</v>
      </c>
      <c r="C215">
        <v>71</v>
      </c>
      <c r="D215">
        <f t="shared" si="61"/>
        <v>987.80111944755811</v>
      </c>
      <c r="E215">
        <f t="shared" si="63"/>
        <v>2</v>
      </c>
      <c r="F215">
        <v>82.5</v>
      </c>
      <c r="G215" s="14" t="s">
        <v>144</v>
      </c>
      <c r="H215">
        <v>40</v>
      </c>
      <c r="I215">
        <f t="shared" si="73"/>
        <v>164.8151702626221</v>
      </c>
      <c r="J215">
        <f t="shared" si="70"/>
        <v>2</v>
      </c>
    </row>
    <row r="216" spans="1:10" x14ac:dyDescent="0.2">
      <c r="A216">
        <v>77</v>
      </c>
      <c r="B216" s="14" t="s">
        <v>139</v>
      </c>
      <c r="C216">
        <v>72</v>
      </c>
      <c r="D216">
        <f t="shared" si="61"/>
        <v>1046.5397252143878</v>
      </c>
      <c r="E216">
        <f t="shared" si="63"/>
        <v>1</v>
      </c>
      <c r="F216">
        <v>82.75</v>
      </c>
      <c r="G216" s="14" t="s">
        <v>145</v>
      </c>
      <c r="H216">
        <v>41</v>
      </c>
      <c r="I216">
        <f t="shared" si="73"/>
        <v>174.61573954711864</v>
      </c>
      <c r="J216">
        <f t="shared" si="70"/>
        <v>1</v>
      </c>
    </row>
    <row r="217" spans="1:10" x14ac:dyDescent="0.2">
      <c r="A217">
        <v>77.25</v>
      </c>
      <c r="B217" s="14" t="s">
        <v>201</v>
      </c>
      <c r="C217">
        <v>69</v>
      </c>
      <c r="D217">
        <f t="shared" si="61"/>
        <v>880.02924657542201</v>
      </c>
      <c r="E217">
        <f t="shared" si="63"/>
        <v>3</v>
      </c>
      <c r="F217">
        <v>83</v>
      </c>
      <c r="G217" s="14" t="s">
        <v>146</v>
      </c>
      <c r="H217">
        <v>43</v>
      </c>
      <c r="I217">
        <f t="shared" si="73"/>
        <v>195.99987576438383</v>
      </c>
      <c r="J217">
        <f t="shared" si="70"/>
        <v>2</v>
      </c>
    </row>
    <row r="218" spans="1:10" x14ac:dyDescent="0.2">
      <c r="A218">
        <v>77.5</v>
      </c>
      <c r="B218" s="14" t="s">
        <v>194</v>
      </c>
      <c r="C218">
        <v>71</v>
      </c>
      <c r="D218">
        <f t="shared" si="61"/>
        <v>987.80111944755811</v>
      </c>
      <c r="E218">
        <f t="shared" si="63"/>
        <v>2</v>
      </c>
      <c r="F218">
        <v>83.5</v>
      </c>
      <c r="G218" s="14" t="s">
        <v>147</v>
      </c>
      <c r="H218">
        <v>31</v>
      </c>
      <c r="I218">
        <f t="shared" ref="I218" si="74">16.35117682*1.059464^H218</f>
        <v>97.998932630681253</v>
      </c>
      <c r="J218">
        <f t="shared" si="70"/>
        <v>12</v>
      </c>
    </row>
    <row r="219" spans="1:10" x14ac:dyDescent="0.2">
      <c r="A219">
        <v>77.75</v>
      </c>
      <c r="B219" s="14" t="s">
        <v>198</v>
      </c>
      <c r="C219">
        <v>67</v>
      </c>
      <c r="D219">
        <f t="shared" si="61"/>
        <v>784.01558732918636</v>
      </c>
      <c r="E219">
        <f t="shared" si="63"/>
        <v>4</v>
      </c>
      <c r="F219">
        <v>84</v>
      </c>
      <c r="G219" s="14" t="s">
        <v>142</v>
      </c>
      <c r="H219">
        <v>36</v>
      </c>
      <c r="I219">
        <f t="shared" ref="I219" si="75">16.35117682*1.059464^H219</f>
        <v>130.81344004395982</v>
      </c>
      <c r="J219">
        <f t="shared" si="70"/>
        <v>5</v>
      </c>
    </row>
    <row r="220" spans="1:10" x14ac:dyDescent="0.2">
      <c r="A220">
        <v>78</v>
      </c>
      <c r="B220" s="14" t="s">
        <v>139</v>
      </c>
      <c r="C220">
        <v>72</v>
      </c>
      <c r="D220">
        <f t="shared" si="61"/>
        <v>1046.5397252143878</v>
      </c>
      <c r="E220">
        <f t="shared" si="63"/>
        <v>5</v>
      </c>
    </row>
    <row r="221" spans="1:10" x14ac:dyDescent="0.2">
      <c r="A221">
        <v>78.5</v>
      </c>
      <c r="B221" s="14" t="s">
        <v>198</v>
      </c>
      <c r="C221">
        <v>67</v>
      </c>
      <c r="D221">
        <f t="shared" si="61"/>
        <v>784.01558732918636</v>
      </c>
      <c r="E221">
        <f>ABS( C221-C220)</f>
        <v>5</v>
      </c>
    </row>
    <row r="222" spans="1:10" x14ac:dyDescent="0.2">
      <c r="A222">
        <v>79</v>
      </c>
      <c r="B222" s="14" t="s">
        <v>200</v>
      </c>
      <c r="C222">
        <v>64</v>
      </c>
      <c r="D222">
        <f t="shared" si="61"/>
        <v>659.27420622217721</v>
      </c>
      <c r="E222">
        <f>ABS( C222-C221)</f>
        <v>3</v>
      </c>
    </row>
    <row r="223" spans="1:10" x14ac:dyDescent="0.2">
      <c r="A223">
        <v>79.5</v>
      </c>
      <c r="B223" s="14" t="s">
        <v>195</v>
      </c>
      <c r="C223">
        <v>62</v>
      </c>
      <c r="D223">
        <f t="shared" si="61"/>
        <v>587.34554108704231</v>
      </c>
      <c r="E223">
        <f>ABS( C223-C222)</f>
        <v>2</v>
      </c>
    </row>
    <row r="224" spans="1:10" x14ac:dyDescent="0.2">
      <c r="A224">
        <v>79.75</v>
      </c>
      <c r="B224" s="14" t="s">
        <v>193</v>
      </c>
      <c r="C224">
        <v>60</v>
      </c>
      <c r="D224">
        <f t="shared" si="61"/>
        <v>523.26449507501752</v>
      </c>
      <c r="E224">
        <f t="shared" ref="E224:E241" si="76">ABS( C224-C223)</f>
        <v>2</v>
      </c>
    </row>
    <row r="225" spans="1:5" x14ac:dyDescent="0.2">
      <c r="A225">
        <v>80</v>
      </c>
      <c r="B225" s="14" t="s">
        <v>193</v>
      </c>
      <c r="C225">
        <v>60</v>
      </c>
      <c r="D225">
        <f t="shared" si="61"/>
        <v>523.26449507501752</v>
      </c>
      <c r="E225">
        <f t="shared" si="76"/>
        <v>0</v>
      </c>
    </row>
    <row r="226" spans="1:5" x14ac:dyDescent="0.2">
      <c r="A226">
        <v>80.25</v>
      </c>
      <c r="B226" s="14" t="s">
        <v>411</v>
      </c>
      <c r="C226">
        <v>58</v>
      </c>
      <c r="D226">
        <f t="shared" si="61"/>
        <v>466.17487092753117</v>
      </c>
      <c r="E226">
        <f t="shared" si="76"/>
        <v>2</v>
      </c>
    </row>
    <row r="227" spans="1:5" x14ac:dyDescent="0.2">
      <c r="A227">
        <v>80.5</v>
      </c>
      <c r="B227" s="14" t="s">
        <v>196</v>
      </c>
      <c r="C227">
        <v>57</v>
      </c>
      <c r="D227">
        <f t="shared" si="61"/>
        <v>440.01010976071973</v>
      </c>
      <c r="E227">
        <f t="shared" si="76"/>
        <v>1</v>
      </c>
    </row>
    <row r="228" spans="1:5" x14ac:dyDescent="0.2">
      <c r="A228">
        <v>80.75</v>
      </c>
      <c r="B228" s="14" t="s">
        <v>192</v>
      </c>
      <c r="C228">
        <v>55</v>
      </c>
      <c r="D228">
        <f t="shared" si="61"/>
        <v>392.00377257605692</v>
      </c>
      <c r="E228">
        <f t="shared" si="76"/>
        <v>2</v>
      </c>
    </row>
    <row r="229" spans="1:5" x14ac:dyDescent="0.2">
      <c r="A229">
        <v>81</v>
      </c>
      <c r="B229" s="14" t="s">
        <v>191</v>
      </c>
      <c r="C229">
        <v>53</v>
      </c>
      <c r="D229">
        <f t="shared" si="61"/>
        <v>349.23506143398839</v>
      </c>
      <c r="E229">
        <f t="shared" si="76"/>
        <v>2</v>
      </c>
    </row>
    <row r="230" spans="1:5" x14ac:dyDescent="0.2">
      <c r="A230">
        <v>81.25</v>
      </c>
      <c r="B230" s="14" t="s">
        <v>196</v>
      </c>
      <c r="C230">
        <v>57</v>
      </c>
      <c r="D230">
        <f t="shared" si="61"/>
        <v>440.01010976071973</v>
      </c>
      <c r="E230">
        <f t="shared" si="76"/>
        <v>4</v>
      </c>
    </row>
    <row r="231" spans="1:5" x14ac:dyDescent="0.2">
      <c r="A231">
        <v>81.5</v>
      </c>
      <c r="B231" s="14" t="s">
        <v>192</v>
      </c>
      <c r="C231">
        <v>55</v>
      </c>
      <c r="D231">
        <f t="shared" si="61"/>
        <v>392.00377257605692</v>
      </c>
      <c r="E231">
        <f t="shared" si="76"/>
        <v>2</v>
      </c>
    </row>
    <row r="232" spans="1:5" x14ac:dyDescent="0.2">
      <c r="A232">
        <v>81.75</v>
      </c>
      <c r="B232" s="14" t="s">
        <v>411</v>
      </c>
      <c r="C232">
        <v>58</v>
      </c>
      <c r="D232">
        <f t="shared" si="61"/>
        <v>466.17487092753117</v>
      </c>
      <c r="E232">
        <f t="shared" si="76"/>
        <v>3</v>
      </c>
    </row>
    <row r="233" spans="1:5" x14ac:dyDescent="0.2">
      <c r="A233">
        <v>82</v>
      </c>
      <c r="B233" s="14" t="s">
        <v>196</v>
      </c>
      <c r="C233">
        <v>57</v>
      </c>
      <c r="D233">
        <f t="shared" si="61"/>
        <v>440.01010976071973</v>
      </c>
      <c r="E233">
        <f t="shared" si="76"/>
        <v>1</v>
      </c>
    </row>
    <row r="234" spans="1:5" x14ac:dyDescent="0.2">
      <c r="A234">
        <v>82.25</v>
      </c>
      <c r="B234" s="14" t="s">
        <v>197</v>
      </c>
      <c r="C234">
        <v>59</v>
      </c>
      <c r="D234">
        <f t="shared" si="61"/>
        <v>493.89549345236594</v>
      </c>
      <c r="E234">
        <f t="shared" si="76"/>
        <v>2</v>
      </c>
    </row>
    <row r="235" spans="1:5" x14ac:dyDescent="0.2">
      <c r="A235">
        <v>82.5</v>
      </c>
      <c r="B235" s="14" t="s">
        <v>193</v>
      </c>
      <c r="C235">
        <v>60</v>
      </c>
      <c r="D235">
        <f t="shared" si="61"/>
        <v>523.26449507501752</v>
      </c>
      <c r="E235">
        <f t="shared" si="76"/>
        <v>1</v>
      </c>
    </row>
    <row r="236" spans="1:5" x14ac:dyDescent="0.2">
      <c r="A236">
        <v>82.75</v>
      </c>
      <c r="B236" s="14" t="s">
        <v>190</v>
      </c>
      <c r="C236">
        <v>52</v>
      </c>
      <c r="D236">
        <f t="shared" si="61"/>
        <v>329.63372180082422</v>
      </c>
      <c r="E236">
        <f t="shared" si="76"/>
        <v>8</v>
      </c>
    </row>
    <row r="237" spans="1:5" x14ac:dyDescent="0.2">
      <c r="A237">
        <v>83</v>
      </c>
      <c r="B237" s="14" t="s">
        <v>189</v>
      </c>
      <c r="C237">
        <v>50</v>
      </c>
      <c r="D237">
        <f t="shared" si="61"/>
        <v>293.66975814369101</v>
      </c>
      <c r="E237">
        <f t="shared" si="76"/>
        <v>2</v>
      </c>
    </row>
    <row r="238" spans="1:5" x14ac:dyDescent="0.2">
      <c r="A238">
        <v>83.25</v>
      </c>
      <c r="B238" s="14" t="s">
        <v>193</v>
      </c>
      <c r="C238">
        <v>60</v>
      </c>
      <c r="D238">
        <f t="shared" si="61"/>
        <v>523.26449507501752</v>
      </c>
      <c r="E238">
        <f t="shared" si="76"/>
        <v>10</v>
      </c>
    </row>
    <row r="239" spans="1:5" x14ac:dyDescent="0.2">
      <c r="A239">
        <v>83.5</v>
      </c>
      <c r="B239" s="14" t="s">
        <v>191</v>
      </c>
      <c r="C239">
        <v>53</v>
      </c>
      <c r="D239">
        <f t="shared" si="61"/>
        <v>349.23506143398839</v>
      </c>
      <c r="E239">
        <f t="shared" si="76"/>
        <v>7</v>
      </c>
    </row>
    <row r="240" spans="1:5" x14ac:dyDescent="0.2">
      <c r="A240">
        <v>83.75</v>
      </c>
      <c r="B240" s="14" t="s">
        <v>197</v>
      </c>
      <c r="C240">
        <v>59</v>
      </c>
      <c r="D240">
        <f t="shared" si="61"/>
        <v>493.89549345236594</v>
      </c>
      <c r="E240">
        <f t="shared" si="76"/>
        <v>6</v>
      </c>
    </row>
    <row r="241" spans="1:12" x14ac:dyDescent="0.2">
      <c r="A241">
        <v>84</v>
      </c>
      <c r="B241" s="14" t="s">
        <v>193</v>
      </c>
      <c r="C241">
        <v>60</v>
      </c>
      <c r="D241">
        <f t="shared" si="61"/>
        <v>523.26449507501752</v>
      </c>
      <c r="E241">
        <f t="shared" si="76"/>
        <v>1</v>
      </c>
    </row>
    <row r="243" spans="1:12" x14ac:dyDescent="0.2">
      <c r="A243" t="s">
        <v>258</v>
      </c>
      <c r="C243" s="14" t="s">
        <v>2</v>
      </c>
      <c r="F243" t="s">
        <v>26</v>
      </c>
    </row>
    <row r="244" spans="1:12" x14ac:dyDescent="0.2">
      <c r="A244" t="s">
        <v>475</v>
      </c>
      <c r="B244" t="s">
        <v>477</v>
      </c>
      <c r="C244" t="s">
        <v>478</v>
      </c>
      <c r="D244" t="s">
        <v>476</v>
      </c>
      <c r="E244" t="s">
        <v>354</v>
      </c>
      <c r="F244" t="s">
        <v>475</v>
      </c>
      <c r="G244" t="s">
        <v>477</v>
      </c>
      <c r="H244" t="s">
        <v>478</v>
      </c>
      <c r="I244" t="s">
        <v>476</v>
      </c>
      <c r="J244" t="s">
        <v>471</v>
      </c>
    </row>
    <row r="245" spans="1:12" x14ac:dyDescent="0.2">
      <c r="A245">
        <v>0.25</v>
      </c>
      <c r="B245" t="s">
        <v>479</v>
      </c>
      <c r="C245">
        <v>48</v>
      </c>
      <c r="D245">
        <f t="shared" ref="D245:D276" si="77">16.35117682*1.059464^C245</f>
        <v>261.62956379894968</v>
      </c>
      <c r="F245">
        <v>2.25</v>
      </c>
      <c r="G245" t="s">
        <v>27</v>
      </c>
      <c r="H245">
        <v>36</v>
      </c>
      <c r="I245">
        <f t="shared" ref="I245:I276" si="78">16.35117682*1.059464^H245</f>
        <v>130.81344004395982</v>
      </c>
      <c r="K245" t="s">
        <v>470</v>
      </c>
    </row>
    <row r="246" spans="1:12" x14ac:dyDescent="0.2">
      <c r="A246">
        <v>0.75</v>
      </c>
      <c r="B246" t="s">
        <v>481</v>
      </c>
      <c r="C246">
        <v>52</v>
      </c>
      <c r="D246">
        <f t="shared" si="77"/>
        <v>329.63372180082422</v>
      </c>
      <c r="E246">
        <f t="shared" ref="E246:E277" si="79">ABS( C246-C245)</f>
        <v>4</v>
      </c>
      <c r="F246">
        <v>2.75</v>
      </c>
      <c r="G246" t="s">
        <v>29</v>
      </c>
      <c r="H246">
        <v>40</v>
      </c>
      <c r="I246">
        <f t="shared" si="78"/>
        <v>164.8151702626221</v>
      </c>
      <c r="J246">
        <f t="shared" ref="J246:J277" si="80">ABS( H246-H245)</f>
        <v>4</v>
      </c>
    </row>
    <row r="247" spans="1:12" x14ac:dyDescent="0.2">
      <c r="A247">
        <v>1.25</v>
      </c>
      <c r="B247" t="s">
        <v>480</v>
      </c>
      <c r="C247">
        <v>50</v>
      </c>
      <c r="D247">
        <f t="shared" si="77"/>
        <v>293.66975814369101</v>
      </c>
      <c r="E247">
        <f t="shared" si="79"/>
        <v>2</v>
      </c>
      <c r="F247">
        <v>3.25</v>
      </c>
      <c r="G247" t="s">
        <v>28</v>
      </c>
      <c r="H247">
        <v>38</v>
      </c>
      <c r="I247">
        <f t="shared" si="78"/>
        <v>146.83337288738056</v>
      </c>
      <c r="J247">
        <f t="shared" si="80"/>
        <v>2</v>
      </c>
      <c r="K247" t="s">
        <v>355</v>
      </c>
      <c r="L247" t="s">
        <v>396</v>
      </c>
    </row>
    <row r="248" spans="1:12" x14ac:dyDescent="0.2">
      <c r="A248">
        <v>1.75</v>
      </c>
      <c r="B248" t="s">
        <v>479</v>
      </c>
      <c r="C248">
        <v>48</v>
      </c>
      <c r="D248">
        <f t="shared" si="77"/>
        <v>261.62956379894968</v>
      </c>
      <c r="E248">
        <f t="shared" si="79"/>
        <v>2</v>
      </c>
      <c r="F248">
        <v>3.75</v>
      </c>
      <c r="G248" t="s">
        <v>27</v>
      </c>
      <c r="H248">
        <v>36</v>
      </c>
      <c r="I248">
        <f t="shared" si="78"/>
        <v>130.81344004395982</v>
      </c>
      <c r="J248">
        <f t="shared" si="80"/>
        <v>2</v>
      </c>
      <c r="K248">
        <f>SUM(E246:E363)</f>
        <v>371</v>
      </c>
      <c r="L248">
        <f>(363-244)</f>
        <v>119</v>
      </c>
    </row>
    <row r="249" spans="1:12" x14ac:dyDescent="0.2">
      <c r="A249">
        <v>2.5</v>
      </c>
      <c r="B249" t="s">
        <v>240</v>
      </c>
      <c r="C249">
        <v>60</v>
      </c>
      <c r="D249">
        <f t="shared" si="77"/>
        <v>523.26449507501752</v>
      </c>
      <c r="E249">
        <f t="shared" si="79"/>
        <v>12</v>
      </c>
      <c r="F249">
        <v>4.5</v>
      </c>
      <c r="G249" t="s">
        <v>45</v>
      </c>
      <c r="H249">
        <v>31</v>
      </c>
      <c r="I249">
        <f t="shared" si="78"/>
        <v>97.998932630681253</v>
      </c>
      <c r="J249">
        <f t="shared" si="80"/>
        <v>5</v>
      </c>
    </row>
    <row r="250" spans="1:12" x14ac:dyDescent="0.2">
      <c r="A250">
        <v>3.5</v>
      </c>
      <c r="B250" t="s">
        <v>240</v>
      </c>
      <c r="C250">
        <v>60</v>
      </c>
      <c r="D250">
        <f t="shared" si="77"/>
        <v>523.26449507501752</v>
      </c>
      <c r="E250">
        <f t="shared" si="79"/>
        <v>0</v>
      </c>
      <c r="F250">
        <v>6.5</v>
      </c>
      <c r="G250" t="s">
        <v>46</v>
      </c>
      <c r="H250">
        <v>45</v>
      </c>
      <c r="I250">
        <f t="shared" si="78"/>
        <v>220.00279814001337</v>
      </c>
      <c r="J250">
        <f t="shared" si="80"/>
        <v>14</v>
      </c>
      <c r="K250" t="s">
        <v>356</v>
      </c>
    </row>
    <row r="251" spans="1:12" x14ac:dyDescent="0.2">
      <c r="A251">
        <v>4.25</v>
      </c>
      <c r="B251" t="s">
        <v>239</v>
      </c>
      <c r="C251">
        <v>55</v>
      </c>
      <c r="D251">
        <f t="shared" si="77"/>
        <v>392.00377257605692</v>
      </c>
      <c r="E251">
        <f t="shared" si="79"/>
        <v>5</v>
      </c>
      <c r="F251">
        <v>7</v>
      </c>
      <c r="G251" t="s">
        <v>479</v>
      </c>
      <c r="H251">
        <v>48</v>
      </c>
      <c r="I251">
        <f t="shared" si="78"/>
        <v>261.62956379894968</v>
      </c>
      <c r="J251">
        <f t="shared" si="80"/>
        <v>3</v>
      </c>
      <c r="K251">
        <f>K248/(363-245)</f>
        <v>3.1440677966101696</v>
      </c>
    </row>
    <row r="252" spans="1:12" x14ac:dyDescent="0.2">
      <c r="A252">
        <v>4.75</v>
      </c>
      <c r="B252" t="s">
        <v>244</v>
      </c>
      <c r="C252">
        <v>59</v>
      </c>
      <c r="D252">
        <f t="shared" si="77"/>
        <v>493.89549345236594</v>
      </c>
      <c r="E252">
        <f t="shared" si="79"/>
        <v>4</v>
      </c>
      <c r="F252">
        <v>7.5</v>
      </c>
      <c r="G252" t="s">
        <v>47</v>
      </c>
      <c r="H252">
        <v>47</v>
      </c>
      <c r="I252">
        <f t="shared" si="78"/>
        <v>246.94521361646048</v>
      </c>
      <c r="J252">
        <f t="shared" si="80"/>
        <v>1</v>
      </c>
    </row>
    <row r="253" spans="1:12" x14ac:dyDescent="0.2">
      <c r="A253">
        <v>5.25</v>
      </c>
      <c r="B253" t="s">
        <v>243</v>
      </c>
      <c r="C253">
        <v>57</v>
      </c>
      <c r="D253">
        <f t="shared" si="77"/>
        <v>440.01010976071973</v>
      </c>
      <c r="E253">
        <f t="shared" si="79"/>
        <v>2</v>
      </c>
      <c r="F253">
        <v>8</v>
      </c>
      <c r="G253" t="s">
        <v>479</v>
      </c>
      <c r="H253">
        <v>48</v>
      </c>
      <c r="I253">
        <f t="shared" si="78"/>
        <v>261.62956379894968</v>
      </c>
      <c r="J253">
        <f t="shared" si="80"/>
        <v>1</v>
      </c>
    </row>
    <row r="254" spans="1:12" x14ac:dyDescent="0.2">
      <c r="A254">
        <v>5.75</v>
      </c>
      <c r="B254" t="s">
        <v>239</v>
      </c>
      <c r="C254">
        <v>55</v>
      </c>
      <c r="D254">
        <f t="shared" si="77"/>
        <v>392.00377257605692</v>
      </c>
      <c r="E254">
        <f t="shared" si="79"/>
        <v>2</v>
      </c>
      <c r="F254">
        <v>9</v>
      </c>
      <c r="G254" t="s">
        <v>479</v>
      </c>
      <c r="H254">
        <v>48</v>
      </c>
      <c r="I254">
        <f t="shared" si="78"/>
        <v>261.62956379894968</v>
      </c>
      <c r="J254">
        <f t="shared" si="80"/>
        <v>0</v>
      </c>
      <c r="K254" t="s">
        <v>472</v>
      </c>
    </row>
    <row r="255" spans="1:12" x14ac:dyDescent="0.2">
      <c r="A255">
        <v>6.5</v>
      </c>
      <c r="B255" t="s">
        <v>245</v>
      </c>
      <c r="C255">
        <v>67</v>
      </c>
      <c r="D255">
        <f t="shared" si="77"/>
        <v>784.01558732918636</v>
      </c>
      <c r="E255">
        <f t="shared" si="79"/>
        <v>12</v>
      </c>
      <c r="F255">
        <v>10</v>
      </c>
      <c r="G255" t="s">
        <v>481</v>
      </c>
      <c r="H255">
        <v>52</v>
      </c>
      <c r="I255">
        <f t="shared" si="78"/>
        <v>329.63372180082422</v>
      </c>
      <c r="J255">
        <f t="shared" si="80"/>
        <v>4</v>
      </c>
    </row>
    <row r="256" spans="1:12" x14ac:dyDescent="0.2">
      <c r="A256">
        <v>7.5</v>
      </c>
      <c r="B256" t="s">
        <v>245</v>
      </c>
      <c r="C256">
        <v>67</v>
      </c>
      <c r="D256">
        <f t="shared" si="77"/>
        <v>784.01558732918636</v>
      </c>
      <c r="E256">
        <f t="shared" si="79"/>
        <v>0</v>
      </c>
      <c r="F256">
        <v>11</v>
      </c>
      <c r="G256" t="s">
        <v>46</v>
      </c>
      <c r="H256">
        <v>45</v>
      </c>
      <c r="I256">
        <f t="shared" si="78"/>
        <v>220.00279814001337</v>
      </c>
      <c r="J256">
        <f t="shared" si="80"/>
        <v>7</v>
      </c>
      <c r="K256" t="s">
        <v>235</v>
      </c>
      <c r="L256" t="s">
        <v>396</v>
      </c>
    </row>
    <row r="257" spans="1:12" x14ac:dyDescent="0.2">
      <c r="A257">
        <v>8.25</v>
      </c>
      <c r="B257" t="s">
        <v>256</v>
      </c>
      <c r="C257">
        <v>69</v>
      </c>
      <c r="D257">
        <f t="shared" si="77"/>
        <v>880.02924657542201</v>
      </c>
      <c r="E257">
        <f t="shared" si="79"/>
        <v>2</v>
      </c>
      <c r="F257">
        <v>12</v>
      </c>
      <c r="G257" t="s">
        <v>479</v>
      </c>
      <c r="H257">
        <v>48</v>
      </c>
      <c r="I257">
        <f t="shared" si="78"/>
        <v>261.62956379894968</v>
      </c>
      <c r="J257">
        <f t="shared" si="80"/>
        <v>3</v>
      </c>
      <c r="K257">
        <f>SUM(J246:J352)</f>
        <v>407</v>
      </c>
      <c r="L257">
        <f>(352-244)</f>
        <v>108</v>
      </c>
    </row>
    <row r="258" spans="1:12" x14ac:dyDescent="0.2">
      <c r="A258">
        <v>8.75</v>
      </c>
      <c r="B258" t="s">
        <v>246</v>
      </c>
      <c r="C258">
        <v>65</v>
      </c>
      <c r="D258">
        <f t="shared" si="77"/>
        <v>698.47728762097279</v>
      </c>
      <c r="E258">
        <f t="shared" si="79"/>
        <v>4</v>
      </c>
      <c r="F258">
        <v>13</v>
      </c>
      <c r="G258" t="s">
        <v>48</v>
      </c>
      <c r="H258">
        <v>42</v>
      </c>
      <c r="I258">
        <f t="shared" si="78"/>
        <v>184.99908988354849</v>
      </c>
      <c r="J258">
        <f t="shared" si="80"/>
        <v>6</v>
      </c>
    </row>
    <row r="259" spans="1:12" x14ac:dyDescent="0.2">
      <c r="A259">
        <v>9.25</v>
      </c>
      <c r="B259" t="s">
        <v>245</v>
      </c>
      <c r="C259">
        <v>67</v>
      </c>
      <c r="D259">
        <f t="shared" si="77"/>
        <v>784.01558732918636</v>
      </c>
      <c r="E259">
        <f t="shared" si="79"/>
        <v>2</v>
      </c>
      <c r="F259">
        <v>14</v>
      </c>
      <c r="G259" t="s">
        <v>46</v>
      </c>
      <c r="H259">
        <v>45</v>
      </c>
      <c r="I259">
        <f t="shared" si="78"/>
        <v>220.00279814001337</v>
      </c>
      <c r="J259">
        <f t="shared" si="80"/>
        <v>3</v>
      </c>
      <c r="K259" t="s">
        <v>236</v>
      </c>
    </row>
    <row r="260" spans="1:12" x14ac:dyDescent="0.2">
      <c r="A260">
        <v>9.75</v>
      </c>
      <c r="B260" t="s">
        <v>256</v>
      </c>
      <c r="C260">
        <v>69</v>
      </c>
      <c r="D260">
        <f t="shared" si="77"/>
        <v>880.02924657542201</v>
      </c>
      <c r="E260">
        <f t="shared" si="79"/>
        <v>2</v>
      </c>
      <c r="F260">
        <v>15</v>
      </c>
      <c r="G260" t="s">
        <v>479</v>
      </c>
      <c r="H260">
        <v>48</v>
      </c>
      <c r="I260">
        <f t="shared" si="78"/>
        <v>261.62956379894968</v>
      </c>
      <c r="J260">
        <f t="shared" si="80"/>
        <v>3</v>
      </c>
      <c r="K260">
        <f>K257/(352-245)</f>
        <v>3.8037383177570092</v>
      </c>
    </row>
    <row r="261" spans="1:12" x14ac:dyDescent="0.2">
      <c r="A261">
        <v>10.25</v>
      </c>
      <c r="B261" t="s">
        <v>246</v>
      </c>
      <c r="C261">
        <v>65</v>
      </c>
      <c r="D261">
        <f t="shared" si="77"/>
        <v>698.47728762097279</v>
      </c>
      <c r="E261">
        <f t="shared" si="79"/>
        <v>4</v>
      </c>
      <c r="F261">
        <v>16.5</v>
      </c>
      <c r="G261" t="s">
        <v>29</v>
      </c>
      <c r="H261">
        <v>40</v>
      </c>
      <c r="I261">
        <f t="shared" si="78"/>
        <v>164.8151702626221</v>
      </c>
      <c r="J261">
        <f t="shared" si="80"/>
        <v>8</v>
      </c>
    </row>
    <row r="262" spans="1:12" x14ac:dyDescent="0.2">
      <c r="A262">
        <v>10.75</v>
      </c>
      <c r="B262" t="s">
        <v>242</v>
      </c>
      <c r="C262">
        <v>62</v>
      </c>
      <c r="D262">
        <f t="shared" si="77"/>
        <v>587.34554108704231</v>
      </c>
      <c r="E262">
        <f t="shared" si="79"/>
        <v>3</v>
      </c>
      <c r="F262">
        <v>17</v>
      </c>
      <c r="G262" t="s">
        <v>44</v>
      </c>
      <c r="H262">
        <v>43</v>
      </c>
      <c r="I262">
        <f t="shared" si="78"/>
        <v>195.99987576438383</v>
      </c>
      <c r="J262">
        <f t="shared" si="80"/>
        <v>3</v>
      </c>
    </row>
    <row r="263" spans="1:12" x14ac:dyDescent="0.2">
      <c r="A263">
        <v>11.25</v>
      </c>
      <c r="B263" t="s">
        <v>255</v>
      </c>
      <c r="C263">
        <v>64</v>
      </c>
      <c r="D263">
        <f t="shared" si="77"/>
        <v>659.27420622217721</v>
      </c>
      <c r="E263">
        <f t="shared" si="79"/>
        <v>2</v>
      </c>
      <c r="F263">
        <v>17.5</v>
      </c>
      <c r="G263" t="s">
        <v>48</v>
      </c>
      <c r="H263">
        <v>42</v>
      </c>
      <c r="I263">
        <f t="shared" si="78"/>
        <v>184.99908988354849</v>
      </c>
      <c r="J263">
        <f t="shared" si="80"/>
        <v>1</v>
      </c>
    </row>
    <row r="264" spans="1:12" x14ac:dyDescent="0.2">
      <c r="A264">
        <v>11.75</v>
      </c>
      <c r="B264" t="s">
        <v>246</v>
      </c>
      <c r="C264">
        <v>65</v>
      </c>
      <c r="D264">
        <f t="shared" si="77"/>
        <v>698.47728762097279</v>
      </c>
      <c r="E264">
        <f t="shared" si="79"/>
        <v>1</v>
      </c>
      <c r="F264">
        <v>18</v>
      </c>
      <c r="G264" t="s">
        <v>44</v>
      </c>
      <c r="H264">
        <v>43</v>
      </c>
      <c r="I264">
        <f t="shared" si="78"/>
        <v>195.99987576438383</v>
      </c>
      <c r="J264">
        <f t="shared" si="80"/>
        <v>1</v>
      </c>
    </row>
    <row r="265" spans="1:12" x14ac:dyDescent="0.2">
      <c r="A265">
        <v>12.25</v>
      </c>
      <c r="B265" t="s">
        <v>242</v>
      </c>
      <c r="C265">
        <v>62</v>
      </c>
      <c r="D265">
        <f t="shared" si="77"/>
        <v>587.34554108704231</v>
      </c>
      <c r="E265">
        <f t="shared" si="79"/>
        <v>3</v>
      </c>
      <c r="F265">
        <v>19</v>
      </c>
      <c r="G265" t="s">
        <v>27</v>
      </c>
      <c r="H265">
        <v>36</v>
      </c>
      <c r="I265">
        <f t="shared" si="78"/>
        <v>130.81344004395982</v>
      </c>
      <c r="J265">
        <f t="shared" si="80"/>
        <v>7</v>
      </c>
    </row>
    <row r="266" spans="1:12" x14ac:dyDescent="0.2">
      <c r="A266">
        <v>12.75</v>
      </c>
      <c r="B266" t="s">
        <v>244</v>
      </c>
      <c r="C266">
        <v>59</v>
      </c>
      <c r="D266">
        <f t="shared" si="77"/>
        <v>493.89549345236594</v>
      </c>
      <c r="E266">
        <f t="shared" si="79"/>
        <v>3</v>
      </c>
      <c r="F266">
        <v>20</v>
      </c>
      <c r="G266" t="s">
        <v>29</v>
      </c>
      <c r="H266">
        <v>40</v>
      </c>
      <c r="I266">
        <f t="shared" si="78"/>
        <v>164.8151702626221</v>
      </c>
      <c r="J266">
        <f t="shared" si="80"/>
        <v>4</v>
      </c>
    </row>
    <row r="267" spans="1:12" x14ac:dyDescent="0.2">
      <c r="A267">
        <v>13.25</v>
      </c>
      <c r="B267" t="s">
        <v>240</v>
      </c>
      <c r="C267">
        <v>60</v>
      </c>
      <c r="D267">
        <f t="shared" si="77"/>
        <v>523.26449507501752</v>
      </c>
      <c r="E267">
        <f t="shared" si="79"/>
        <v>1</v>
      </c>
      <c r="F267">
        <v>21</v>
      </c>
      <c r="G267" t="s">
        <v>44</v>
      </c>
      <c r="H267">
        <v>43</v>
      </c>
      <c r="I267">
        <f t="shared" si="78"/>
        <v>195.99987576438383</v>
      </c>
      <c r="J267">
        <f t="shared" si="80"/>
        <v>3</v>
      </c>
    </row>
    <row r="268" spans="1:12" x14ac:dyDescent="0.2">
      <c r="A268">
        <v>13.75</v>
      </c>
      <c r="B268" t="s">
        <v>242</v>
      </c>
      <c r="C268">
        <v>62</v>
      </c>
      <c r="D268">
        <f t="shared" si="77"/>
        <v>587.34554108704231</v>
      </c>
      <c r="E268">
        <f t="shared" si="79"/>
        <v>2</v>
      </c>
      <c r="F268">
        <v>22</v>
      </c>
      <c r="G268" t="s">
        <v>412</v>
      </c>
      <c r="H268">
        <v>35</v>
      </c>
      <c r="I268">
        <f t="shared" si="78"/>
        <v>123.4713402663609</v>
      </c>
      <c r="J268">
        <f t="shared" si="80"/>
        <v>8</v>
      </c>
    </row>
    <row r="269" spans="1:12" x14ac:dyDescent="0.2">
      <c r="A269">
        <v>14.25</v>
      </c>
      <c r="B269" t="s">
        <v>244</v>
      </c>
      <c r="C269">
        <v>59</v>
      </c>
      <c r="D269">
        <f t="shared" si="77"/>
        <v>493.89549345236594</v>
      </c>
      <c r="E269">
        <f t="shared" si="79"/>
        <v>3</v>
      </c>
      <c r="F269">
        <v>23</v>
      </c>
      <c r="G269" t="s">
        <v>28</v>
      </c>
      <c r="H269">
        <v>38</v>
      </c>
      <c r="I269">
        <f t="shared" si="78"/>
        <v>146.83337288738056</v>
      </c>
      <c r="J269">
        <f t="shared" si="80"/>
        <v>3</v>
      </c>
    </row>
    <row r="270" spans="1:12" x14ac:dyDescent="0.2">
      <c r="A270">
        <v>14.75</v>
      </c>
      <c r="B270" t="s">
        <v>239</v>
      </c>
      <c r="C270">
        <v>55</v>
      </c>
      <c r="D270">
        <f t="shared" si="77"/>
        <v>392.00377257605692</v>
      </c>
      <c r="E270">
        <f t="shared" si="79"/>
        <v>4</v>
      </c>
      <c r="F270">
        <v>24.25</v>
      </c>
      <c r="G270" t="s">
        <v>45</v>
      </c>
      <c r="H270">
        <v>31</v>
      </c>
      <c r="I270">
        <f t="shared" si="78"/>
        <v>97.998932630681253</v>
      </c>
      <c r="J270">
        <f t="shared" si="80"/>
        <v>7</v>
      </c>
    </row>
    <row r="271" spans="1:12" x14ac:dyDescent="0.2">
      <c r="A271">
        <v>15.25</v>
      </c>
      <c r="B271" t="s">
        <v>243</v>
      </c>
      <c r="C271">
        <v>57</v>
      </c>
      <c r="D271">
        <f t="shared" si="77"/>
        <v>440.01010976071973</v>
      </c>
      <c r="E271">
        <f t="shared" si="79"/>
        <v>2</v>
      </c>
      <c r="F271">
        <v>24.75</v>
      </c>
      <c r="G271" t="s">
        <v>412</v>
      </c>
      <c r="H271">
        <v>35</v>
      </c>
      <c r="I271">
        <f t="shared" si="78"/>
        <v>123.4713402663609</v>
      </c>
      <c r="J271">
        <f t="shared" si="80"/>
        <v>4</v>
      </c>
    </row>
    <row r="272" spans="1:12" x14ac:dyDescent="0.2">
      <c r="A272">
        <v>15.75</v>
      </c>
      <c r="B272" t="s">
        <v>244</v>
      </c>
      <c r="C272">
        <v>59</v>
      </c>
      <c r="D272">
        <f t="shared" si="77"/>
        <v>493.89549345236594</v>
      </c>
      <c r="E272">
        <f t="shared" si="79"/>
        <v>2</v>
      </c>
      <c r="F272">
        <v>25.25</v>
      </c>
      <c r="G272" t="s">
        <v>414</v>
      </c>
      <c r="H272">
        <v>33</v>
      </c>
      <c r="I272">
        <f t="shared" si="78"/>
        <v>110.00027071140791</v>
      </c>
      <c r="J272">
        <f t="shared" si="80"/>
        <v>2</v>
      </c>
    </row>
    <row r="273" spans="1:10" x14ac:dyDescent="0.2">
      <c r="A273">
        <v>16.5</v>
      </c>
      <c r="B273" t="s">
        <v>480</v>
      </c>
      <c r="C273">
        <v>50</v>
      </c>
      <c r="D273">
        <f t="shared" si="77"/>
        <v>293.66975814369101</v>
      </c>
      <c r="E273">
        <f t="shared" si="79"/>
        <v>9</v>
      </c>
      <c r="F273">
        <v>25.75</v>
      </c>
      <c r="G273" t="s">
        <v>45</v>
      </c>
      <c r="H273">
        <v>31</v>
      </c>
      <c r="I273">
        <f t="shared" si="78"/>
        <v>97.998932630681253</v>
      </c>
      <c r="J273">
        <f t="shared" si="80"/>
        <v>2</v>
      </c>
    </row>
    <row r="274" spans="1:10" x14ac:dyDescent="0.2">
      <c r="A274">
        <v>17.75</v>
      </c>
      <c r="B274" t="s">
        <v>242</v>
      </c>
      <c r="C274">
        <v>62</v>
      </c>
      <c r="D274">
        <f t="shared" si="77"/>
        <v>587.34554108704231</v>
      </c>
      <c r="E274">
        <f t="shared" si="79"/>
        <v>12</v>
      </c>
      <c r="F274">
        <v>26.5</v>
      </c>
      <c r="G274" t="s">
        <v>44</v>
      </c>
      <c r="H274">
        <v>43</v>
      </c>
      <c r="I274">
        <f t="shared" si="78"/>
        <v>195.99987576438383</v>
      </c>
      <c r="J274">
        <f t="shared" si="80"/>
        <v>12</v>
      </c>
    </row>
    <row r="275" spans="1:10" x14ac:dyDescent="0.2">
      <c r="A275">
        <v>18.25</v>
      </c>
      <c r="B275" t="s">
        <v>243</v>
      </c>
      <c r="C275">
        <v>57</v>
      </c>
      <c r="D275">
        <f t="shared" si="77"/>
        <v>440.01010976071973</v>
      </c>
      <c r="E275">
        <f t="shared" si="79"/>
        <v>5</v>
      </c>
      <c r="F275">
        <v>27.5</v>
      </c>
      <c r="G275" t="s">
        <v>44</v>
      </c>
      <c r="H275">
        <v>43</v>
      </c>
      <c r="I275">
        <f t="shared" si="78"/>
        <v>195.99987576438383</v>
      </c>
      <c r="J275">
        <f t="shared" si="80"/>
        <v>0</v>
      </c>
    </row>
    <row r="276" spans="1:10" x14ac:dyDescent="0.2">
      <c r="A276">
        <v>18.75</v>
      </c>
      <c r="B276" t="s">
        <v>257</v>
      </c>
      <c r="C276">
        <v>54</v>
      </c>
      <c r="D276">
        <f t="shared" si="77"/>
        <v>370.00197512709912</v>
      </c>
      <c r="E276">
        <f t="shared" si="79"/>
        <v>3</v>
      </c>
      <c r="F276">
        <v>28.25</v>
      </c>
      <c r="G276" t="s">
        <v>28</v>
      </c>
      <c r="H276">
        <v>38</v>
      </c>
      <c r="I276">
        <f t="shared" si="78"/>
        <v>146.83337288738056</v>
      </c>
      <c r="J276">
        <f t="shared" si="80"/>
        <v>5</v>
      </c>
    </row>
    <row r="277" spans="1:10" x14ac:dyDescent="0.2">
      <c r="A277">
        <v>19.25</v>
      </c>
      <c r="B277" t="s">
        <v>239</v>
      </c>
      <c r="C277">
        <v>55</v>
      </c>
      <c r="D277">
        <f t="shared" ref="D277:D308" si="81">16.35117682*1.059464^C277</f>
        <v>392.00377257605692</v>
      </c>
      <c r="E277">
        <f t="shared" si="79"/>
        <v>1</v>
      </c>
      <c r="F277">
        <v>28.75</v>
      </c>
      <c r="G277" t="s">
        <v>48</v>
      </c>
      <c r="H277">
        <v>42</v>
      </c>
      <c r="I277">
        <f t="shared" ref="I277:I308" si="82">16.35117682*1.059464^H277</f>
        <v>184.99908988354849</v>
      </c>
      <c r="J277">
        <f t="shared" si="80"/>
        <v>4</v>
      </c>
    </row>
    <row r="278" spans="1:10" x14ac:dyDescent="0.2">
      <c r="A278">
        <v>19.75</v>
      </c>
      <c r="B278" t="s">
        <v>243</v>
      </c>
      <c r="C278">
        <v>57</v>
      </c>
      <c r="D278">
        <f t="shared" si="81"/>
        <v>440.01010976071973</v>
      </c>
      <c r="E278">
        <f t="shared" ref="E278:E309" si="83">ABS( C278-C277)</f>
        <v>2</v>
      </c>
      <c r="F278">
        <v>29.25</v>
      </c>
      <c r="G278" t="s">
        <v>29</v>
      </c>
      <c r="H278">
        <v>40</v>
      </c>
      <c r="I278">
        <f t="shared" si="82"/>
        <v>164.8151702626221</v>
      </c>
      <c r="J278">
        <f t="shared" ref="J278:J309" si="84">ABS( H278-H277)</f>
        <v>2</v>
      </c>
    </row>
    <row r="279" spans="1:10" x14ac:dyDescent="0.2">
      <c r="A279">
        <v>20.25</v>
      </c>
      <c r="B279" t="s">
        <v>244</v>
      </c>
      <c r="C279">
        <v>59</v>
      </c>
      <c r="D279">
        <f t="shared" si="81"/>
        <v>493.89549345236594</v>
      </c>
      <c r="E279">
        <f t="shared" si="83"/>
        <v>2</v>
      </c>
      <c r="F279">
        <v>29.75</v>
      </c>
      <c r="G279" t="s">
        <v>28</v>
      </c>
      <c r="H279">
        <v>38</v>
      </c>
      <c r="I279">
        <f t="shared" si="82"/>
        <v>146.83337288738056</v>
      </c>
      <c r="J279">
        <f t="shared" si="84"/>
        <v>2</v>
      </c>
    </row>
    <row r="280" spans="1:10" x14ac:dyDescent="0.2">
      <c r="A280">
        <v>20.75</v>
      </c>
      <c r="B280" t="s">
        <v>240</v>
      </c>
      <c r="C280">
        <v>60</v>
      </c>
      <c r="D280">
        <f t="shared" si="81"/>
        <v>523.26449507501752</v>
      </c>
      <c r="E280">
        <f t="shared" si="83"/>
        <v>1</v>
      </c>
      <c r="F280">
        <v>30.25</v>
      </c>
      <c r="G280" t="s">
        <v>480</v>
      </c>
      <c r="H280">
        <v>50</v>
      </c>
      <c r="I280">
        <f t="shared" si="82"/>
        <v>293.66975814369101</v>
      </c>
      <c r="J280">
        <f t="shared" si="84"/>
        <v>12</v>
      </c>
    </row>
    <row r="281" spans="1:10" x14ac:dyDescent="0.2">
      <c r="A281">
        <v>21.25</v>
      </c>
      <c r="B281" t="s">
        <v>242</v>
      </c>
      <c r="C281">
        <v>62</v>
      </c>
      <c r="D281">
        <f t="shared" si="81"/>
        <v>587.34554108704231</v>
      </c>
      <c r="E281">
        <f t="shared" si="83"/>
        <v>2</v>
      </c>
      <c r="F281">
        <v>31.25</v>
      </c>
      <c r="G281" t="s">
        <v>480</v>
      </c>
      <c r="H281">
        <v>50</v>
      </c>
      <c r="I281">
        <f t="shared" si="82"/>
        <v>293.66975814369101</v>
      </c>
      <c r="J281">
        <f t="shared" si="84"/>
        <v>0</v>
      </c>
    </row>
    <row r="282" spans="1:10" x14ac:dyDescent="0.2">
      <c r="A282">
        <v>21.75</v>
      </c>
      <c r="B282" t="s">
        <v>255</v>
      </c>
      <c r="C282">
        <v>64</v>
      </c>
      <c r="D282">
        <f t="shared" si="81"/>
        <v>659.27420622217721</v>
      </c>
      <c r="E282">
        <f t="shared" si="83"/>
        <v>2</v>
      </c>
      <c r="F282">
        <v>32.25</v>
      </c>
      <c r="G282" t="s">
        <v>239</v>
      </c>
      <c r="H282">
        <v>55</v>
      </c>
      <c r="I282">
        <f t="shared" si="82"/>
        <v>392.00377257605692</v>
      </c>
      <c r="J282">
        <f t="shared" si="84"/>
        <v>5</v>
      </c>
    </row>
    <row r="283" spans="1:10" x14ac:dyDescent="0.2">
      <c r="A283">
        <v>22.25</v>
      </c>
      <c r="B283" t="s">
        <v>244</v>
      </c>
      <c r="C283">
        <v>59</v>
      </c>
      <c r="D283">
        <f t="shared" si="81"/>
        <v>493.89549345236594</v>
      </c>
      <c r="E283">
        <f t="shared" si="83"/>
        <v>5</v>
      </c>
      <c r="F283">
        <v>32.75</v>
      </c>
      <c r="G283" t="s">
        <v>481</v>
      </c>
      <c r="H283">
        <v>52</v>
      </c>
      <c r="I283">
        <f t="shared" si="82"/>
        <v>329.63372180082422</v>
      </c>
      <c r="J283">
        <f t="shared" si="84"/>
        <v>3</v>
      </c>
    </row>
    <row r="284" spans="1:10" x14ac:dyDescent="0.2">
      <c r="A284">
        <v>22.5</v>
      </c>
      <c r="B284" t="s">
        <v>242</v>
      </c>
      <c r="C284">
        <v>62</v>
      </c>
      <c r="D284">
        <f t="shared" si="81"/>
        <v>587.34554108704231</v>
      </c>
      <c r="E284">
        <f t="shared" si="83"/>
        <v>3</v>
      </c>
      <c r="F284">
        <v>33.25</v>
      </c>
      <c r="G284" t="s">
        <v>482</v>
      </c>
      <c r="H284">
        <v>53</v>
      </c>
      <c r="I284">
        <f t="shared" si="82"/>
        <v>349.23506143398839</v>
      </c>
      <c r="J284">
        <f t="shared" si="84"/>
        <v>1</v>
      </c>
    </row>
    <row r="285" spans="1:10" x14ac:dyDescent="0.2">
      <c r="A285">
        <v>23</v>
      </c>
      <c r="B285" t="s">
        <v>244</v>
      </c>
      <c r="C285">
        <v>59</v>
      </c>
      <c r="D285">
        <f t="shared" si="81"/>
        <v>493.89549345236594</v>
      </c>
      <c r="E285">
        <f t="shared" si="83"/>
        <v>3</v>
      </c>
      <c r="F285">
        <v>33.75</v>
      </c>
      <c r="G285" t="s">
        <v>239</v>
      </c>
      <c r="H285">
        <v>55</v>
      </c>
      <c r="I285">
        <f t="shared" si="82"/>
        <v>392.00377257605692</v>
      </c>
      <c r="J285">
        <f t="shared" si="84"/>
        <v>2</v>
      </c>
    </row>
    <row r="286" spans="1:10" x14ac:dyDescent="0.2">
      <c r="A286">
        <v>23.5</v>
      </c>
      <c r="B286" t="s">
        <v>239</v>
      </c>
      <c r="C286">
        <v>55</v>
      </c>
      <c r="D286">
        <f t="shared" si="81"/>
        <v>392.00377257605692</v>
      </c>
      <c r="E286">
        <f t="shared" si="83"/>
        <v>4</v>
      </c>
      <c r="F286">
        <v>34.5</v>
      </c>
      <c r="G286" t="s">
        <v>481</v>
      </c>
      <c r="H286">
        <v>52</v>
      </c>
      <c r="I286">
        <f t="shared" si="82"/>
        <v>329.63372180082422</v>
      </c>
      <c r="J286">
        <f t="shared" si="84"/>
        <v>3</v>
      </c>
    </row>
    <row r="287" spans="1:10" x14ac:dyDescent="0.2">
      <c r="A287">
        <v>26.25</v>
      </c>
      <c r="B287" t="s">
        <v>239</v>
      </c>
      <c r="C287">
        <v>55</v>
      </c>
      <c r="D287">
        <f t="shared" si="81"/>
        <v>392.00377257605692</v>
      </c>
      <c r="E287">
        <f t="shared" si="83"/>
        <v>0</v>
      </c>
      <c r="F287">
        <v>35.5</v>
      </c>
      <c r="G287" t="s">
        <v>480</v>
      </c>
      <c r="H287">
        <v>50</v>
      </c>
      <c r="I287">
        <f t="shared" si="82"/>
        <v>293.66975814369101</v>
      </c>
      <c r="J287">
        <f t="shared" si="84"/>
        <v>2</v>
      </c>
    </row>
    <row r="288" spans="1:10" x14ac:dyDescent="0.2">
      <c r="A288">
        <v>26.75</v>
      </c>
      <c r="B288" t="s">
        <v>244</v>
      </c>
      <c r="C288">
        <v>59</v>
      </c>
      <c r="D288">
        <f t="shared" si="81"/>
        <v>493.89549345236594</v>
      </c>
      <c r="E288">
        <f t="shared" si="83"/>
        <v>4</v>
      </c>
      <c r="F288">
        <v>36.25</v>
      </c>
      <c r="G288" t="s">
        <v>243</v>
      </c>
      <c r="H288">
        <v>57</v>
      </c>
      <c r="I288">
        <f t="shared" si="82"/>
        <v>440.01010976071973</v>
      </c>
      <c r="J288">
        <f t="shared" si="84"/>
        <v>7</v>
      </c>
    </row>
    <row r="289" spans="1:10" x14ac:dyDescent="0.2">
      <c r="A289">
        <v>27.25</v>
      </c>
      <c r="B289" t="s">
        <v>243</v>
      </c>
      <c r="C289">
        <v>57</v>
      </c>
      <c r="D289">
        <f t="shared" si="81"/>
        <v>440.01010976071973</v>
      </c>
      <c r="E289">
        <f t="shared" si="83"/>
        <v>2</v>
      </c>
      <c r="F289">
        <v>36.75</v>
      </c>
      <c r="G289" t="s">
        <v>482</v>
      </c>
      <c r="H289">
        <v>53</v>
      </c>
      <c r="I289">
        <f t="shared" si="82"/>
        <v>349.23506143398839</v>
      </c>
      <c r="J289">
        <f t="shared" si="84"/>
        <v>4</v>
      </c>
    </row>
    <row r="290" spans="1:10" x14ac:dyDescent="0.2">
      <c r="A290">
        <v>27.75</v>
      </c>
      <c r="B290" t="s">
        <v>239</v>
      </c>
      <c r="C290">
        <v>55</v>
      </c>
      <c r="D290">
        <f t="shared" si="81"/>
        <v>392.00377257605692</v>
      </c>
      <c r="E290">
        <f t="shared" si="83"/>
        <v>2</v>
      </c>
      <c r="F290">
        <v>37.25</v>
      </c>
      <c r="G290" t="s">
        <v>239</v>
      </c>
      <c r="H290">
        <v>55</v>
      </c>
      <c r="I290">
        <f t="shared" si="82"/>
        <v>392.00377257605692</v>
      </c>
      <c r="J290">
        <f t="shared" si="84"/>
        <v>2</v>
      </c>
    </row>
    <row r="291" spans="1:10" x14ac:dyDescent="0.2">
      <c r="A291">
        <v>30.25</v>
      </c>
      <c r="B291" t="s">
        <v>243</v>
      </c>
      <c r="C291">
        <v>57</v>
      </c>
      <c r="D291">
        <f t="shared" si="81"/>
        <v>440.01010976071973</v>
      </c>
      <c r="E291">
        <f t="shared" si="83"/>
        <v>2</v>
      </c>
      <c r="F291">
        <v>37.75</v>
      </c>
      <c r="G291" t="s">
        <v>243</v>
      </c>
      <c r="H291">
        <v>57</v>
      </c>
      <c r="I291">
        <f t="shared" si="82"/>
        <v>440.01010976071973</v>
      </c>
      <c r="J291">
        <f t="shared" si="84"/>
        <v>2</v>
      </c>
    </row>
    <row r="292" spans="1:10" x14ac:dyDescent="0.2">
      <c r="A292">
        <v>30.75</v>
      </c>
      <c r="B292" t="s">
        <v>240</v>
      </c>
      <c r="C292">
        <v>60</v>
      </c>
      <c r="D292">
        <f t="shared" si="81"/>
        <v>523.26449507501752</v>
      </c>
      <c r="E292">
        <f t="shared" si="83"/>
        <v>3</v>
      </c>
      <c r="F292">
        <v>38.5</v>
      </c>
      <c r="G292" t="s">
        <v>482</v>
      </c>
      <c r="H292">
        <v>53</v>
      </c>
      <c r="I292">
        <f t="shared" si="82"/>
        <v>349.23506143398839</v>
      </c>
      <c r="J292">
        <f t="shared" si="84"/>
        <v>4</v>
      </c>
    </row>
    <row r="293" spans="1:10" x14ac:dyDescent="0.2">
      <c r="A293">
        <v>31.25</v>
      </c>
      <c r="B293" t="s">
        <v>244</v>
      </c>
      <c r="C293">
        <v>59</v>
      </c>
      <c r="D293">
        <f t="shared" si="81"/>
        <v>493.89549345236594</v>
      </c>
      <c r="E293">
        <f t="shared" si="83"/>
        <v>1</v>
      </c>
      <c r="F293">
        <v>39.5</v>
      </c>
      <c r="G293" t="s">
        <v>481</v>
      </c>
      <c r="H293">
        <v>52</v>
      </c>
      <c r="I293">
        <f t="shared" si="82"/>
        <v>329.63372180082422</v>
      </c>
      <c r="J293">
        <f t="shared" si="84"/>
        <v>1</v>
      </c>
    </row>
    <row r="294" spans="1:10" x14ac:dyDescent="0.2">
      <c r="A294">
        <v>31.75</v>
      </c>
      <c r="B294" t="s">
        <v>243</v>
      </c>
      <c r="C294">
        <v>57</v>
      </c>
      <c r="D294">
        <f t="shared" si="81"/>
        <v>440.01010976071973</v>
      </c>
      <c r="E294">
        <f t="shared" si="83"/>
        <v>2</v>
      </c>
      <c r="F294">
        <v>40.25</v>
      </c>
      <c r="G294" t="s">
        <v>411</v>
      </c>
      <c r="H294">
        <v>58</v>
      </c>
      <c r="I294">
        <f t="shared" si="82"/>
        <v>466.17487092753117</v>
      </c>
      <c r="J294">
        <f t="shared" si="84"/>
        <v>6</v>
      </c>
    </row>
    <row r="295" spans="1:10" x14ac:dyDescent="0.2">
      <c r="A295">
        <v>34.25</v>
      </c>
      <c r="B295" t="s">
        <v>242</v>
      </c>
      <c r="C295">
        <v>62</v>
      </c>
      <c r="D295">
        <f t="shared" si="81"/>
        <v>587.34554108704231</v>
      </c>
      <c r="E295">
        <f t="shared" si="83"/>
        <v>5</v>
      </c>
      <c r="F295">
        <v>40.75</v>
      </c>
      <c r="G295" t="s">
        <v>239</v>
      </c>
      <c r="H295">
        <v>55</v>
      </c>
      <c r="I295">
        <f t="shared" si="82"/>
        <v>392.00377257605692</v>
      </c>
      <c r="J295">
        <f t="shared" si="84"/>
        <v>3</v>
      </c>
    </row>
    <row r="296" spans="1:10" x14ac:dyDescent="0.2">
      <c r="A296">
        <v>34.75</v>
      </c>
      <c r="B296" t="s">
        <v>244</v>
      </c>
      <c r="C296">
        <v>59</v>
      </c>
      <c r="D296">
        <f t="shared" si="81"/>
        <v>493.89549345236594</v>
      </c>
      <c r="E296">
        <f t="shared" si="83"/>
        <v>3</v>
      </c>
      <c r="F296">
        <v>41.25</v>
      </c>
      <c r="G296" t="s">
        <v>243</v>
      </c>
      <c r="H296">
        <v>57</v>
      </c>
      <c r="I296">
        <f t="shared" si="82"/>
        <v>440.01010976071973</v>
      </c>
      <c r="J296">
        <f t="shared" si="84"/>
        <v>2</v>
      </c>
    </row>
    <row r="297" spans="1:10" x14ac:dyDescent="0.2">
      <c r="A297">
        <v>35.25</v>
      </c>
      <c r="B297" t="s">
        <v>240</v>
      </c>
      <c r="C297">
        <v>60</v>
      </c>
      <c r="D297">
        <f t="shared" si="81"/>
        <v>523.26449507501752</v>
      </c>
      <c r="E297">
        <f t="shared" si="83"/>
        <v>1</v>
      </c>
      <c r="F297">
        <v>41.75</v>
      </c>
      <c r="G297" t="s">
        <v>411</v>
      </c>
      <c r="H297">
        <v>58</v>
      </c>
      <c r="I297">
        <f t="shared" si="82"/>
        <v>466.17487092753117</v>
      </c>
      <c r="J297">
        <f t="shared" si="84"/>
        <v>1</v>
      </c>
    </row>
    <row r="298" spans="1:10" x14ac:dyDescent="0.2">
      <c r="A298">
        <v>35.75</v>
      </c>
      <c r="B298" t="s">
        <v>242</v>
      </c>
      <c r="C298">
        <v>62</v>
      </c>
      <c r="D298">
        <f t="shared" si="81"/>
        <v>587.34554108704231</v>
      </c>
      <c r="E298">
        <f t="shared" si="83"/>
        <v>2</v>
      </c>
      <c r="F298">
        <v>42.25</v>
      </c>
      <c r="G298" t="s">
        <v>239</v>
      </c>
      <c r="H298">
        <v>55</v>
      </c>
      <c r="I298">
        <f t="shared" si="82"/>
        <v>392.00377257605692</v>
      </c>
      <c r="J298">
        <f t="shared" si="84"/>
        <v>3</v>
      </c>
    </row>
    <row r="299" spans="1:10" x14ac:dyDescent="0.2">
      <c r="A299">
        <v>38.25</v>
      </c>
      <c r="B299" t="s">
        <v>255</v>
      </c>
      <c r="C299">
        <v>64</v>
      </c>
      <c r="D299">
        <f t="shared" si="81"/>
        <v>659.27420622217721</v>
      </c>
      <c r="E299">
        <f t="shared" si="83"/>
        <v>2</v>
      </c>
      <c r="F299">
        <v>42.75</v>
      </c>
      <c r="G299" t="s">
        <v>481</v>
      </c>
      <c r="H299">
        <v>52</v>
      </c>
      <c r="I299">
        <f t="shared" si="82"/>
        <v>329.63372180082422</v>
      </c>
      <c r="J299">
        <f t="shared" si="84"/>
        <v>3</v>
      </c>
    </row>
    <row r="300" spans="1:10" x14ac:dyDescent="0.2">
      <c r="A300">
        <v>38.75</v>
      </c>
      <c r="B300" t="s">
        <v>240</v>
      </c>
      <c r="C300">
        <v>60</v>
      </c>
      <c r="D300">
        <f t="shared" si="81"/>
        <v>523.26449507501752</v>
      </c>
      <c r="E300">
        <f t="shared" si="83"/>
        <v>4</v>
      </c>
      <c r="F300">
        <v>43.25</v>
      </c>
      <c r="G300" t="s">
        <v>482</v>
      </c>
      <c r="H300">
        <v>53</v>
      </c>
      <c r="I300">
        <f t="shared" si="82"/>
        <v>349.23506143398839</v>
      </c>
      <c r="J300">
        <f t="shared" si="84"/>
        <v>1</v>
      </c>
    </row>
    <row r="301" spans="1:10" x14ac:dyDescent="0.2">
      <c r="A301">
        <v>39.25</v>
      </c>
      <c r="B301" t="s">
        <v>242</v>
      </c>
      <c r="C301">
        <v>62</v>
      </c>
      <c r="D301">
        <f t="shared" si="81"/>
        <v>587.34554108704231</v>
      </c>
      <c r="E301">
        <f t="shared" si="83"/>
        <v>2</v>
      </c>
      <c r="F301">
        <v>43.75</v>
      </c>
      <c r="G301" t="s">
        <v>239</v>
      </c>
      <c r="H301">
        <v>55</v>
      </c>
      <c r="I301">
        <f t="shared" si="82"/>
        <v>392.00377257605692</v>
      </c>
      <c r="J301">
        <f t="shared" si="84"/>
        <v>2</v>
      </c>
    </row>
    <row r="302" spans="1:10" x14ac:dyDescent="0.2">
      <c r="A302">
        <v>39.75</v>
      </c>
      <c r="B302" t="s">
        <v>255</v>
      </c>
      <c r="C302">
        <v>64</v>
      </c>
      <c r="D302">
        <f t="shared" si="81"/>
        <v>659.27420622217721</v>
      </c>
      <c r="E302">
        <f t="shared" si="83"/>
        <v>2</v>
      </c>
      <c r="F302">
        <v>44.25</v>
      </c>
      <c r="G302" t="s">
        <v>481</v>
      </c>
      <c r="H302">
        <v>52</v>
      </c>
      <c r="I302">
        <f t="shared" si="82"/>
        <v>329.63372180082422</v>
      </c>
      <c r="J302">
        <f t="shared" si="84"/>
        <v>3</v>
      </c>
    </row>
    <row r="303" spans="1:10" x14ac:dyDescent="0.2">
      <c r="A303">
        <v>40.5</v>
      </c>
      <c r="B303" t="s">
        <v>407</v>
      </c>
      <c r="C303">
        <v>61</v>
      </c>
      <c r="D303">
        <f t="shared" si="81"/>
        <v>554.37989501015818</v>
      </c>
      <c r="E303">
        <f t="shared" si="83"/>
        <v>3</v>
      </c>
      <c r="F303">
        <v>44.75</v>
      </c>
      <c r="G303" t="s">
        <v>479</v>
      </c>
      <c r="H303">
        <v>48</v>
      </c>
      <c r="I303">
        <f t="shared" si="82"/>
        <v>261.62956379894968</v>
      </c>
      <c r="J303">
        <f t="shared" si="84"/>
        <v>4</v>
      </c>
    </row>
    <row r="304" spans="1:10" x14ac:dyDescent="0.2">
      <c r="A304">
        <v>41.5</v>
      </c>
      <c r="B304" t="s">
        <v>255</v>
      </c>
      <c r="C304">
        <v>64</v>
      </c>
      <c r="D304">
        <f t="shared" si="81"/>
        <v>659.27420622217721</v>
      </c>
      <c r="E304">
        <f t="shared" si="83"/>
        <v>3</v>
      </c>
      <c r="F304">
        <v>45.25</v>
      </c>
      <c r="G304" t="s">
        <v>480</v>
      </c>
      <c r="H304">
        <v>50</v>
      </c>
      <c r="I304">
        <f t="shared" si="82"/>
        <v>293.66975814369101</v>
      </c>
      <c r="J304">
        <f t="shared" si="84"/>
        <v>2</v>
      </c>
    </row>
    <row r="305" spans="1:10" x14ac:dyDescent="0.2">
      <c r="A305">
        <v>42.5</v>
      </c>
      <c r="B305" t="s">
        <v>243</v>
      </c>
      <c r="C305">
        <v>57</v>
      </c>
      <c r="D305">
        <f t="shared" si="81"/>
        <v>440.01010976071973</v>
      </c>
      <c r="E305">
        <f t="shared" si="83"/>
        <v>7</v>
      </c>
      <c r="F305">
        <v>45.75</v>
      </c>
      <c r="G305" t="s">
        <v>481</v>
      </c>
      <c r="H305">
        <v>52</v>
      </c>
      <c r="I305">
        <f t="shared" si="82"/>
        <v>329.63372180082422</v>
      </c>
      <c r="J305">
        <f t="shared" si="84"/>
        <v>2</v>
      </c>
    </row>
    <row r="306" spans="1:10" x14ac:dyDescent="0.2">
      <c r="A306">
        <v>43.5</v>
      </c>
      <c r="B306" t="s">
        <v>240</v>
      </c>
      <c r="C306">
        <v>60</v>
      </c>
      <c r="D306">
        <f t="shared" si="81"/>
        <v>523.26449507501752</v>
      </c>
      <c r="E306">
        <f t="shared" si="83"/>
        <v>3</v>
      </c>
      <c r="F306">
        <v>46.25</v>
      </c>
      <c r="G306" t="s">
        <v>479</v>
      </c>
      <c r="H306">
        <v>48</v>
      </c>
      <c r="I306">
        <f t="shared" si="82"/>
        <v>261.62956379894968</v>
      </c>
      <c r="J306">
        <f t="shared" si="84"/>
        <v>4</v>
      </c>
    </row>
    <row r="307" spans="1:10" x14ac:dyDescent="0.2">
      <c r="A307">
        <v>44.5</v>
      </c>
      <c r="B307" t="s">
        <v>257</v>
      </c>
      <c r="C307">
        <v>54</v>
      </c>
      <c r="D307">
        <f t="shared" si="81"/>
        <v>370.00197512709912</v>
      </c>
      <c r="E307">
        <f t="shared" si="83"/>
        <v>6</v>
      </c>
      <c r="F307">
        <v>46.75</v>
      </c>
      <c r="G307" t="s">
        <v>46</v>
      </c>
      <c r="H307">
        <v>45</v>
      </c>
      <c r="I307">
        <f t="shared" si="82"/>
        <v>220.00279814001337</v>
      </c>
      <c r="J307">
        <f t="shared" si="84"/>
        <v>3</v>
      </c>
    </row>
    <row r="308" spans="1:10" x14ac:dyDescent="0.2">
      <c r="A308">
        <v>45.5</v>
      </c>
      <c r="B308" t="s">
        <v>243</v>
      </c>
      <c r="C308">
        <v>57</v>
      </c>
      <c r="D308">
        <f t="shared" si="81"/>
        <v>440.01010976071973</v>
      </c>
      <c r="E308">
        <f t="shared" si="83"/>
        <v>3</v>
      </c>
      <c r="F308">
        <v>47.25</v>
      </c>
      <c r="G308" t="s">
        <v>47</v>
      </c>
      <c r="H308">
        <v>47</v>
      </c>
      <c r="I308">
        <f t="shared" si="82"/>
        <v>246.94521361646048</v>
      </c>
      <c r="J308">
        <f t="shared" si="84"/>
        <v>2</v>
      </c>
    </row>
    <row r="309" spans="1:10" x14ac:dyDescent="0.2">
      <c r="A309">
        <v>46.5</v>
      </c>
      <c r="B309" t="s">
        <v>240</v>
      </c>
      <c r="C309">
        <v>60</v>
      </c>
      <c r="D309">
        <f t="shared" ref="D309:D340" si="85">16.35117682*1.059464^C309</f>
        <v>523.26449507501752</v>
      </c>
      <c r="E309">
        <f t="shared" si="83"/>
        <v>3</v>
      </c>
      <c r="F309">
        <v>47.75</v>
      </c>
      <c r="G309" t="s">
        <v>479</v>
      </c>
      <c r="H309">
        <v>48</v>
      </c>
      <c r="I309">
        <f t="shared" ref="I309:I340" si="86">16.35117682*1.059464^H309</f>
        <v>261.62956379894968</v>
      </c>
      <c r="J309">
        <f t="shared" si="84"/>
        <v>1</v>
      </c>
    </row>
    <row r="310" spans="1:10" x14ac:dyDescent="0.2">
      <c r="A310">
        <v>48.25</v>
      </c>
      <c r="B310" t="s">
        <v>481</v>
      </c>
      <c r="C310">
        <v>52</v>
      </c>
      <c r="D310">
        <f t="shared" si="85"/>
        <v>329.63372180082422</v>
      </c>
      <c r="E310">
        <f t="shared" ref="E310:E341" si="87">ABS( C310-C309)</f>
        <v>8</v>
      </c>
      <c r="F310">
        <v>48.5</v>
      </c>
      <c r="G310" t="s">
        <v>29</v>
      </c>
      <c r="H310">
        <v>40</v>
      </c>
      <c r="I310">
        <f t="shared" si="86"/>
        <v>164.8151702626221</v>
      </c>
      <c r="J310">
        <f t="shared" ref="J310:J341" si="88">ABS( H310-H309)</f>
        <v>8</v>
      </c>
    </row>
    <row r="311" spans="1:10" x14ac:dyDescent="0.2">
      <c r="A311">
        <v>48.75</v>
      </c>
      <c r="B311" t="s">
        <v>408</v>
      </c>
      <c r="C311">
        <v>56</v>
      </c>
      <c r="D311">
        <f t="shared" si="85"/>
        <v>415.31388490851958</v>
      </c>
      <c r="E311">
        <f t="shared" si="87"/>
        <v>4</v>
      </c>
      <c r="F311">
        <v>49.75</v>
      </c>
      <c r="G311" t="s">
        <v>481</v>
      </c>
      <c r="H311">
        <v>52</v>
      </c>
      <c r="I311">
        <f t="shared" si="86"/>
        <v>329.63372180082422</v>
      </c>
      <c r="J311">
        <f t="shared" si="88"/>
        <v>12</v>
      </c>
    </row>
    <row r="312" spans="1:10" x14ac:dyDescent="0.2">
      <c r="A312">
        <v>49.25</v>
      </c>
      <c r="B312" t="s">
        <v>257</v>
      </c>
      <c r="C312">
        <v>54</v>
      </c>
      <c r="D312">
        <f t="shared" si="85"/>
        <v>370.00197512709912</v>
      </c>
      <c r="E312">
        <f t="shared" si="87"/>
        <v>2</v>
      </c>
      <c r="F312">
        <v>50.25</v>
      </c>
      <c r="G312" t="s">
        <v>47</v>
      </c>
      <c r="H312">
        <v>47</v>
      </c>
      <c r="I312">
        <f t="shared" si="86"/>
        <v>246.94521361646048</v>
      </c>
      <c r="J312">
        <f t="shared" si="88"/>
        <v>5</v>
      </c>
    </row>
    <row r="313" spans="1:10" x14ac:dyDescent="0.2">
      <c r="A313">
        <v>49.75</v>
      </c>
      <c r="B313" t="s">
        <v>481</v>
      </c>
      <c r="C313">
        <v>52</v>
      </c>
      <c r="D313">
        <f t="shared" si="85"/>
        <v>329.63372180082422</v>
      </c>
      <c r="E313">
        <f t="shared" si="87"/>
        <v>2</v>
      </c>
      <c r="F313">
        <v>50.75</v>
      </c>
      <c r="G313" t="s">
        <v>44</v>
      </c>
      <c r="H313">
        <v>43</v>
      </c>
      <c r="I313">
        <f t="shared" si="86"/>
        <v>195.99987576438383</v>
      </c>
      <c r="J313">
        <f t="shared" si="88"/>
        <v>4</v>
      </c>
    </row>
    <row r="314" spans="1:10" x14ac:dyDescent="0.2">
      <c r="A314">
        <v>50.25</v>
      </c>
      <c r="B314" t="s">
        <v>242</v>
      </c>
      <c r="C314">
        <v>62</v>
      </c>
      <c r="D314">
        <f t="shared" si="85"/>
        <v>587.34554108704231</v>
      </c>
      <c r="E314">
        <f t="shared" si="87"/>
        <v>10</v>
      </c>
      <c r="F314">
        <v>51.25</v>
      </c>
      <c r="G314" t="s">
        <v>46</v>
      </c>
      <c r="H314">
        <v>45</v>
      </c>
      <c r="I314">
        <f t="shared" si="86"/>
        <v>220.00279814001337</v>
      </c>
      <c r="J314">
        <f t="shared" si="88"/>
        <v>2</v>
      </c>
    </row>
    <row r="315" spans="1:10" x14ac:dyDescent="0.2">
      <c r="A315">
        <v>50.75</v>
      </c>
      <c r="B315" t="s">
        <v>255</v>
      </c>
      <c r="C315">
        <v>64</v>
      </c>
      <c r="D315">
        <f t="shared" si="85"/>
        <v>659.27420622217721</v>
      </c>
      <c r="E315">
        <f t="shared" si="87"/>
        <v>2</v>
      </c>
      <c r="F315">
        <v>51.75</v>
      </c>
      <c r="G315" t="s">
        <v>47</v>
      </c>
      <c r="H315">
        <v>47</v>
      </c>
      <c r="I315">
        <f t="shared" si="86"/>
        <v>246.94521361646048</v>
      </c>
      <c r="J315">
        <f t="shared" si="88"/>
        <v>2</v>
      </c>
    </row>
    <row r="316" spans="1:10" x14ac:dyDescent="0.2">
      <c r="A316">
        <v>51.25</v>
      </c>
      <c r="B316" t="s">
        <v>240</v>
      </c>
      <c r="C316">
        <v>60</v>
      </c>
      <c r="D316">
        <f t="shared" si="85"/>
        <v>523.26449507501752</v>
      </c>
      <c r="E316">
        <f t="shared" si="87"/>
        <v>4</v>
      </c>
      <c r="F316">
        <v>52.25</v>
      </c>
      <c r="G316" t="s">
        <v>479</v>
      </c>
      <c r="H316">
        <v>48</v>
      </c>
      <c r="I316">
        <f t="shared" si="86"/>
        <v>261.62956379894968</v>
      </c>
      <c r="J316">
        <f t="shared" si="88"/>
        <v>1</v>
      </c>
    </row>
    <row r="317" spans="1:10" x14ac:dyDescent="0.2">
      <c r="A317">
        <v>51.75</v>
      </c>
      <c r="B317" t="s">
        <v>242</v>
      </c>
      <c r="C317">
        <v>62</v>
      </c>
      <c r="D317">
        <f t="shared" si="85"/>
        <v>587.34554108704231</v>
      </c>
      <c r="E317">
        <f t="shared" si="87"/>
        <v>2</v>
      </c>
      <c r="F317">
        <v>52.75</v>
      </c>
      <c r="G317" t="s">
        <v>480</v>
      </c>
      <c r="H317">
        <v>50</v>
      </c>
      <c r="I317">
        <f t="shared" si="86"/>
        <v>293.66975814369101</v>
      </c>
      <c r="J317">
        <f t="shared" si="88"/>
        <v>2</v>
      </c>
    </row>
    <row r="318" spans="1:10" x14ac:dyDescent="0.2">
      <c r="A318">
        <v>52.25</v>
      </c>
      <c r="B318" t="s">
        <v>256</v>
      </c>
      <c r="C318">
        <v>69</v>
      </c>
      <c r="D318">
        <f t="shared" si="85"/>
        <v>880.02924657542201</v>
      </c>
      <c r="E318">
        <f t="shared" si="87"/>
        <v>7</v>
      </c>
      <c r="F318">
        <v>53.25</v>
      </c>
      <c r="G318" t="s">
        <v>481</v>
      </c>
      <c r="H318">
        <v>52</v>
      </c>
      <c r="I318">
        <f t="shared" si="86"/>
        <v>329.63372180082422</v>
      </c>
      <c r="J318">
        <f t="shared" si="88"/>
        <v>2</v>
      </c>
    </row>
    <row r="319" spans="1:10" x14ac:dyDescent="0.2">
      <c r="A319">
        <v>52.75</v>
      </c>
      <c r="B319" t="s">
        <v>241</v>
      </c>
      <c r="C319">
        <v>71</v>
      </c>
      <c r="D319">
        <f t="shared" si="85"/>
        <v>987.80111944755811</v>
      </c>
      <c r="E319">
        <f t="shared" si="87"/>
        <v>2</v>
      </c>
      <c r="F319">
        <v>53.75</v>
      </c>
      <c r="G319" t="s">
        <v>482</v>
      </c>
      <c r="H319">
        <v>53</v>
      </c>
      <c r="I319">
        <f t="shared" si="86"/>
        <v>349.23506143398839</v>
      </c>
      <c r="J319">
        <f t="shared" si="88"/>
        <v>1</v>
      </c>
    </row>
    <row r="320" spans="1:10" x14ac:dyDescent="0.2">
      <c r="A320">
        <v>53.25</v>
      </c>
      <c r="B320" t="s">
        <v>255</v>
      </c>
      <c r="C320">
        <v>64</v>
      </c>
      <c r="D320">
        <f t="shared" si="85"/>
        <v>659.27420622217721</v>
      </c>
      <c r="E320">
        <f t="shared" si="87"/>
        <v>7</v>
      </c>
      <c r="F320">
        <v>54.5</v>
      </c>
      <c r="G320" t="s">
        <v>46</v>
      </c>
      <c r="H320">
        <v>45</v>
      </c>
      <c r="I320">
        <f t="shared" si="86"/>
        <v>220.00279814001337</v>
      </c>
      <c r="J320">
        <f t="shared" si="88"/>
        <v>8</v>
      </c>
    </row>
    <row r="321" spans="1:10" x14ac:dyDescent="0.2">
      <c r="A321">
        <v>53.75</v>
      </c>
      <c r="B321" t="s">
        <v>242</v>
      </c>
      <c r="C321">
        <v>62</v>
      </c>
      <c r="D321">
        <f t="shared" si="85"/>
        <v>587.34554108704231</v>
      </c>
      <c r="E321">
        <f t="shared" si="87"/>
        <v>2</v>
      </c>
      <c r="F321">
        <v>55.5</v>
      </c>
      <c r="G321" t="s">
        <v>29</v>
      </c>
      <c r="H321">
        <v>40</v>
      </c>
      <c r="I321">
        <f t="shared" si="86"/>
        <v>164.8151702626221</v>
      </c>
      <c r="J321">
        <f t="shared" si="88"/>
        <v>5</v>
      </c>
    </row>
    <row r="322" spans="1:10" x14ac:dyDescent="0.2">
      <c r="A322">
        <v>54.25</v>
      </c>
      <c r="B322" t="s">
        <v>246</v>
      </c>
      <c r="C322">
        <v>65</v>
      </c>
      <c r="D322">
        <f t="shared" si="85"/>
        <v>698.47728762097279</v>
      </c>
      <c r="E322">
        <f t="shared" si="87"/>
        <v>3</v>
      </c>
      <c r="F322">
        <v>56.5</v>
      </c>
      <c r="G322" t="s">
        <v>414</v>
      </c>
      <c r="H322">
        <v>33</v>
      </c>
      <c r="I322">
        <f t="shared" si="86"/>
        <v>110.00027071140791</v>
      </c>
      <c r="J322">
        <f t="shared" si="88"/>
        <v>7</v>
      </c>
    </row>
    <row r="323" spans="1:10" x14ac:dyDescent="0.2">
      <c r="A323">
        <v>54.75</v>
      </c>
      <c r="B323" t="s">
        <v>242</v>
      </c>
      <c r="C323">
        <v>62</v>
      </c>
      <c r="D323">
        <f t="shared" si="85"/>
        <v>587.34554108704231</v>
      </c>
      <c r="E323">
        <f t="shared" si="87"/>
        <v>3</v>
      </c>
      <c r="F323">
        <v>58.5</v>
      </c>
      <c r="G323" t="s">
        <v>480</v>
      </c>
      <c r="H323">
        <v>50</v>
      </c>
      <c r="I323">
        <f t="shared" si="86"/>
        <v>293.66975814369101</v>
      </c>
      <c r="J323">
        <f t="shared" si="88"/>
        <v>17</v>
      </c>
    </row>
    <row r="324" spans="1:10" x14ac:dyDescent="0.2">
      <c r="A324">
        <v>55.5</v>
      </c>
      <c r="B324" t="s">
        <v>244</v>
      </c>
      <c r="C324">
        <v>59</v>
      </c>
      <c r="D324">
        <f t="shared" si="85"/>
        <v>493.89549345236594</v>
      </c>
      <c r="E324">
        <f t="shared" si="87"/>
        <v>3</v>
      </c>
      <c r="F324">
        <v>59</v>
      </c>
      <c r="G324" t="s">
        <v>47</v>
      </c>
      <c r="H324">
        <v>47</v>
      </c>
      <c r="I324">
        <f t="shared" si="86"/>
        <v>246.94521361646048</v>
      </c>
      <c r="J324">
        <f t="shared" si="88"/>
        <v>3</v>
      </c>
    </row>
    <row r="325" spans="1:10" x14ac:dyDescent="0.2">
      <c r="A325">
        <v>56</v>
      </c>
      <c r="B325" t="s">
        <v>243</v>
      </c>
      <c r="C325">
        <v>57</v>
      </c>
      <c r="D325">
        <f t="shared" si="85"/>
        <v>440.01010976071973</v>
      </c>
      <c r="E325">
        <f t="shared" si="87"/>
        <v>2</v>
      </c>
      <c r="F325">
        <v>59.5</v>
      </c>
      <c r="G325" t="s">
        <v>291</v>
      </c>
      <c r="H325">
        <v>49</v>
      </c>
      <c r="I325">
        <f t="shared" si="86"/>
        <v>277.18710418069043</v>
      </c>
      <c r="J325">
        <f t="shared" si="88"/>
        <v>2</v>
      </c>
    </row>
    <row r="326" spans="1:10" x14ac:dyDescent="0.2">
      <c r="A326">
        <v>56.5</v>
      </c>
      <c r="B326" t="s">
        <v>245</v>
      </c>
      <c r="C326">
        <v>67</v>
      </c>
      <c r="D326">
        <f t="shared" si="85"/>
        <v>784.01558732918636</v>
      </c>
      <c r="E326">
        <f t="shared" si="87"/>
        <v>10</v>
      </c>
      <c r="F326">
        <v>62.25</v>
      </c>
      <c r="G326" t="s">
        <v>46</v>
      </c>
      <c r="H326">
        <v>45</v>
      </c>
      <c r="I326">
        <f t="shared" si="86"/>
        <v>220.00279814001337</v>
      </c>
      <c r="J326">
        <f t="shared" si="88"/>
        <v>4</v>
      </c>
    </row>
    <row r="327" spans="1:10" x14ac:dyDescent="0.2">
      <c r="A327">
        <v>57</v>
      </c>
      <c r="B327" t="s">
        <v>255</v>
      </c>
      <c r="C327">
        <v>64</v>
      </c>
      <c r="D327">
        <f t="shared" si="85"/>
        <v>659.27420622217721</v>
      </c>
      <c r="E327">
        <f t="shared" si="87"/>
        <v>3</v>
      </c>
      <c r="F327">
        <v>62.75</v>
      </c>
      <c r="G327" t="s">
        <v>479</v>
      </c>
      <c r="H327">
        <v>48</v>
      </c>
      <c r="I327">
        <f t="shared" si="86"/>
        <v>261.62956379894968</v>
      </c>
      <c r="J327">
        <f t="shared" si="88"/>
        <v>3</v>
      </c>
    </row>
    <row r="328" spans="1:10" x14ac:dyDescent="0.2">
      <c r="A328">
        <v>57.5</v>
      </c>
      <c r="B328" t="s">
        <v>246</v>
      </c>
      <c r="C328">
        <v>65</v>
      </c>
      <c r="D328">
        <f t="shared" si="85"/>
        <v>698.47728762097279</v>
      </c>
      <c r="E328">
        <f t="shared" si="87"/>
        <v>1</v>
      </c>
      <c r="F328">
        <v>63.25</v>
      </c>
      <c r="G328" t="s">
        <v>47</v>
      </c>
      <c r="H328">
        <v>47</v>
      </c>
      <c r="I328">
        <f t="shared" si="86"/>
        <v>246.94521361646048</v>
      </c>
      <c r="J328">
        <f t="shared" si="88"/>
        <v>1</v>
      </c>
    </row>
    <row r="329" spans="1:10" x14ac:dyDescent="0.2">
      <c r="A329">
        <v>58</v>
      </c>
      <c r="B329" t="s">
        <v>245</v>
      </c>
      <c r="C329">
        <v>67</v>
      </c>
      <c r="D329">
        <f t="shared" si="85"/>
        <v>784.01558732918636</v>
      </c>
      <c r="E329">
        <f t="shared" si="87"/>
        <v>2</v>
      </c>
      <c r="F329">
        <v>63.75</v>
      </c>
      <c r="G329" t="s">
        <v>46</v>
      </c>
      <c r="H329">
        <v>45</v>
      </c>
      <c r="I329">
        <f t="shared" si="86"/>
        <v>220.00279814001337</v>
      </c>
      <c r="J329">
        <f t="shared" si="88"/>
        <v>2</v>
      </c>
    </row>
    <row r="330" spans="1:10" x14ac:dyDescent="0.2">
      <c r="A330">
        <v>60.5</v>
      </c>
      <c r="B330" t="s">
        <v>246</v>
      </c>
      <c r="C330">
        <v>65</v>
      </c>
      <c r="D330">
        <f t="shared" si="85"/>
        <v>698.47728762097279</v>
      </c>
      <c r="E330">
        <f t="shared" si="87"/>
        <v>2</v>
      </c>
      <c r="F330">
        <v>66.25</v>
      </c>
      <c r="G330" t="s">
        <v>480</v>
      </c>
      <c r="H330">
        <v>50</v>
      </c>
      <c r="I330">
        <f t="shared" si="86"/>
        <v>293.66975814369101</v>
      </c>
      <c r="J330">
        <f t="shared" si="88"/>
        <v>5</v>
      </c>
    </row>
    <row r="331" spans="1:10" x14ac:dyDescent="0.2">
      <c r="A331">
        <v>61</v>
      </c>
      <c r="B331" t="s">
        <v>256</v>
      </c>
      <c r="C331">
        <v>69</v>
      </c>
      <c r="D331">
        <f t="shared" si="85"/>
        <v>880.02924657542201</v>
      </c>
      <c r="E331">
        <f t="shared" si="87"/>
        <v>4</v>
      </c>
      <c r="F331">
        <v>66.75</v>
      </c>
      <c r="G331" t="s">
        <v>47</v>
      </c>
      <c r="H331">
        <v>47</v>
      </c>
      <c r="I331">
        <f t="shared" si="86"/>
        <v>246.94521361646048</v>
      </c>
      <c r="J331">
        <f t="shared" si="88"/>
        <v>3</v>
      </c>
    </row>
    <row r="332" spans="1:10" x14ac:dyDescent="0.2">
      <c r="A332">
        <v>61.5</v>
      </c>
      <c r="B332" t="s">
        <v>245</v>
      </c>
      <c r="C332">
        <v>67</v>
      </c>
      <c r="D332">
        <f t="shared" si="85"/>
        <v>784.01558732918636</v>
      </c>
      <c r="E332">
        <f t="shared" si="87"/>
        <v>2</v>
      </c>
      <c r="F332">
        <v>67.25</v>
      </c>
      <c r="G332" t="s">
        <v>479</v>
      </c>
      <c r="H332">
        <v>48</v>
      </c>
      <c r="I332">
        <f t="shared" si="86"/>
        <v>261.62956379894968</v>
      </c>
      <c r="J332">
        <f t="shared" si="88"/>
        <v>1</v>
      </c>
    </row>
    <row r="333" spans="1:10" x14ac:dyDescent="0.2">
      <c r="A333">
        <v>62</v>
      </c>
      <c r="B333" t="s">
        <v>246</v>
      </c>
      <c r="C333">
        <v>65</v>
      </c>
      <c r="D333">
        <f t="shared" si="85"/>
        <v>698.47728762097279</v>
      </c>
      <c r="E333">
        <f t="shared" si="87"/>
        <v>2</v>
      </c>
      <c r="F333">
        <v>67.75</v>
      </c>
      <c r="G333" t="s">
        <v>480</v>
      </c>
      <c r="H333">
        <v>50</v>
      </c>
      <c r="I333">
        <f t="shared" si="86"/>
        <v>293.66975814369101</v>
      </c>
      <c r="J333">
        <f t="shared" si="88"/>
        <v>2</v>
      </c>
    </row>
    <row r="334" spans="1:10" x14ac:dyDescent="0.2">
      <c r="A334">
        <v>64.5</v>
      </c>
      <c r="B334" t="s">
        <v>246</v>
      </c>
      <c r="C334">
        <v>65</v>
      </c>
      <c r="D334">
        <f t="shared" si="85"/>
        <v>698.47728762097279</v>
      </c>
      <c r="E334">
        <f t="shared" si="87"/>
        <v>0</v>
      </c>
      <c r="F334">
        <v>70.25</v>
      </c>
      <c r="G334" t="s">
        <v>44</v>
      </c>
      <c r="H334">
        <v>43</v>
      </c>
      <c r="I334">
        <f t="shared" si="86"/>
        <v>195.99987576438383</v>
      </c>
      <c r="J334">
        <f t="shared" si="88"/>
        <v>7</v>
      </c>
    </row>
    <row r="335" spans="1:10" x14ac:dyDescent="0.2">
      <c r="A335">
        <v>65</v>
      </c>
      <c r="B335" t="s">
        <v>242</v>
      </c>
      <c r="C335">
        <v>62</v>
      </c>
      <c r="D335">
        <f t="shared" si="85"/>
        <v>587.34554108704231</v>
      </c>
      <c r="E335">
        <f t="shared" si="87"/>
        <v>3</v>
      </c>
      <c r="F335">
        <v>70.75</v>
      </c>
      <c r="G335" t="s">
        <v>292</v>
      </c>
      <c r="H335">
        <v>46</v>
      </c>
      <c r="I335">
        <f t="shared" si="86"/>
        <v>233.08504452861115</v>
      </c>
      <c r="J335">
        <f t="shared" si="88"/>
        <v>3</v>
      </c>
    </row>
    <row r="336" spans="1:10" x14ac:dyDescent="0.2">
      <c r="A336">
        <v>65.5</v>
      </c>
      <c r="B336" t="s">
        <v>255</v>
      </c>
      <c r="C336">
        <v>64</v>
      </c>
      <c r="D336">
        <f t="shared" si="85"/>
        <v>659.27420622217721</v>
      </c>
      <c r="E336">
        <f t="shared" si="87"/>
        <v>2</v>
      </c>
      <c r="F336">
        <v>71.25</v>
      </c>
      <c r="G336" t="s">
        <v>46</v>
      </c>
      <c r="H336">
        <v>45</v>
      </c>
      <c r="I336">
        <f t="shared" si="86"/>
        <v>220.00279814001337</v>
      </c>
      <c r="J336">
        <f t="shared" si="88"/>
        <v>1</v>
      </c>
    </row>
    <row r="337" spans="1:10" x14ac:dyDescent="0.2">
      <c r="A337">
        <v>66</v>
      </c>
      <c r="B337" t="s">
        <v>246</v>
      </c>
      <c r="C337">
        <v>65</v>
      </c>
      <c r="D337">
        <f t="shared" si="85"/>
        <v>698.47728762097279</v>
      </c>
      <c r="E337">
        <f t="shared" si="87"/>
        <v>1</v>
      </c>
      <c r="F337">
        <v>71.75</v>
      </c>
      <c r="G337" t="s">
        <v>44</v>
      </c>
      <c r="H337">
        <v>43</v>
      </c>
      <c r="I337">
        <f t="shared" si="86"/>
        <v>195.99987576438383</v>
      </c>
      <c r="J337">
        <f t="shared" si="88"/>
        <v>2</v>
      </c>
    </row>
    <row r="338" spans="1:10" x14ac:dyDescent="0.2">
      <c r="A338">
        <v>68.5</v>
      </c>
      <c r="B338" t="s">
        <v>255</v>
      </c>
      <c r="C338">
        <v>64</v>
      </c>
      <c r="D338">
        <f t="shared" si="85"/>
        <v>659.27420622217721</v>
      </c>
      <c r="E338">
        <f t="shared" si="87"/>
        <v>1</v>
      </c>
      <c r="F338">
        <v>72.5</v>
      </c>
      <c r="G338" t="s">
        <v>292</v>
      </c>
      <c r="H338">
        <v>46</v>
      </c>
      <c r="I338">
        <f t="shared" si="86"/>
        <v>233.08504452861115</v>
      </c>
      <c r="J338">
        <f t="shared" si="88"/>
        <v>3</v>
      </c>
    </row>
    <row r="339" spans="1:10" x14ac:dyDescent="0.2">
      <c r="A339">
        <v>69</v>
      </c>
      <c r="B339" t="s">
        <v>245</v>
      </c>
      <c r="C339">
        <v>67</v>
      </c>
      <c r="D339">
        <f t="shared" si="85"/>
        <v>784.01558732918636</v>
      </c>
      <c r="E339">
        <f t="shared" si="87"/>
        <v>3</v>
      </c>
      <c r="F339">
        <v>73.5</v>
      </c>
      <c r="G339" t="s">
        <v>44</v>
      </c>
      <c r="H339">
        <v>43</v>
      </c>
      <c r="I339">
        <f t="shared" si="86"/>
        <v>195.99987576438383</v>
      </c>
      <c r="J339">
        <f t="shared" si="88"/>
        <v>3</v>
      </c>
    </row>
    <row r="340" spans="1:10" x14ac:dyDescent="0.2">
      <c r="A340">
        <v>69.5</v>
      </c>
      <c r="B340" t="s">
        <v>246</v>
      </c>
      <c r="C340">
        <v>65</v>
      </c>
      <c r="D340">
        <f t="shared" si="85"/>
        <v>698.47728762097279</v>
      </c>
      <c r="E340">
        <f t="shared" si="87"/>
        <v>2</v>
      </c>
      <c r="F340">
        <v>74.5</v>
      </c>
      <c r="G340" t="s">
        <v>480</v>
      </c>
      <c r="H340">
        <v>50</v>
      </c>
      <c r="I340">
        <f t="shared" si="86"/>
        <v>293.66975814369101</v>
      </c>
      <c r="J340">
        <f t="shared" si="88"/>
        <v>7</v>
      </c>
    </row>
    <row r="341" spans="1:10" x14ac:dyDescent="0.2">
      <c r="A341">
        <v>70</v>
      </c>
      <c r="B341" t="s">
        <v>255</v>
      </c>
      <c r="C341">
        <v>64</v>
      </c>
      <c r="D341">
        <f t="shared" ref="D341:D363" si="89">16.35117682*1.059464^C341</f>
        <v>659.27420622217721</v>
      </c>
      <c r="E341">
        <f t="shared" si="87"/>
        <v>1</v>
      </c>
      <c r="F341">
        <v>75.5</v>
      </c>
      <c r="G341" t="s">
        <v>292</v>
      </c>
      <c r="H341">
        <v>46</v>
      </c>
      <c r="I341">
        <f t="shared" ref="I341:I352" si="90">16.35117682*1.059464^H341</f>
        <v>233.08504452861115</v>
      </c>
      <c r="J341">
        <f t="shared" si="88"/>
        <v>4</v>
      </c>
    </row>
    <row r="342" spans="1:10" x14ac:dyDescent="0.2">
      <c r="A342">
        <v>72.5</v>
      </c>
      <c r="B342" t="s">
        <v>242</v>
      </c>
      <c r="C342">
        <v>62</v>
      </c>
      <c r="D342">
        <f t="shared" si="89"/>
        <v>587.34554108704231</v>
      </c>
      <c r="E342">
        <f t="shared" ref="E342:E363" si="91">ABS( C342-C341)</f>
        <v>2</v>
      </c>
      <c r="F342">
        <v>76.5</v>
      </c>
      <c r="G342" t="s">
        <v>482</v>
      </c>
      <c r="H342">
        <v>53</v>
      </c>
      <c r="I342">
        <f t="shared" si="90"/>
        <v>349.23506143398839</v>
      </c>
      <c r="J342">
        <f t="shared" ref="J342:J352" si="92">ABS( H342-H341)</f>
        <v>7</v>
      </c>
    </row>
    <row r="343" spans="1:10" x14ac:dyDescent="0.2">
      <c r="A343">
        <v>73</v>
      </c>
      <c r="B343" t="s">
        <v>246</v>
      </c>
      <c r="C343">
        <v>65</v>
      </c>
      <c r="D343">
        <f t="shared" si="89"/>
        <v>698.47728762097279</v>
      </c>
      <c r="E343">
        <f t="shared" si="91"/>
        <v>3</v>
      </c>
      <c r="F343">
        <v>77.5</v>
      </c>
      <c r="G343" t="s">
        <v>480</v>
      </c>
      <c r="H343">
        <v>50</v>
      </c>
      <c r="I343">
        <f t="shared" si="90"/>
        <v>293.66975814369101</v>
      </c>
      <c r="J343">
        <f t="shared" si="92"/>
        <v>3</v>
      </c>
    </row>
    <row r="344" spans="1:10" x14ac:dyDescent="0.2">
      <c r="A344">
        <v>73.5</v>
      </c>
      <c r="B344" t="s">
        <v>255</v>
      </c>
      <c r="C344">
        <v>64</v>
      </c>
      <c r="D344">
        <f t="shared" si="89"/>
        <v>659.27420622217721</v>
      </c>
      <c r="E344">
        <f t="shared" si="91"/>
        <v>1</v>
      </c>
      <c r="F344">
        <v>78.25</v>
      </c>
      <c r="G344" t="s">
        <v>28</v>
      </c>
      <c r="H344">
        <v>38</v>
      </c>
      <c r="I344">
        <f t="shared" si="90"/>
        <v>146.83337288738056</v>
      </c>
      <c r="J344">
        <f t="shared" si="92"/>
        <v>12</v>
      </c>
    </row>
    <row r="345" spans="1:10" x14ac:dyDescent="0.2">
      <c r="A345">
        <v>74</v>
      </c>
      <c r="B345" t="s">
        <v>242</v>
      </c>
      <c r="C345">
        <v>62</v>
      </c>
      <c r="D345">
        <f t="shared" si="89"/>
        <v>587.34554108704231</v>
      </c>
      <c r="E345">
        <f t="shared" si="91"/>
        <v>2</v>
      </c>
      <c r="F345">
        <v>78.75</v>
      </c>
      <c r="G345" t="s">
        <v>30</v>
      </c>
      <c r="H345">
        <v>41</v>
      </c>
      <c r="I345">
        <f t="shared" si="90"/>
        <v>174.61573954711864</v>
      </c>
      <c r="J345">
        <f t="shared" si="92"/>
        <v>3</v>
      </c>
    </row>
    <row r="346" spans="1:10" x14ac:dyDescent="0.2">
      <c r="A346">
        <v>74.5</v>
      </c>
      <c r="B346" t="s">
        <v>246</v>
      </c>
      <c r="C346">
        <v>65</v>
      </c>
      <c r="D346">
        <f t="shared" si="89"/>
        <v>698.47728762097279</v>
      </c>
      <c r="E346">
        <f t="shared" si="91"/>
        <v>3</v>
      </c>
      <c r="F346">
        <v>79.25</v>
      </c>
      <c r="G346" t="s">
        <v>29</v>
      </c>
      <c r="H346">
        <v>40</v>
      </c>
      <c r="I346">
        <f t="shared" si="90"/>
        <v>164.8151702626221</v>
      </c>
      <c r="J346">
        <f t="shared" si="92"/>
        <v>1</v>
      </c>
    </row>
    <row r="347" spans="1:10" x14ac:dyDescent="0.2">
      <c r="A347">
        <v>75</v>
      </c>
      <c r="B347" t="s">
        <v>256</v>
      </c>
      <c r="C347">
        <v>69</v>
      </c>
      <c r="D347">
        <f t="shared" si="89"/>
        <v>880.02924657542201</v>
      </c>
      <c r="E347">
        <f t="shared" si="91"/>
        <v>4</v>
      </c>
      <c r="F347">
        <v>79.75</v>
      </c>
      <c r="G347" t="s">
        <v>28</v>
      </c>
      <c r="H347">
        <v>38</v>
      </c>
      <c r="I347">
        <f t="shared" si="90"/>
        <v>146.83337288738056</v>
      </c>
      <c r="J347">
        <f t="shared" si="92"/>
        <v>2</v>
      </c>
    </row>
    <row r="348" spans="1:10" x14ac:dyDescent="0.2">
      <c r="A348">
        <v>75.5</v>
      </c>
      <c r="B348" t="s">
        <v>245</v>
      </c>
      <c r="C348">
        <v>67</v>
      </c>
      <c r="D348">
        <f t="shared" si="89"/>
        <v>784.01558732918636</v>
      </c>
      <c r="E348">
        <f t="shared" si="91"/>
        <v>2</v>
      </c>
      <c r="F348">
        <v>80.5</v>
      </c>
      <c r="G348" t="s">
        <v>27</v>
      </c>
      <c r="H348">
        <v>36</v>
      </c>
      <c r="I348">
        <f t="shared" si="90"/>
        <v>130.81344004395982</v>
      </c>
      <c r="J348">
        <f t="shared" si="92"/>
        <v>2</v>
      </c>
    </row>
    <row r="349" spans="1:10" x14ac:dyDescent="0.2">
      <c r="A349">
        <v>76</v>
      </c>
      <c r="B349" t="s">
        <v>246</v>
      </c>
      <c r="C349">
        <v>65</v>
      </c>
      <c r="D349">
        <f t="shared" si="89"/>
        <v>698.47728762097279</v>
      </c>
      <c r="E349">
        <f t="shared" si="91"/>
        <v>2</v>
      </c>
      <c r="F349">
        <v>81.5</v>
      </c>
      <c r="G349" t="s">
        <v>29</v>
      </c>
      <c r="H349">
        <v>40</v>
      </c>
      <c r="I349">
        <f t="shared" si="90"/>
        <v>164.8151702626221</v>
      </c>
      <c r="J349">
        <f t="shared" si="92"/>
        <v>4</v>
      </c>
    </row>
    <row r="350" spans="1:10" x14ac:dyDescent="0.2">
      <c r="A350">
        <v>76.5</v>
      </c>
      <c r="B350" t="s">
        <v>256</v>
      </c>
      <c r="C350">
        <v>69</v>
      </c>
      <c r="D350">
        <f t="shared" si="89"/>
        <v>880.02924657542201</v>
      </c>
      <c r="E350">
        <f t="shared" si="91"/>
        <v>4</v>
      </c>
      <c r="F350">
        <v>82.25</v>
      </c>
      <c r="G350" t="s">
        <v>28</v>
      </c>
      <c r="H350">
        <v>38</v>
      </c>
      <c r="I350">
        <f t="shared" si="90"/>
        <v>146.83337288738056</v>
      </c>
      <c r="J350">
        <f t="shared" si="92"/>
        <v>2</v>
      </c>
    </row>
    <row r="351" spans="1:10" x14ac:dyDescent="0.2">
      <c r="A351">
        <v>77</v>
      </c>
      <c r="B351" t="s">
        <v>410</v>
      </c>
      <c r="C351">
        <v>72</v>
      </c>
      <c r="D351">
        <f t="shared" si="89"/>
        <v>1046.5397252143878</v>
      </c>
      <c r="E351">
        <f t="shared" si="91"/>
        <v>3</v>
      </c>
      <c r="F351">
        <v>82.75</v>
      </c>
      <c r="G351" t="s">
        <v>30</v>
      </c>
      <c r="H351">
        <v>41</v>
      </c>
      <c r="I351">
        <f t="shared" si="90"/>
        <v>174.61573954711864</v>
      </c>
      <c r="J351">
        <f t="shared" si="92"/>
        <v>3</v>
      </c>
    </row>
    <row r="352" spans="1:10" x14ac:dyDescent="0.2">
      <c r="A352">
        <v>77.5</v>
      </c>
      <c r="B352" t="s">
        <v>241</v>
      </c>
      <c r="C352">
        <v>71</v>
      </c>
      <c r="D352">
        <f t="shared" si="89"/>
        <v>987.80111944755811</v>
      </c>
      <c r="E352">
        <f t="shared" si="91"/>
        <v>1</v>
      </c>
      <c r="F352">
        <v>83.5</v>
      </c>
      <c r="G352" t="s">
        <v>45</v>
      </c>
      <c r="H352">
        <v>31</v>
      </c>
      <c r="I352">
        <f t="shared" si="90"/>
        <v>97.998932630681253</v>
      </c>
      <c r="J352">
        <f t="shared" si="92"/>
        <v>10</v>
      </c>
    </row>
    <row r="353" spans="1:25" x14ac:dyDescent="0.2">
      <c r="A353">
        <v>78</v>
      </c>
      <c r="B353" t="s">
        <v>410</v>
      </c>
      <c r="C353">
        <v>72</v>
      </c>
      <c r="D353">
        <f t="shared" si="89"/>
        <v>1046.5397252143878</v>
      </c>
      <c r="E353">
        <f t="shared" si="91"/>
        <v>1</v>
      </c>
    </row>
    <row r="354" spans="1:25" x14ac:dyDescent="0.2">
      <c r="A354">
        <v>79</v>
      </c>
      <c r="B354" t="s">
        <v>255</v>
      </c>
      <c r="C354">
        <v>64</v>
      </c>
      <c r="D354">
        <f t="shared" si="89"/>
        <v>659.27420622217721</v>
      </c>
      <c r="E354">
        <f t="shared" si="91"/>
        <v>8</v>
      </c>
    </row>
    <row r="355" spans="1:25" x14ac:dyDescent="0.2">
      <c r="A355">
        <v>79.75</v>
      </c>
      <c r="B355" t="s">
        <v>240</v>
      </c>
      <c r="C355">
        <v>60</v>
      </c>
      <c r="D355">
        <f t="shared" si="89"/>
        <v>523.26449507501752</v>
      </c>
      <c r="E355">
        <f t="shared" si="91"/>
        <v>4</v>
      </c>
    </row>
    <row r="356" spans="1:25" x14ac:dyDescent="0.2">
      <c r="A356">
        <v>80.25</v>
      </c>
      <c r="B356" t="s">
        <v>411</v>
      </c>
      <c r="C356">
        <v>58</v>
      </c>
      <c r="D356">
        <f t="shared" si="89"/>
        <v>466.17487092753117</v>
      </c>
      <c r="E356">
        <f t="shared" si="91"/>
        <v>2</v>
      </c>
    </row>
    <row r="357" spans="1:25" x14ac:dyDescent="0.2">
      <c r="A357">
        <v>80.75</v>
      </c>
      <c r="B357" t="s">
        <v>239</v>
      </c>
      <c r="C357">
        <v>55</v>
      </c>
      <c r="D357">
        <f t="shared" si="89"/>
        <v>392.00377257605692</v>
      </c>
      <c r="E357">
        <f t="shared" si="91"/>
        <v>3</v>
      </c>
    </row>
    <row r="358" spans="1:25" x14ac:dyDescent="0.2">
      <c r="A358">
        <v>81.25</v>
      </c>
      <c r="B358" t="s">
        <v>243</v>
      </c>
      <c r="C358">
        <v>57</v>
      </c>
      <c r="D358">
        <f t="shared" si="89"/>
        <v>440.01010976071973</v>
      </c>
      <c r="E358">
        <f t="shared" si="91"/>
        <v>2</v>
      </c>
    </row>
    <row r="359" spans="1:25" x14ac:dyDescent="0.2">
      <c r="A359">
        <v>81.75</v>
      </c>
      <c r="B359" t="s">
        <v>411</v>
      </c>
      <c r="C359">
        <v>58</v>
      </c>
      <c r="D359">
        <f t="shared" si="89"/>
        <v>466.17487092753117</v>
      </c>
      <c r="E359">
        <f t="shared" si="91"/>
        <v>1</v>
      </c>
    </row>
    <row r="360" spans="1:25" x14ac:dyDescent="0.2">
      <c r="A360">
        <v>82.25</v>
      </c>
      <c r="B360" t="s">
        <v>244</v>
      </c>
      <c r="C360">
        <v>59</v>
      </c>
      <c r="D360">
        <f t="shared" si="89"/>
        <v>493.89549345236594</v>
      </c>
      <c r="E360">
        <f t="shared" si="91"/>
        <v>1</v>
      </c>
    </row>
    <row r="361" spans="1:25" x14ac:dyDescent="0.2">
      <c r="A361">
        <v>82.75</v>
      </c>
      <c r="B361" t="s">
        <v>481</v>
      </c>
      <c r="C361">
        <v>52</v>
      </c>
      <c r="D361">
        <f t="shared" si="89"/>
        <v>329.63372180082422</v>
      </c>
      <c r="E361">
        <f t="shared" si="91"/>
        <v>7</v>
      </c>
    </row>
    <row r="362" spans="1:25" x14ac:dyDescent="0.2">
      <c r="A362">
        <v>83.25</v>
      </c>
      <c r="B362" t="s">
        <v>240</v>
      </c>
      <c r="C362">
        <v>60</v>
      </c>
      <c r="D362">
        <f t="shared" si="89"/>
        <v>523.26449507501752</v>
      </c>
      <c r="E362">
        <f t="shared" si="91"/>
        <v>8</v>
      </c>
    </row>
    <row r="363" spans="1:25" x14ac:dyDescent="0.2">
      <c r="A363">
        <v>83.75</v>
      </c>
      <c r="B363" t="s">
        <v>244</v>
      </c>
      <c r="C363">
        <v>59</v>
      </c>
      <c r="D363">
        <f t="shared" si="89"/>
        <v>493.89549345236594</v>
      </c>
      <c r="E363">
        <f t="shared" si="91"/>
        <v>1</v>
      </c>
    </row>
    <row r="365" spans="1:25" x14ac:dyDescent="0.2">
      <c r="A365" s="17" t="s">
        <v>258</v>
      </c>
      <c r="B365" s="17"/>
      <c r="C365" s="14" t="s">
        <v>3</v>
      </c>
      <c r="F365" t="s">
        <v>26</v>
      </c>
      <c r="Y365" s="9"/>
    </row>
    <row r="366" spans="1:25" x14ac:dyDescent="0.2">
      <c r="A366" t="s">
        <v>475</v>
      </c>
      <c r="B366" t="s">
        <v>477</v>
      </c>
      <c r="C366" t="s">
        <v>478</v>
      </c>
      <c r="D366" t="s">
        <v>476</v>
      </c>
      <c r="E366" t="s">
        <v>397</v>
      </c>
      <c r="F366" t="s">
        <v>475</v>
      </c>
      <c r="G366" t="s">
        <v>477</v>
      </c>
      <c r="H366" t="s">
        <v>478</v>
      </c>
      <c r="I366" t="s">
        <v>476</v>
      </c>
      <c r="J366" t="s">
        <v>398</v>
      </c>
    </row>
    <row r="367" spans="1:25" x14ac:dyDescent="0.2">
      <c r="A367">
        <v>0.25</v>
      </c>
      <c r="B367" t="s">
        <v>479</v>
      </c>
      <c r="C367">
        <v>48</v>
      </c>
      <c r="D367">
        <v>261.62956379894968</v>
      </c>
      <c r="F367">
        <v>2.25</v>
      </c>
      <c r="G367" t="s">
        <v>27</v>
      </c>
      <c r="H367">
        <v>36</v>
      </c>
      <c r="I367">
        <v>130.81344004395982</v>
      </c>
      <c r="L367" t="s">
        <v>470</v>
      </c>
      <c r="R367" s="17" t="s">
        <v>258</v>
      </c>
      <c r="S367" s="17"/>
      <c r="T367" s="9"/>
      <c r="V367" s="9" t="s">
        <v>26</v>
      </c>
      <c r="W367" s="9"/>
    </row>
    <row r="368" spans="1:25" x14ac:dyDescent="0.2">
      <c r="A368">
        <v>1.25</v>
      </c>
      <c r="B368" t="s">
        <v>480</v>
      </c>
      <c r="C368">
        <v>50</v>
      </c>
      <c r="D368">
        <v>293.66975814369101</v>
      </c>
      <c r="E368">
        <v>2</v>
      </c>
      <c r="F368">
        <v>3.25</v>
      </c>
      <c r="G368" t="s">
        <v>28</v>
      </c>
      <c r="H368">
        <v>38</v>
      </c>
      <c r="I368">
        <v>146.83337288738062</v>
      </c>
      <c r="J368">
        <v>2</v>
      </c>
      <c r="R368" s="9" t="s">
        <v>475</v>
      </c>
      <c r="S368" s="9" t="s">
        <v>477</v>
      </c>
      <c r="T368" s="9" t="s">
        <v>478</v>
      </c>
      <c r="V368" s="9" t="s">
        <v>475</v>
      </c>
      <c r="W368" s="9" t="s">
        <v>477</v>
      </c>
      <c r="X368" s="9" t="s">
        <v>478</v>
      </c>
    </row>
    <row r="369" spans="1:24" x14ac:dyDescent="0.2">
      <c r="A369">
        <v>2.5</v>
      </c>
      <c r="B369" t="s">
        <v>240</v>
      </c>
      <c r="C369">
        <v>60</v>
      </c>
      <c r="D369">
        <v>523.26449507501752</v>
      </c>
      <c r="E369">
        <v>12</v>
      </c>
      <c r="F369">
        <v>4.5</v>
      </c>
      <c r="G369" t="s">
        <v>45</v>
      </c>
      <c r="H369">
        <v>31</v>
      </c>
      <c r="I369">
        <v>97.998932630681239</v>
      </c>
      <c r="J369">
        <v>5</v>
      </c>
      <c r="L369" t="s">
        <v>355</v>
      </c>
      <c r="M369" t="s">
        <v>396</v>
      </c>
      <c r="Q369">
        <v>1</v>
      </c>
      <c r="R369">
        <v>1.25</v>
      </c>
      <c r="S369" s="9" t="s">
        <v>479</v>
      </c>
      <c r="T369" s="9">
        <v>48</v>
      </c>
      <c r="V369" s="9">
        <v>2.25</v>
      </c>
      <c r="W369" s="9" t="s">
        <v>27</v>
      </c>
      <c r="X369" s="9">
        <v>36</v>
      </c>
    </row>
    <row r="370" spans="1:24" x14ac:dyDescent="0.2">
      <c r="A370">
        <v>4.25</v>
      </c>
      <c r="B370" t="s">
        <v>239</v>
      </c>
      <c r="C370">
        <v>55</v>
      </c>
      <c r="D370">
        <v>392.00377257605692</v>
      </c>
      <c r="E370">
        <v>5</v>
      </c>
      <c r="F370">
        <v>7</v>
      </c>
      <c r="G370" t="s">
        <v>479</v>
      </c>
      <c r="H370">
        <v>48</v>
      </c>
      <c r="I370">
        <v>261.62956379894968</v>
      </c>
      <c r="J370">
        <v>3</v>
      </c>
      <c r="L370">
        <f>SUM(E368:E426)</f>
        <v>182</v>
      </c>
      <c r="M370">
        <f>(426-366)</f>
        <v>60</v>
      </c>
      <c r="Q370">
        <v>1</v>
      </c>
      <c r="R370" s="9">
        <v>2.25</v>
      </c>
      <c r="S370" s="9" t="s">
        <v>480</v>
      </c>
      <c r="T370" s="9">
        <v>50</v>
      </c>
      <c r="V370" s="9">
        <v>3.25</v>
      </c>
      <c r="W370" s="9" t="s">
        <v>28</v>
      </c>
      <c r="X370" s="9">
        <v>38</v>
      </c>
    </row>
    <row r="371" spans="1:24" x14ac:dyDescent="0.2">
      <c r="A371">
        <v>5.25</v>
      </c>
      <c r="B371" t="s">
        <v>243</v>
      </c>
      <c r="C371">
        <v>57</v>
      </c>
      <c r="D371">
        <v>440.01010976071962</v>
      </c>
      <c r="E371">
        <v>2</v>
      </c>
      <c r="F371">
        <v>8</v>
      </c>
      <c r="G371" t="s">
        <v>479</v>
      </c>
      <c r="H371">
        <v>48</v>
      </c>
      <c r="I371">
        <v>261.62956379894968</v>
      </c>
      <c r="J371">
        <v>1</v>
      </c>
      <c r="Q371">
        <v>1</v>
      </c>
      <c r="R371" s="9">
        <v>3.5</v>
      </c>
      <c r="S371" s="9" t="s">
        <v>240</v>
      </c>
      <c r="T371" s="9">
        <v>60</v>
      </c>
      <c r="V371" s="9">
        <v>4.5</v>
      </c>
      <c r="W371" s="9" t="s">
        <v>45</v>
      </c>
      <c r="X371" s="9">
        <v>31</v>
      </c>
    </row>
    <row r="372" spans="1:24" x14ac:dyDescent="0.2">
      <c r="A372">
        <v>6.5</v>
      </c>
      <c r="B372" t="s">
        <v>245</v>
      </c>
      <c r="C372">
        <v>67</v>
      </c>
      <c r="D372">
        <v>784.01558732918647</v>
      </c>
      <c r="E372">
        <v>12</v>
      </c>
      <c r="F372">
        <v>10</v>
      </c>
      <c r="G372" t="s">
        <v>481</v>
      </c>
      <c r="H372">
        <v>52</v>
      </c>
      <c r="I372">
        <v>329.63372180082422</v>
      </c>
      <c r="J372">
        <v>4</v>
      </c>
      <c r="L372" t="s">
        <v>356</v>
      </c>
      <c r="Q372">
        <v>2</v>
      </c>
      <c r="R372" s="9">
        <v>1.25</v>
      </c>
      <c r="S372" s="9" t="s">
        <v>239</v>
      </c>
      <c r="T372" s="9">
        <v>55</v>
      </c>
      <c r="V372" s="9">
        <v>7</v>
      </c>
      <c r="W372" s="9" t="s">
        <v>479</v>
      </c>
      <c r="X372" s="9">
        <v>48</v>
      </c>
    </row>
    <row r="373" spans="1:24" x14ac:dyDescent="0.2">
      <c r="A373">
        <v>8.25</v>
      </c>
      <c r="B373" t="s">
        <v>256</v>
      </c>
      <c r="C373">
        <v>69</v>
      </c>
      <c r="D373">
        <v>880.02924657542201</v>
      </c>
      <c r="E373">
        <v>2</v>
      </c>
      <c r="F373">
        <v>12</v>
      </c>
      <c r="G373" t="s">
        <v>479</v>
      </c>
      <c r="H373">
        <v>48</v>
      </c>
      <c r="I373">
        <v>261.62956379894968</v>
      </c>
      <c r="J373">
        <v>3</v>
      </c>
      <c r="L373">
        <f>L370/(426-367)</f>
        <v>3.0847457627118646</v>
      </c>
      <c r="Q373">
        <v>2</v>
      </c>
      <c r="R373" s="9">
        <v>2.25</v>
      </c>
      <c r="S373" s="9" t="s">
        <v>243</v>
      </c>
      <c r="T373" s="9">
        <v>57</v>
      </c>
      <c r="V373" s="9">
        <v>8</v>
      </c>
      <c r="W373" s="9" t="s">
        <v>479</v>
      </c>
      <c r="X373" s="9">
        <v>48</v>
      </c>
    </row>
    <row r="374" spans="1:24" x14ac:dyDescent="0.2">
      <c r="A374">
        <v>9.25</v>
      </c>
      <c r="B374" t="s">
        <v>245</v>
      </c>
      <c r="C374">
        <v>67</v>
      </c>
      <c r="D374">
        <v>784.01558732918647</v>
      </c>
      <c r="E374">
        <v>2</v>
      </c>
      <c r="F374">
        <v>14</v>
      </c>
      <c r="G374" t="s">
        <v>46</v>
      </c>
      <c r="H374">
        <v>45</v>
      </c>
      <c r="I374">
        <v>220.00279814001343</v>
      </c>
      <c r="J374">
        <v>3</v>
      </c>
      <c r="Q374">
        <v>2</v>
      </c>
      <c r="R374" s="9">
        <v>3.5</v>
      </c>
      <c r="S374" s="9" t="s">
        <v>245</v>
      </c>
      <c r="T374" s="9">
        <v>67</v>
      </c>
      <c r="V374" s="9">
        <v>10</v>
      </c>
      <c r="W374" s="9" t="s">
        <v>481</v>
      </c>
      <c r="X374" s="9">
        <v>52</v>
      </c>
    </row>
    <row r="375" spans="1:24" x14ac:dyDescent="0.2">
      <c r="A375">
        <v>10.25</v>
      </c>
      <c r="B375" t="s">
        <v>246</v>
      </c>
      <c r="C375">
        <v>65</v>
      </c>
      <c r="D375">
        <v>698.47728762097279</v>
      </c>
      <c r="E375">
        <v>4</v>
      </c>
      <c r="F375">
        <v>16.5</v>
      </c>
      <c r="G375" t="s">
        <v>29</v>
      </c>
      <c r="H375">
        <v>40</v>
      </c>
      <c r="I375">
        <v>164.8151702626221</v>
      </c>
      <c r="J375">
        <v>8</v>
      </c>
      <c r="Q375">
        <v>3</v>
      </c>
      <c r="R375" s="9">
        <v>1.25</v>
      </c>
      <c r="S375" s="9" t="s">
        <v>256</v>
      </c>
      <c r="T375" s="9">
        <v>69</v>
      </c>
      <c r="V375" s="9">
        <v>12</v>
      </c>
      <c r="W375" s="9" t="s">
        <v>479</v>
      </c>
      <c r="X375" s="9">
        <v>48</v>
      </c>
    </row>
    <row r="376" spans="1:24" x14ac:dyDescent="0.2">
      <c r="A376">
        <v>11.25</v>
      </c>
      <c r="B376" t="s">
        <v>255</v>
      </c>
      <c r="C376">
        <v>64</v>
      </c>
      <c r="D376">
        <v>659.27420622217699</v>
      </c>
      <c r="E376">
        <v>2</v>
      </c>
      <c r="F376">
        <v>17.5</v>
      </c>
      <c r="G376" t="s">
        <v>48</v>
      </c>
      <c r="H376">
        <v>42</v>
      </c>
      <c r="I376">
        <v>184.99908988354849</v>
      </c>
      <c r="J376">
        <v>1</v>
      </c>
      <c r="L376" t="s">
        <v>472</v>
      </c>
      <c r="Q376">
        <v>3</v>
      </c>
      <c r="R376" s="9">
        <v>2.25</v>
      </c>
      <c r="S376" s="9" t="s">
        <v>245</v>
      </c>
      <c r="T376" s="9">
        <v>67</v>
      </c>
      <c r="V376" s="9">
        <v>14</v>
      </c>
      <c r="W376" s="9" t="s">
        <v>46</v>
      </c>
      <c r="X376" s="9">
        <v>45</v>
      </c>
    </row>
    <row r="377" spans="1:24" x14ac:dyDescent="0.2">
      <c r="A377">
        <v>12.25</v>
      </c>
      <c r="B377" t="s">
        <v>242</v>
      </c>
      <c r="C377">
        <v>62</v>
      </c>
      <c r="D377">
        <v>587.34554108704231</v>
      </c>
      <c r="E377">
        <v>3</v>
      </c>
      <c r="F377">
        <v>19</v>
      </c>
      <c r="G377" t="s">
        <v>27</v>
      </c>
      <c r="H377">
        <v>36</v>
      </c>
      <c r="I377">
        <v>130.81344004395982</v>
      </c>
      <c r="J377">
        <v>7</v>
      </c>
      <c r="Q377">
        <v>3</v>
      </c>
      <c r="R377" s="9">
        <v>3.25</v>
      </c>
      <c r="S377" s="9" t="s">
        <v>246</v>
      </c>
      <c r="T377" s="9">
        <v>65</v>
      </c>
      <c r="V377" s="9">
        <v>16.5</v>
      </c>
      <c r="W377" s="9" t="s">
        <v>29</v>
      </c>
      <c r="X377" s="9">
        <v>40</v>
      </c>
    </row>
    <row r="378" spans="1:24" x14ac:dyDescent="0.2">
      <c r="A378">
        <v>13.25</v>
      </c>
      <c r="B378" t="s">
        <v>240</v>
      </c>
      <c r="C378">
        <v>60</v>
      </c>
      <c r="D378">
        <v>523.26449507501752</v>
      </c>
      <c r="E378">
        <v>1</v>
      </c>
      <c r="F378">
        <v>21</v>
      </c>
      <c r="G378" t="s">
        <v>44</v>
      </c>
      <c r="H378">
        <v>43</v>
      </c>
      <c r="I378">
        <v>195.99987576438375</v>
      </c>
      <c r="J378">
        <v>3</v>
      </c>
      <c r="L378" t="s">
        <v>235</v>
      </c>
      <c r="M378" t="s">
        <v>396</v>
      </c>
      <c r="Q378">
        <v>3</v>
      </c>
      <c r="R378" s="9">
        <v>4.25</v>
      </c>
      <c r="S378" s="9" t="s">
        <v>255</v>
      </c>
      <c r="T378" s="9">
        <v>64</v>
      </c>
      <c r="V378" s="9">
        <v>17.5</v>
      </c>
      <c r="W378" s="9" t="s">
        <v>48</v>
      </c>
      <c r="X378" s="9">
        <v>42</v>
      </c>
    </row>
    <row r="379" spans="1:24" x14ac:dyDescent="0.2">
      <c r="A379">
        <v>14.25</v>
      </c>
      <c r="B379" t="s">
        <v>244</v>
      </c>
      <c r="C379">
        <v>59</v>
      </c>
      <c r="D379">
        <v>493.89549345236588</v>
      </c>
      <c r="E379">
        <v>3</v>
      </c>
      <c r="F379">
        <v>23</v>
      </c>
      <c r="G379" t="s">
        <v>28</v>
      </c>
      <c r="H379">
        <v>38</v>
      </c>
      <c r="I379">
        <v>146.83337288738062</v>
      </c>
      <c r="J379">
        <v>3</v>
      </c>
      <c r="L379">
        <f>SUM(J368:J420)</f>
        <v>170</v>
      </c>
      <c r="M379">
        <f>(420-366)</f>
        <v>54</v>
      </c>
      <c r="Q379">
        <v>4</v>
      </c>
      <c r="R379" s="9">
        <v>1.25</v>
      </c>
      <c r="S379" s="9" t="s">
        <v>242</v>
      </c>
      <c r="T379" s="9">
        <v>62</v>
      </c>
      <c r="V379" s="9">
        <v>19</v>
      </c>
      <c r="W379" s="9" t="s">
        <v>27</v>
      </c>
      <c r="X379" s="9">
        <v>36</v>
      </c>
    </row>
    <row r="380" spans="1:24" x14ac:dyDescent="0.2">
      <c r="A380">
        <v>15.25</v>
      </c>
      <c r="B380" t="s">
        <v>243</v>
      </c>
      <c r="C380">
        <v>57</v>
      </c>
      <c r="D380">
        <v>440.01010976071962</v>
      </c>
      <c r="E380">
        <v>2</v>
      </c>
      <c r="F380">
        <v>24.75</v>
      </c>
      <c r="G380" t="s">
        <v>412</v>
      </c>
      <c r="H380">
        <v>35</v>
      </c>
      <c r="I380">
        <v>123.4713402663609</v>
      </c>
      <c r="J380">
        <v>4</v>
      </c>
      <c r="Q380">
        <v>4</v>
      </c>
      <c r="R380" s="9">
        <v>2.25</v>
      </c>
      <c r="S380" s="9" t="s">
        <v>240</v>
      </c>
      <c r="T380" s="9">
        <v>60</v>
      </c>
      <c r="V380" s="9">
        <v>21</v>
      </c>
      <c r="W380" s="9" t="s">
        <v>44</v>
      </c>
      <c r="X380" s="9">
        <v>43</v>
      </c>
    </row>
    <row r="381" spans="1:24" x14ac:dyDescent="0.2">
      <c r="A381">
        <v>16.5</v>
      </c>
      <c r="B381" t="s">
        <v>480</v>
      </c>
      <c r="C381">
        <v>50</v>
      </c>
      <c r="D381">
        <v>293.66975814369101</v>
      </c>
      <c r="E381">
        <v>9</v>
      </c>
      <c r="F381">
        <v>25.75</v>
      </c>
      <c r="G381" t="s">
        <v>45</v>
      </c>
      <c r="H381">
        <v>31</v>
      </c>
      <c r="I381">
        <v>97.998932630681239</v>
      </c>
      <c r="J381">
        <v>2</v>
      </c>
      <c r="L381" t="s">
        <v>236</v>
      </c>
      <c r="Q381">
        <v>4</v>
      </c>
      <c r="R381" s="9">
        <v>3.25</v>
      </c>
      <c r="S381" s="9" t="s">
        <v>244</v>
      </c>
      <c r="T381" s="9">
        <v>59</v>
      </c>
      <c r="V381" s="9">
        <v>23</v>
      </c>
      <c r="W381" s="9" t="s">
        <v>28</v>
      </c>
      <c r="X381" s="9">
        <v>38</v>
      </c>
    </row>
    <row r="382" spans="1:24" x14ac:dyDescent="0.2">
      <c r="A382">
        <v>18.25</v>
      </c>
      <c r="B382" t="s">
        <v>243</v>
      </c>
      <c r="C382">
        <v>57</v>
      </c>
      <c r="D382">
        <v>440.01010976071962</v>
      </c>
      <c r="E382">
        <v>5</v>
      </c>
      <c r="F382">
        <v>27.5</v>
      </c>
      <c r="G382" t="s">
        <v>44</v>
      </c>
      <c r="H382">
        <v>43</v>
      </c>
      <c r="I382">
        <v>195.99987576438375</v>
      </c>
      <c r="J382">
        <v>0</v>
      </c>
      <c r="L382">
        <f>L379/(420-367)</f>
        <v>3.2075471698113209</v>
      </c>
      <c r="Q382">
        <v>4</v>
      </c>
      <c r="R382" s="9">
        <v>4.25</v>
      </c>
      <c r="S382" s="9" t="s">
        <v>243</v>
      </c>
      <c r="T382" s="9">
        <v>57</v>
      </c>
      <c r="V382" s="9">
        <v>24.75</v>
      </c>
      <c r="W382" s="9" t="s">
        <v>412</v>
      </c>
      <c r="X382" s="9">
        <v>35</v>
      </c>
    </row>
    <row r="383" spans="1:24" x14ac:dyDescent="0.2">
      <c r="A383">
        <v>19.25</v>
      </c>
      <c r="B383" t="s">
        <v>239</v>
      </c>
      <c r="C383">
        <v>55</v>
      </c>
      <c r="D383">
        <v>392.00377257605692</v>
      </c>
      <c r="E383">
        <v>1</v>
      </c>
      <c r="F383">
        <v>28.75</v>
      </c>
      <c r="G383" t="s">
        <v>48</v>
      </c>
      <c r="H383">
        <v>42</v>
      </c>
      <c r="I383">
        <v>184.99908988354849</v>
      </c>
      <c r="J383">
        <v>4</v>
      </c>
      <c r="Q383">
        <v>5</v>
      </c>
      <c r="R383" s="9">
        <v>1.5</v>
      </c>
      <c r="S383" s="9" t="s">
        <v>480</v>
      </c>
      <c r="T383" s="9">
        <v>50</v>
      </c>
      <c r="V383" s="9">
        <v>25.75</v>
      </c>
      <c r="W383" s="9" t="s">
        <v>45</v>
      </c>
      <c r="X383" s="9">
        <v>31</v>
      </c>
    </row>
    <row r="384" spans="1:24" x14ac:dyDescent="0.2">
      <c r="A384">
        <v>20.25</v>
      </c>
      <c r="B384" t="s">
        <v>244</v>
      </c>
      <c r="C384">
        <v>59</v>
      </c>
      <c r="D384">
        <v>493.89549345236588</v>
      </c>
      <c r="E384">
        <v>2</v>
      </c>
      <c r="F384">
        <v>29.75</v>
      </c>
      <c r="G384" t="s">
        <v>28</v>
      </c>
      <c r="H384">
        <v>38</v>
      </c>
      <c r="I384">
        <v>146.83337288738062</v>
      </c>
      <c r="J384">
        <v>2</v>
      </c>
      <c r="N384" s="9">
        <v>1</v>
      </c>
      <c r="Q384">
        <v>5</v>
      </c>
      <c r="R384" s="9">
        <v>3.25</v>
      </c>
      <c r="S384" s="9" t="s">
        <v>243</v>
      </c>
      <c r="T384" s="9">
        <v>57</v>
      </c>
      <c r="V384" s="9">
        <v>27.5</v>
      </c>
      <c r="W384" s="9" t="s">
        <v>44</v>
      </c>
      <c r="X384" s="9">
        <v>43</v>
      </c>
    </row>
    <row r="385" spans="1:24" x14ac:dyDescent="0.2">
      <c r="A385">
        <v>21.25</v>
      </c>
      <c r="B385" t="s">
        <v>242</v>
      </c>
      <c r="C385">
        <v>62</v>
      </c>
      <c r="D385">
        <v>587.34554108704231</v>
      </c>
      <c r="E385">
        <v>2</v>
      </c>
      <c r="F385">
        <v>31.25</v>
      </c>
      <c r="G385" t="s">
        <v>480</v>
      </c>
      <c r="H385">
        <v>50</v>
      </c>
      <c r="I385">
        <v>293.66975814369101</v>
      </c>
      <c r="J385">
        <v>0</v>
      </c>
      <c r="N385" s="9">
        <v>2</v>
      </c>
      <c r="Q385">
        <v>5</v>
      </c>
      <c r="R385" s="9">
        <v>4.25</v>
      </c>
      <c r="S385" s="9" t="s">
        <v>239</v>
      </c>
      <c r="T385" s="9">
        <v>55</v>
      </c>
      <c r="V385" s="9">
        <v>28.75</v>
      </c>
      <c r="W385" s="9" t="s">
        <v>48</v>
      </c>
      <c r="X385" s="9">
        <v>42</v>
      </c>
    </row>
    <row r="386" spans="1:24" x14ac:dyDescent="0.2">
      <c r="A386">
        <v>22.25</v>
      </c>
      <c r="B386" t="s">
        <v>244</v>
      </c>
      <c r="C386">
        <v>59</v>
      </c>
      <c r="D386">
        <v>493.89549345236588</v>
      </c>
      <c r="E386">
        <v>5</v>
      </c>
      <c r="F386">
        <v>32.75</v>
      </c>
      <c r="G386" t="s">
        <v>481</v>
      </c>
      <c r="H386">
        <v>52</v>
      </c>
      <c r="I386">
        <v>329.63372180082422</v>
      </c>
      <c r="J386">
        <v>3</v>
      </c>
      <c r="N386" s="9">
        <v>3</v>
      </c>
      <c r="O386" s="9">
        <v>1</v>
      </c>
      <c r="Q386">
        <v>6</v>
      </c>
      <c r="R386" s="9">
        <v>1.25</v>
      </c>
      <c r="S386" s="9" t="s">
        <v>244</v>
      </c>
      <c r="T386" s="9">
        <v>59</v>
      </c>
      <c r="V386" s="9">
        <v>29.75</v>
      </c>
      <c r="W386" s="9" t="s">
        <v>28</v>
      </c>
      <c r="X386" s="9">
        <v>38</v>
      </c>
    </row>
    <row r="387" spans="1:24" x14ac:dyDescent="0.2">
      <c r="A387">
        <v>23</v>
      </c>
      <c r="B387" t="s">
        <v>244</v>
      </c>
      <c r="C387">
        <v>59</v>
      </c>
      <c r="D387">
        <v>493.89549345236588</v>
      </c>
      <c r="E387">
        <v>3</v>
      </c>
      <c r="F387">
        <v>33.75</v>
      </c>
      <c r="G387" t="s">
        <v>239</v>
      </c>
      <c r="H387">
        <v>55</v>
      </c>
      <c r="I387">
        <v>392.00377257605692</v>
      </c>
      <c r="J387">
        <v>2</v>
      </c>
      <c r="N387" s="9">
        <v>4</v>
      </c>
      <c r="O387" s="9">
        <v>5</v>
      </c>
      <c r="Q387">
        <v>6</v>
      </c>
      <c r="R387" s="9">
        <v>2.25</v>
      </c>
      <c r="S387" s="9" t="s">
        <v>242</v>
      </c>
      <c r="T387" s="9">
        <v>62</v>
      </c>
      <c r="V387" s="9">
        <v>31.25</v>
      </c>
      <c r="W387" s="9" t="s">
        <v>480</v>
      </c>
      <c r="X387" s="9">
        <v>50</v>
      </c>
    </row>
    <row r="388" spans="1:24" x14ac:dyDescent="0.2">
      <c r="A388">
        <v>26.25</v>
      </c>
      <c r="B388" t="s">
        <v>239</v>
      </c>
      <c r="C388">
        <v>55</v>
      </c>
      <c r="D388">
        <v>392.00377257605692</v>
      </c>
      <c r="E388">
        <v>0</v>
      </c>
      <c r="F388">
        <v>35.5</v>
      </c>
      <c r="G388" t="s">
        <v>480</v>
      </c>
      <c r="H388">
        <v>50</v>
      </c>
      <c r="I388">
        <v>293.66975814369101</v>
      </c>
      <c r="J388">
        <v>2</v>
      </c>
      <c r="N388" s="9">
        <v>5</v>
      </c>
      <c r="O388" s="9">
        <v>9</v>
      </c>
      <c r="Q388">
        <v>6</v>
      </c>
      <c r="R388" s="9">
        <v>3.25</v>
      </c>
      <c r="S388" s="9" t="s">
        <v>244</v>
      </c>
      <c r="T388" s="9">
        <v>59</v>
      </c>
      <c r="V388" s="9">
        <v>32.75</v>
      </c>
      <c r="W388" s="9" t="s">
        <v>481</v>
      </c>
      <c r="X388" s="9">
        <v>52</v>
      </c>
    </row>
    <row r="389" spans="1:24" x14ac:dyDescent="0.2">
      <c r="A389">
        <v>27.25</v>
      </c>
      <c r="B389" t="s">
        <v>243</v>
      </c>
      <c r="C389">
        <v>57</v>
      </c>
      <c r="D389">
        <v>440.01010976071962</v>
      </c>
      <c r="E389">
        <v>2</v>
      </c>
      <c r="F389">
        <v>36.75</v>
      </c>
      <c r="G389" t="s">
        <v>482</v>
      </c>
      <c r="H389">
        <v>53</v>
      </c>
      <c r="I389">
        <v>349.23506143398839</v>
      </c>
      <c r="J389">
        <v>4</v>
      </c>
      <c r="N389" s="9">
        <v>6</v>
      </c>
      <c r="O389" s="9">
        <v>13</v>
      </c>
      <c r="Q389">
        <v>6</v>
      </c>
      <c r="R389" s="9">
        <v>4</v>
      </c>
      <c r="S389" s="9" t="s">
        <v>244</v>
      </c>
      <c r="T389" s="9">
        <v>59</v>
      </c>
      <c r="V389" s="9">
        <v>33.75</v>
      </c>
      <c r="W389" s="9" t="s">
        <v>239</v>
      </c>
      <c r="X389" s="9">
        <v>55</v>
      </c>
    </row>
    <row r="390" spans="1:24" x14ac:dyDescent="0.2">
      <c r="A390">
        <v>30.25</v>
      </c>
      <c r="B390" t="s">
        <v>243</v>
      </c>
      <c r="C390">
        <v>57</v>
      </c>
      <c r="D390">
        <v>440.01010976071962</v>
      </c>
      <c r="E390">
        <v>2</v>
      </c>
      <c r="F390">
        <v>37.75</v>
      </c>
      <c r="G390" t="s">
        <v>243</v>
      </c>
      <c r="H390">
        <v>57</v>
      </c>
      <c r="I390">
        <v>440.01010976071962</v>
      </c>
      <c r="J390">
        <v>2</v>
      </c>
      <c r="N390" s="9">
        <v>7</v>
      </c>
      <c r="O390" s="9">
        <v>17</v>
      </c>
      <c r="Q390">
        <v>7</v>
      </c>
      <c r="R390" s="9">
        <v>3.25</v>
      </c>
      <c r="S390" s="9" t="s">
        <v>239</v>
      </c>
      <c r="T390" s="9">
        <v>55</v>
      </c>
      <c r="V390" s="9">
        <v>35.5</v>
      </c>
      <c r="W390" s="9" t="s">
        <v>480</v>
      </c>
      <c r="X390" s="9">
        <v>50</v>
      </c>
    </row>
    <row r="391" spans="1:24" x14ac:dyDescent="0.2">
      <c r="A391">
        <v>31.25</v>
      </c>
      <c r="B391" t="s">
        <v>244</v>
      </c>
      <c r="C391">
        <v>59</v>
      </c>
      <c r="D391">
        <v>493.89549345236588</v>
      </c>
      <c r="E391">
        <v>1</v>
      </c>
      <c r="F391">
        <v>39.5</v>
      </c>
      <c r="G391" t="s">
        <v>481</v>
      </c>
      <c r="H391">
        <v>52</v>
      </c>
      <c r="I391">
        <v>329.63372180082422</v>
      </c>
      <c r="J391">
        <v>1</v>
      </c>
      <c r="N391" s="9">
        <v>8</v>
      </c>
      <c r="O391" s="9">
        <v>21</v>
      </c>
      <c r="Q391">
        <v>7</v>
      </c>
      <c r="R391" s="9">
        <v>4.25</v>
      </c>
      <c r="S391" s="9" t="s">
        <v>243</v>
      </c>
      <c r="T391" s="9">
        <v>57</v>
      </c>
      <c r="V391" s="9">
        <v>36.75</v>
      </c>
      <c r="W391" s="9" t="s">
        <v>482</v>
      </c>
      <c r="X391" s="9">
        <v>53</v>
      </c>
    </row>
    <row r="392" spans="1:24" x14ac:dyDescent="0.2">
      <c r="A392">
        <v>34.25</v>
      </c>
      <c r="B392" t="s">
        <v>242</v>
      </c>
      <c r="C392">
        <v>62</v>
      </c>
      <c r="D392">
        <v>587.34554108704231</v>
      </c>
      <c r="E392">
        <v>5</v>
      </c>
      <c r="F392">
        <v>40.75</v>
      </c>
      <c r="G392" t="s">
        <v>239</v>
      </c>
      <c r="H392">
        <v>55</v>
      </c>
      <c r="I392">
        <v>392.00377257605692</v>
      </c>
      <c r="J392">
        <v>3</v>
      </c>
      <c r="N392" s="9">
        <v>9</v>
      </c>
      <c r="O392" s="9">
        <v>25</v>
      </c>
      <c r="Q392">
        <v>8</v>
      </c>
      <c r="R392" s="9">
        <v>3.25</v>
      </c>
      <c r="S392" s="9" t="s">
        <v>243</v>
      </c>
      <c r="T392" s="9">
        <v>57</v>
      </c>
      <c r="V392" s="9">
        <v>37.75</v>
      </c>
      <c r="W392" s="9" t="s">
        <v>243</v>
      </c>
      <c r="X392" s="9">
        <v>57</v>
      </c>
    </row>
    <row r="393" spans="1:24" x14ac:dyDescent="0.2">
      <c r="A393">
        <v>35.25</v>
      </c>
      <c r="B393" t="s">
        <v>240</v>
      </c>
      <c r="C393">
        <v>60</v>
      </c>
      <c r="D393">
        <v>523.26449507501752</v>
      </c>
      <c r="E393">
        <v>1</v>
      </c>
      <c r="F393">
        <v>41.75</v>
      </c>
      <c r="G393" t="s">
        <v>411</v>
      </c>
      <c r="H393">
        <v>58</v>
      </c>
      <c r="I393">
        <v>466.17487092753117</v>
      </c>
      <c r="J393">
        <v>1</v>
      </c>
      <c r="N393" s="9">
        <v>10</v>
      </c>
      <c r="O393" s="9">
        <v>29</v>
      </c>
      <c r="Q393">
        <v>8</v>
      </c>
      <c r="R393" s="9">
        <v>4.25</v>
      </c>
      <c r="S393" s="9" t="s">
        <v>244</v>
      </c>
      <c r="T393" s="9">
        <v>59</v>
      </c>
      <c r="V393" s="9">
        <v>39.5</v>
      </c>
      <c r="W393" s="9" t="s">
        <v>481</v>
      </c>
      <c r="X393" s="9">
        <v>52</v>
      </c>
    </row>
    <row r="394" spans="1:24" x14ac:dyDescent="0.2">
      <c r="A394">
        <v>38.25</v>
      </c>
      <c r="B394" t="s">
        <v>255</v>
      </c>
      <c r="C394">
        <v>64</v>
      </c>
      <c r="D394">
        <v>659.27420622217699</v>
      </c>
      <c r="E394">
        <v>2</v>
      </c>
      <c r="F394">
        <v>42.75</v>
      </c>
      <c r="G394" t="s">
        <v>481</v>
      </c>
      <c r="H394">
        <v>52</v>
      </c>
      <c r="I394">
        <v>329.63372180082422</v>
      </c>
      <c r="J394">
        <v>3</v>
      </c>
      <c r="N394" s="9">
        <v>11</v>
      </c>
      <c r="O394" s="9">
        <v>33</v>
      </c>
      <c r="Q394">
        <v>9</v>
      </c>
      <c r="R394" s="9">
        <v>3.25</v>
      </c>
      <c r="S394" s="9" t="s">
        <v>242</v>
      </c>
      <c r="T394" s="9">
        <v>62</v>
      </c>
      <c r="V394" s="9">
        <v>40.75</v>
      </c>
      <c r="W394" s="9" t="s">
        <v>239</v>
      </c>
      <c r="X394" s="9">
        <v>55</v>
      </c>
    </row>
    <row r="395" spans="1:24" x14ac:dyDescent="0.2">
      <c r="A395">
        <v>39.25</v>
      </c>
      <c r="B395" t="s">
        <v>242</v>
      </c>
      <c r="C395">
        <v>62</v>
      </c>
      <c r="D395">
        <v>587.34554108704231</v>
      </c>
      <c r="E395">
        <v>2</v>
      </c>
      <c r="F395">
        <v>43.75</v>
      </c>
      <c r="G395" t="s">
        <v>239</v>
      </c>
      <c r="H395">
        <v>55</v>
      </c>
      <c r="I395">
        <v>392.00377257605692</v>
      </c>
      <c r="J395">
        <v>2</v>
      </c>
      <c r="N395" s="9">
        <v>12</v>
      </c>
      <c r="O395" s="9">
        <v>37</v>
      </c>
      <c r="Q395">
        <v>9</v>
      </c>
      <c r="R395" s="9">
        <v>4.25</v>
      </c>
      <c r="S395" s="9" t="s">
        <v>240</v>
      </c>
      <c r="T395" s="9">
        <v>60</v>
      </c>
      <c r="V395" s="9">
        <v>41.75</v>
      </c>
      <c r="W395" s="9" t="s">
        <v>411</v>
      </c>
      <c r="X395" s="9">
        <v>58</v>
      </c>
    </row>
    <row r="396" spans="1:24" x14ac:dyDescent="0.2">
      <c r="A396">
        <v>40.5</v>
      </c>
      <c r="B396" t="s">
        <v>407</v>
      </c>
      <c r="C396">
        <v>61</v>
      </c>
      <c r="D396">
        <v>554.37989501015818</v>
      </c>
      <c r="E396">
        <v>3</v>
      </c>
      <c r="F396">
        <v>44.75</v>
      </c>
      <c r="G396" t="s">
        <v>479</v>
      </c>
      <c r="H396">
        <v>48</v>
      </c>
      <c r="I396">
        <v>261.62956379894968</v>
      </c>
      <c r="J396">
        <v>4</v>
      </c>
      <c r="N396" s="9">
        <v>13</v>
      </c>
      <c r="O396" s="9">
        <v>41</v>
      </c>
      <c r="Q396">
        <v>10</v>
      </c>
      <c r="R396" s="9">
        <v>3.25</v>
      </c>
      <c r="S396" s="9" t="s">
        <v>255</v>
      </c>
      <c r="T396" s="9">
        <v>64</v>
      </c>
      <c r="V396" s="9">
        <v>42.75</v>
      </c>
      <c r="W396" s="9" t="s">
        <v>481</v>
      </c>
      <c r="X396" s="9">
        <v>52</v>
      </c>
    </row>
    <row r="397" spans="1:24" x14ac:dyDescent="0.2">
      <c r="A397">
        <v>42.5</v>
      </c>
      <c r="B397" t="s">
        <v>243</v>
      </c>
      <c r="C397">
        <v>57</v>
      </c>
      <c r="D397">
        <v>440.01010976071962</v>
      </c>
      <c r="E397">
        <v>7</v>
      </c>
      <c r="F397">
        <v>45.75</v>
      </c>
      <c r="G397" t="s">
        <v>481</v>
      </c>
      <c r="H397">
        <v>52</v>
      </c>
      <c r="I397">
        <v>329.63372180082422</v>
      </c>
      <c r="J397">
        <v>2</v>
      </c>
      <c r="N397" s="9">
        <v>14</v>
      </c>
      <c r="O397" s="9">
        <v>45</v>
      </c>
      <c r="Q397">
        <v>10</v>
      </c>
      <c r="R397" s="9">
        <v>4.25</v>
      </c>
      <c r="S397" s="9" t="s">
        <v>242</v>
      </c>
      <c r="T397" s="9">
        <v>62</v>
      </c>
      <c r="V397" s="9">
        <v>43.75</v>
      </c>
      <c r="W397" s="9" t="s">
        <v>239</v>
      </c>
      <c r="X397" s="9">
        <v>55</v>
      </c>
    </row>
    <row r="398" spans="1:24" x14ac:dyDescent="0.2">
      <c r="A398">
        <v>44.5</v>
      </c>
      <c r="B398" t="s">
        <v>257</v>
      </c>
      <c r="C398">
        <v>54</v>
      </c>
      <c r="D398">
        <v>370.00197512709906</v>
      </c>
      <c r="E398">
        <v>6</v>
      </c>
      <c r="F398">
        <v>46.75</v>
      </c>
      <c r="G398" t="s">
        <v>46</v>
      </c>
      <c r="H398">
        <v>45</v>
      </c>
      <c r="I398">
        <v>220.00279814001343</v>
      </c>
      <c r="J398">
        <v>3</v>
      </c>
      <c r="N398" s="9">
        <v>15</v>
      </c>
      <c r="O398" s="9">
        <v>49</v>
      </c>
      <c r="Q398">
        <v>11</v>
      </c>
      <c r="R398" s="9">
        <v>1.5</v>
      </c>
      <c r="S398" s="9" t="s">
        <v>407</v>
      </c>
      <c r="T398" s="9">
        <v>61</v>
      </c>
      <c r="V398" s="9">
        <v>44.75</v>
      </c>
      <c r="W398" s="9" t="s">
        <v>479</v>
      </c>
      <c r="X398" s="9">
        <v>48</v>
      </c>
    </row>
    <row r="399" spans="1:24" x14ac:dyDescent="0.2">
      <c r="A399">
        <v>46.5</v>
      </c>
      <c r="B399" t="s">
        <v>240</v>
      </c>
      <c r="C399">
        <v>60</v>
      </c>
      <c r="D399">
        <v>523.26449507501752</v>
      </c>
      <c r="E399">
        <v>3</v>
      </c>
      <c r="F399">
        <v>47.75</v>
      </c>
      <c r="G399" t="s">
        <v>479</v>
      </c>
      <c r="H399">
        <v>48</v>
      </c>
      <c r="I399">
        <v>261.62956379894968</v>
      </c>
      <c r="J399">
        <v>1</v>
      </c>
      <c r="N399" s="9">
        <v>16</v>
      </c>
      <c r="O399" s="9">
        <v>53</v>
      </c>
      <c r="Q399">
        <v>11</v>
      </c>
      <c r="R399" s="9">
        <v>3.5</v>
      </c>
      <c r="S399" s="9" t="s">
        <v>243</v>
      </c>
      <c r="T399" s="9">
        <v>57</v>
      </c>
      <c r="V399" s="9">
        <v>45.75</v>
      </c>
      <c r="W399" s="9" t="s">
        <v>481</v>
      </c>
      <c r="X399" s="9">
        <v>52</v>
      </c>
    </row>
    <row r="400" spans="1:24" x14ac:dyDescent="0.2">
      <c r="A400">
        <v>48.75</v>
      </c>
      <c r="B400" t="s">
        <v>408</v>
      </c>
      <c r="C400">
        <v>56</v>
      </c>
      <c r="D400">
        <v>415.31388490851958</v>
      </c>
      <c r="E400">
        <v>4</v>
      </c>
      <c r="F400">
        <v>49.75</v>
      </c>
      <c r="G400" t="s">
        <v>481</v>
      </c>
      <c r="H400">
        <v>52</v>
      </c>
      <c r="I400">
        <v>329.63372180082422</v>
      </c>
      <c r="J400">
        <v>12</v>
      </c>
      <c r="N400" s="9">
        <v>17</v>
      </c>
      <c r="O400" s="9">
        <v>57</v>
      </c>
      <c r="Q400">
        <v>12</v>
      </c>
      <c r="R400" s="9">
        <v>1.5</v>
      </c>
      <c r="S400" s="9" t="s">
        <v>257</v>
      </c>
      <c r="T400" s="9">
        <v>54</v>
      </c>
      <c r="V400" s="9">
        <v>46.75</v>
      </c>
      <c r="W400" s="9" t="s">
        <v>46</v>
      </c>
      <c r="X400" s="9">
        <v>45</v>
      </c>
    </row>
    <row r="401" spans="1:24" x14ac:dyDescent="0.2">
      <c r="A401">
        <v>49.75</v>
      </c>
      <c r="B401" t="s">
        <v>481</v>
      </c>
      <c r="C401">
        <v>52</v>
      </c>
      <c r="D401">
        <v>329.63372180082422</v>
      </c>
      <c r="E401">
        <v>2</v>
      </c>
      <c r="F401">
        <v>50.75</v>
      </c>
      <c r="G401" t="s">
        <v>44</v>
      </c>
      <c r="H401">
        <v>43</v>
      </c>
      <c r="I401">
        <v>195.99987576438375</v>
      </c>
      <c r="J401">
        <v>4</v>
      </c>
      <c r="N401" s="9">
        <v>18</v>
      </c>
      <c r="O401" s="9">
        <v>61</v>
      </c>
      <c r="Q401">
        <v>12</v>
      </c>
      <c r="R401" s="9">
        <v>3.5</v>
      </c>
      <c r="S401" s="9" t="s">
        <v>240</v>
      </c>
      <c r="T401" s="9">
        <v>60</v>
      </c>
      <c r="V401" s="9">
        <v>47.75</v>
      </c>
      <c r="W401" s="9" t="s">
        <v>479</v>
      </c>
      <c r="X401" s="9">
        <v>48</v>
      </c>
    </row>
    <row r="402" spans="1:24" x14ac:dyDescent="0.2">
      <c r="A402">
        <v>50.75</v>
      </c>
      <c r="B402" t="s">
        <v>255</v>
      </c>
      <c r="C402">
        <v>64</v>
      </c>
      <c r="D402">
        <v>659.27420622217699</v>
      </c>
      <c r="E402">
        <v>2</v>
      </c>
      <c r="F402">
        <v>51.75</v>
      </c>
      <c r="G402" t="s">
        <v>47</v>
      </c>
      <c r="H402">
        <v>47</v>
      </c>
      <c r="I402">
        <v>246.94521361646051</v>
      </c>
      <c r="J402">
        <v>2</v>
      </c>
      <c r="N402" s="9">
        <v>19</v>
      </c>
      <c r="O402" s="9">
        <v>65</v>
      </c>
      <c r="Q402">
        <v>13</v>
      </c>
      <c r="R402" s="9">
        <v>1.75</v>
      </c>
      <c r="S402" s="9" t="s">
        <v>408</v>
      </c>
      <c r="T402" s="9">
        <v>56</v>
      </c>
      <c r="V402" s="9">
        <v>49.75</v>
      </c>
      <c r="W402" s="9" t="s">
        <v>481</v>
      </c>
      <c r="X402" s="9">
        <v>52</v>
      </c>
    </row>
    <row r="403" spans="1:24" x14ac:dyDescent="0.2">
      <c r="A403">
        <v>51.75</v>
      </c>
      <c r="B403" t="s">
        <v>242</v>
      </c>
      <c r="C403">
        <v>62</v>
      </c>
      <c r="D403">
        <v>587.34554108704231</v>
      </c>
      <c r="E403">
        <v>2</v>
      </c>
      <c r="F403">
        <v>52.75</v>
      </c>
      <c r="G403" t="s">
        <v>480</v>
      </c>
      <c r="H403">
        <v>50</v>
      </c>
      <c r="I403">
        <v>293.66975814369101</v>
      </c>
      <c r="J403">
        <v>2</v>
      </c>
      <c r="N403" s="9">
        <v>20</v>
      </c>
      <c r="O403" s="9">
        <v>69</v>
      </c>
      <c r="Q403">
        <v>13</v>
      </c>
      <c r="R403" s="9">
        <v>2.75</v>
      </c>
      <c r="S403" s="9" t="s">
        <v>481</v>
      </c>
      <c r="T403" s="9">
        <v>52</v>
      </c>
      <c r="V403" s="9">
        <v>50.75</v>
      </c>
      <c r="W403" s="9" t="s">
        <v>44</v>
      </c>
      <c r="X403" s="9">
        <v>43</v>
      </c>
    </row>
    <row r="404" spans="1:24" x14ac:dyDescent="0.2">
      <c r="A404">
        <v>52.75</v>
      </c>
      <c r="B404" t="s">
        <v>241</v>
      </c>
      <c r="C404">
        <v>71</v>
      </c>
      <c r="D404">
        <v>987.80111944755799</v>
      </c>
      <c r="E404">
        <v>2</v>
      </c>
      <c r="F404">
        <v>53.75</v>
      </c>
      <c r="G404" t="s">
        <v>482</v>
      </c>
      <c r="H404">
        <v>53</v>
      </c>
      <c r="I404">
        <v>349.23506143398839</v>
      </c>
      <c r="J404">
        <v>1</v>
      </c>
      <c r="N404" s="9">
        <v>21</v>
      </c>
      <c r="O404" s="9">
        <v>73</v>
      </c>
      <c r="Q404">
        <v>13</v>
      </c>
      <c r="R404" s="9">
        <v>3.75</v>
      </c>
      <c r="S404" s="9" t="s">
        <v>255</v>
      </c>
      <c r="T404" s="9">
        <v>64</v>
      </c>
      <c r="V404" s="9">
        <v>51.75</v>
      </c>
      <c r="W404" s="9" t="s">
        <v>47</v>
      </c>
      <c r="X404" s="9">
        <v>47</v>
      </c>
    </row>
    <row r="405" spans="1:24" x14ac:dyDescent="0.2">
      <c r="A405">
        <v>53.75</v>
      </c>
      <c r="B405" t="s">
        <v>242</v>
      </c>
      <c r="C405">
        <v>62</v>
      </c>
      <c r="D405">
        <v>587.34554108704231</v>
      </c>
      <c r="E405">
        <v>2</v>
      </c>
      <c r="F405">
        <v>55.5</v>
      </c>
      <c r="G405" t="s">
        <v>29</v>
      </c>
      <c r="H405">
        <v>40</v>
      </c>
      <c r="I405">
        <v>164.8151702626221</v>
      </c>
      <c r="J405">
        <v>5</v>
      </c>
      <c r="N405" s="9">
        <v>22</v>
      </c>
      <c r="O405" s="9">
        <v>77</v>
      </c>
      <c r="Q405">
        <v>13</v>
      </c>
      <c r="R405" s="9">
        <v>4.75</v>
      </c>
      <c r="S405" s="9" t="s">
        <v>242</v>
      </c>
      <c r="T405" s="9">
        <v>62</v>
      </c>
      <c r="V405" s="9">
        <v>52.75</v>
      </c>
      <c r="W405" s="9" t="s">
        <v>480</v>
      </c>
      <c r="X405" s="9">
        <v>50</v>
      </c>
    </row>
    <row r="406" spans="1:24" x14ac:dyDescent="0.2">
      <c r="A406">
        <v>54.75</v>
      </c>
      <c r="B406" t="s">
        <v>242</v>
      </c>
      <c r="C406">
        <v>62</v>
      </c>
      <c r="D406">
        <v>587.34554108704231</v>
      </c>
      <c r="E406">
        <v>3</v>
      </c>
      <c r="F406">
        <v>58.5</v>
      </c>
      <c r="G406" t="s">
        <v>480</v>
      </c>
      <c r="H406">
        <v>50</v>
      </c>
      <c r="I406">
        <v>293.66975814369101</v>
      </c>
      <c r="J406">
        <v>17</v>
      </c>
      <c r="O406" s="9">
        <v>81</v>
      </c>
      <c r="Q406">
        <v>14</v>
      </c>
      <c r="R406" s="9">
        <v>1.75</v>
      </c>
      <c r="S406" s="9" t="s">
        <v>241</v>
      </c>
      <c r="T406" s="9">
        <v>71</v>
      </c>
      <c r="V406" s="9">
        <v>53.75</v>
      </c>
      <c r="W406" s="9" t="s">
        <v>482</v>
      </c>
      <c r="X406" s="9">
        <v>53</v>
      </c>
    </row>
    <row r="407" spans="1:24" x14ac:dyDescent="0.2">
      <c r="A407">
        <v>56</v>
      </c>
      <c r="B407" t="s">
        <v>243</v>
      </c>
      <c r="C407">
        <v>57</v>
      </c>
      <c r="D407">
        <v>440.01010976071962</v>
      </c>
      <c r="E407">
        <v>2</v>
      </c>
      <c r="F407">
        <v>59.5</v>
      </c>
      <c r="G407" t="s">
        <v>291</v>
      </c>
      <c r="H407">
        <v>49</v>
      </c>
      <c r="I407">
        <v>277.18710418069037</v>
      </c>
      <c r="J407">
        <v>2</v>
      </c>
      <c r="O407" s="9">
        <v>85</v>
      </c>
      <c r="Q407">
        <v>14</v>
      </c>
      <c r="R407" s="9">
        <v>2.75</v>
      </c>
      <c r="S407" s="9" t="s">
        <v>242</v>
      </c>
      <c r="T407" s="9">
        <v>62</v>
      </c>
      <c r="V407" s="9">
        <v>55.5</v>
      </c>
      <c r="W407" s="9" t="s">
        <v>29</v>
      </c>
      <c r="X407" s="9">
        <v>40</v>
      </c>
    </row>
    <row r="408" spans="1:24" x14ac:dyDescent="0.2">
      <c r="A408">
        <v>57</v>
      </c>
      <c r="B408" t="s">
        <v>255</v>
      </c>
      <c r="C408">
        <v>64</v>
      </c>
      <c r="D408">
        <v>659.27420622217699</v>
      </c>
      <c r="E408">
        <v>3</v>
      </c>
      <c r="F408">
        <v>62.75</v>
      </c>
      <c r="G408" t="s">
        <v>479</v>
      </c>
      <c r="H408">
        <v>48</v>
      </c>
      <c r="I408">
        <v>261.62956379894968</v>
      </c>
      <c r="J408">
        <v>3</v>
      </c>
      <c r="Q408">
        <v>14</v>
      </c>
      <c r="R408" s="9">
        <v>3.75</v>
      </c>
      <c r="S408" s="9" t="s">
        <v>242</v>
      </c>
      <c r="T408" s="9">
        <v>62</v>
      </c>
      <c r="V408" s="9">
        <v>58.5</v>
      </c>
      <c r="W408" s="9" t="s">
        <v>480</v>
      </c>
      <c r="X408" s="9">
        <v>50</v>
      </c>
    </row>
    <row r="409" spans="1:24" x14ac:dyDescent="0.2">
      <c r="A409">
        <v>58</v>
      </c>
      <c r="B409" t="s">
        <v>245</v>
      </c>
      <c r="C409">
        <v>67</v>
      </c>
      <c r="D409">
        <v>784.01558732918647</v>
      </c>
      <c r="E409">
        <v>2</v>
      </c>
      <c r="F409">
        <v>63.75</v>
      </c>
      <c r="G409" t="s">
        <v>46</v>
      </c>
      <c r="H409">
        <v>45</v>
      </c>
      <c r="I409">
        <v>220.00279814001343</v>
      </c>
      <c r="J409">
        <v>2</v>
      </c>
      <c r="Q409">
        <v>15</v>
      </c>
      <c r="R409" s="9">
        <v>1</v>
      </c>
      <c r="S409" s="9" t="s">
        <v>243</v>
      </c>
      <c r="T409" s="9">
        <v>57</v>
      </c>
      <c r="V409" s="9">
        <v>59.5</v>
      </c>
      <c r="W409" s="9" t="s">
        <v>291</v>
      </c>
      <c r="X409" s="9">
        <v>49</v>
      </c>
    </row>
    <row r="410" spans="1:24" x14ac:dyDescent="0.2">
      <c r="A410">
        <v>61</v>
      </c>
      <c r="B410" t="s">
        <v>256</v>
      </c>
      <c r="C410">
        <v>69</v>
      </c>
      <c r="D410">
        <v>880.02924657542201</v>
      </c>
      <c r="E410">
        <v>4</v>
      </c>
      <c r="F410">
        <v>66.75</v>
      </c>
      <c r="G410" t="s">
        <v>47</v>
      </c>
      <c r="H410">
        <v>47</v>
      </c>
      <c r="I410">
        <v>246.94521361646051</v>
      </c>
      <c r="J410">
        <v>3</v>
      </c>
      <c r="Q410">
        <v>15</v>
      </c>
      <c r="R410" s="9">
        <v>2</v>
      </c>
      <c r="S410" s="9" t="s">
        <v>255</v>
      </c>
      <c r="T410" s="9">
        <v>64</v>
      </c>
      <c r="V410" s="9">
        <v>62.75</v>
      </c>
      <c r="W410" s="9" t="s">
        <v>479</v>
      </c>
      <c r="X410" s="9">
        <v>48</v>
      </c>
    </row>
    <row r="411" spans="1:24" x14ac:dyDescent="0.2">
      <c r="A411">
        <v>62</v>
      </c>
      <c r="B411" t="s">
        <v>246</v>
      </c>
      <c r="C411">
        <v>65</v>
      </c>
      <c r="D411">
        <v>698.47728762097279</v>
      </c>
      <c r="E411">
        <v>2</v>
      </c>
      <c r="F411">
        <v>67.75</v>
      </c>
      <c r="G411" t="s">
        <v>480</v>
      </c>
      <c r="H411">
        <v>50</v>
      </c>
      <c r="I411">
        <v>293.66975814369101</v>
      </c>
      <c r="J411">
        <v>2</v>
      </c>
      <c r="Q411">
        <v>15</v>
      </c>
      <c r="R411" s="9">
        <v>3</v>
      </c>
      <c r="S411" s="9" t="s">
        <v>245</v>
      </c>
      <c r="T411" s="9">
        <v>67</v>
      </c>
      <c r="V411" s="9">
        <v>63.75</v>
      </c>
      <c r="W411" s="9" t="s">
        <v>46</v>
      </c>
      <c r="X411" s="9">
        <v>45</v>
      </c>
    </row>
    <row r="412" spans="1:24" x14ac:dyDescent="0.2">
      <c r="A412">
        <v>65</v>
      </c>
      <c r="B412" t="s">
        <v>242</v>
      </c>
      <c r="C412">
        <v>62</v>
      </c>
      <c r="D412">
        <v>587.34554108704231</v>
      </c>
      <c r="E412">
        <v>3</v>
      </c>
      <c r="F412">
        <v>70.75</v>
      </c>
      <c r="G412" t="s">
        <v>292</v>
      </c>
      <c r="H412">
        <v>46</v>
      </c>
      <c r="I412">
        <v>233.08504452861112</v>
      </c>
      <c r="J412">
        <v>3</v>
      </c>
      <c r="Q412">
        <v>16</v>
      </c>
      <c r="R412" s="9">
        <v>2</v>
      </c>
      <c r="S412" s="9" t="s">
        <v>256</v>
      </c>
      <c r="T412" s="9">
        <v>69</v>
      </c>
      <c r="V412" s="9">
        <v>66.75</v>
      </c>
      <c r="W412" s="9" t="s">
        <v>47</v>
      </c>
      <c r="X412" s="9">
        <v>47</v>
      </c>
    </row>
    <row r="413" spans="1:24" x14ac:dyDescent="0.2">
      <c r="A413">
        <v>66</v>
      </c>
      <c r="B413" t="s">
        <v>246</v>
      </c>
      <c r="C413">
        <v>65</v>
      </c>
      <c r="D413">
        <v>698.47728762097279</v>
      </c>
      <c r="E413">
        <v>1</v>
      </c>
      <c r="F413">
        <v>71.75</v>
      </c>
      <c r="G413" t="s">
        <v>44</v>
      </c>
      <c r="H413">
        <v>43</v>
      </c>
      <c r="I413">
        <v>195.99987576438375</v>
      </c>
      <c r="J413">
        <v>2</v>
      </c>
      <c r="Q413">
        <v>16</v>
      </c>
      <c r="R413" s="9">
        <v>3</v>
      </c>
      <c r="S413" s="9" t="s">
        <v>246</v>
      </c>
      <c r="T413" s="9">
        <v>65</v>
      </c>
      <c r="V413" s="9">
        <v>67.75</v>
      </c>
      <c r="W413" s="9" t="s">
        <v>480</v>
      </c>
      <c r="X413" s="9">
        <v>50</v>
      </c>
    </row>
    <row r="414" spans="1:24" x14ac:dyDescent="0.2">
      <c r="A414">
        <v>69</v>
      </c>
      <c r="B414" t="s">
        <v>245</v>
      </c>
      <c r="C414">
        <v>67</v>
      </c>
      <c r="D414">
        <v>784.01558732918647</v>
      </c>
      <c r="E414">
        <v>3</v>
      </c>
      <c r="F414">
        <v>73.5</v>
      </c>
      <c r="G414" t="s">
        <v>44</v>
      </c>
      <c r="H414">
        <v>43</v>
      </c>
      <c r="I414">
        <v>195.99987576438375</v>
      </c>
      <c r="J414">
        <v>3</v>
      </c>
      <c r="Q414">
        <v>17</v>
      </c>
      <c r="R414" s="9">
        <v>2</v>
      </c>
      <c r="S414" s="9" t="s">
        <v>242</v>
      </c>
      <c r="T414" s="9">
        <v>62</v>
      </c>
      <c r="V414" s="9">
        <v>70.75</v>
      </c>
      <c r="W414" s="9" t="s">
        <v>292</v>
      </c>
      <c r="X414" s="9">
        <v>46</v>
      </c>
    </row>
    <row r="415" spans="1:24" x14ac:dyDescent="0.2">
      <c r="A415">
        <v>70</v>
      </c>
      <c r="B415" t="s">
        <v>255</v>
      </c>
      <c r="C415">
        <v>64</v>
      </c>
      <c r="D415">
        <v>659.27420622217699</v>
      </c>
      <c r="E415">
        <v>1</v>
      </c>
      <c r="F415">
        <v>75.5</v>
      </c>
      <c r="G415" t="s">
        <v>292</v>
      </c>
      <c r="H415">
        <v>46</v>
      </c>
      <c r="I415">
        <v>233.08504452861112</v>
      </c>
      <c r="J415">
        <v>4</v>
      </c>
      <c r="Q415">
        <v>17</v>
      </c>
      <c r="R415" s="9">
        <v>3</v>
      </c>
      <c r="S415" s="9" t="s">
        <v>246</v>
      </c>
      <c r="T415" s="9">
        <v>65</v>
      </c>
      <c r="V415" s="9">
        <v>71.75</v>
      </c>
      <c r="W415" s="9" t="s">
        <v>44</v>
      </c>
      <c r="X415" s="9">
        <v>43</v>
      </c>
    </row>
    <row r="416" spans="1:24" x14ac:dyDescent="0.2">
      <c r="A416">
        <v>73</v>
      </c>
      <c r="B416" t="s">
        <v>246</v>
      </c>
      <c r="C416">
        <v>65</v>
      </c>
      <c r="D416">
        <v>698.47728762097279</v>
      </c>
      <c r="E416">
        <v>3</v>
      </c>
      <c r="F416">
        <v>77.5</v>
      </c>
      <c r="G416" t="s">
        <v>480</v>
      </c>
      <c r="H416">
        <v>50</v>
      </c>
      <c r="I416">
        <v>293.66975814369101</v>
      </c>
      <c r="J416">
        <v>3</v>
      </c>
      <c r="Q416">
        <v>18</v>
      </c>
      <c r="R416" s="9">
        <v>2</v>
      </c>
      <c r="S416" s="9" t="s">
        <v>245</v>
      </c>
      <c r="T416" s="9">
        <v>67</v>
      </c>
      <c r="V416" s="9">
        <v>73.5</v>
      </c>
      <c r="W416" s="9" t="s">
        <v>44</v>
      </c>
      <c r="X416" s="9">
        <v>43</v>
      </c>
    </row>
    <row r="417" spans="1:24" x14ac:dyDescent="0.2">
      <c r="A417">
        <v>74</v>
      </c>
      <c r="B417" t="s">
        <v>242</v>
      </c>
      <c r="C417">
        <v>62</v>
      </c>
      <c r="D417">
        <v>587.34554108704231</v>
      </c>
      <c r="E417">
        <v>2</v>
      </c>
      <c r="F417">
        <v>78.75</v>
      </c>
      <c r="G417" t="s">
        <v>30</v>
      </c>
      <c r="H417">
        <v>41</v>
      </c>
      <c r="I417">
        <v>174.61573954711858</v>
      </c>
      <c r="J417">
        <v>3</v>
      </c>
      <c r="Q417">
        <v>18</v>
      </c>
      <c r="R417" s="9">
        <v>3</v>
      </c>
      <c r="S417" s="9" t="s">
        <v>255</v>
      </c>
      <c r="T417" s="9">
        <v>64</v>
      </c>
      <c r="V417" s="9">
        <v>75.5</v>
      </c>
      <c r="W417" s="9" t="s">
        <v>292</v>
      </c>
      <c r="X417" s="9">
        <v>46</v>
      </c>
    </row>
    <row r="418" spans="1:24" x14ac:dyDescent="0.2">
      <c r="A418">
        <v>75</v>
      </c>
      <c r="B418" t="s">
        <v>256</v>
      </c>
      <c r="C418">
        <v>69</v>
      </c>
      <c r="D418">
        <v>880.02924657542201</v>
      </c>
      <c r="E418">
        <v>4</v>
      </c>
      <c r="F418">
        <v>79.75</v>
      </c>
      <c r="G418" t="s">
        <v>28</v>
      </c>
      <c r="H418">
        <v>38</v>
      </c>
      <c r="I418">
        <v>146.83337288738062</v>
      </c>
      <c r="J418">
        <v>2</v>
      </c>
      <c r="Q418">
        <v>19</v>
      </c>
      <c r="R418" s="9">
        <v>2</v>
      </c>
      <c r="S418" s="9" t="s">
        <v>246</v>
      </c>
      <c r="T418" s="9">
        <v>65</v>
      </c>
      <c r="V418" s="9">
        <v>77.5</v>
      </c>
      <c r="W418" s="9" t="s">
        <v>480</v>
      </c>
      <c r="X418" s="9">
        <v>50</v>
      </c>
    </row>
    <row r="419" spans="1:24" x14ac:dyDescent="0.2">
      <c r="A419">
        <v>76</v>
      </c>
      <c r="B419" t="s">
        <v>246</v>
      </c>
      <c r="C419">
        <v>65</v>
      </c>
      <c r="D419">
        <v>698.47728762097279</v>
      </c>
      <c r="E419">
        <v>2</v>
      </c>
      <c r="F419">
        <v>81.5</v>
      </c>
      <c r="G419" t="s">
        <v>29</v>
      </c>
      <c r="H419">
        <v>40</v>
      </c>
      <c r="I419">
        <v>164.8151702626221</v>
      </c>
      <c r="J419">
        <v>4</v>
      </c>
      <c r="Q419">
        <v>19</v>
      </c>
      <c r="R419" s="9">
        <v>3</v>
      </c>
      <c r="S419" s="9" t="s">
        <v>242</v>
      </c>
      <c r="T419" s="9">
        <v>62</v>
      </c>
      <c r="V419" s="9">
        <v>78.75</v>
      </c>
      <c r="W419" s="9" t="s">
        <v>30</v>
      </c>
      <c r="X419" s="9">
        <v>41</v>
      </c>
    </row>
    <row r="420" spans="1:24" x14ac:dyDescent="0.2">
      <c r="A420">
        <v>77</v>
      </c>
      <c r="B420" t="s">
        <v>410</v>
      </c>
      <c r="C420">
        <v>72</v>
      </c>
      <c r="D420">
        <v>1046.5397252143878</v>
      </c>
      <c r="E420">
        <v>3</v>
      </c>
      <c r="F420">
        <v>82.75</v>
      </c>
      <c r="G420" t="s">
        <v>30</v>
      </c>
      <c r="H420">
        <v>41</v>
      </c>
      <c r="I420">
        <v>174.61573954711858</v>
      </c>
      <c r="J420">
        <v>3</v>
      </c>
      <c r="Q420">
        <v>19</v>
      </c>
      <c r="R420" s="9">
        <v>4</v>
      </c>
      <c r="S420" s="9" t="s">
        <v>256</v>
      </c>
      <c r="T420" s="9">
        <v>69</v>
      </c>
      <c r="V420" s="9">
        <v>79.75</v>
      </c>
      <c r="W420" s="9" t="s">
        <v>28</v>
      </c>
      <c r="X420" s="9">
        <v>38</v>
      </c>
    </row>
    <row r="421" spans="1:24" x14ac:dyDescent="0.2">
      <c r="A421">
        <v>78</v>
      </c>
      <c r="B421" t="s">
        <v>410</v>
      </c>
      <c r="C421">
        <v>72</v>
      </c>
      <c r="D421">
        <v>1046.5397252143878</v>
      </c>
      <c r="E421">
        <v>1</v>
      </c>
      <c r="Q421">
        <v>20</v>
      </c>
      <c r="R421" s="9">
        <v>1</v>
      </c>
      <c r="S421" s="9" t="s">
        <v>246</v>
      </c>
      <c r="T421" s="9">
        <v>65</v>
      </c>
      <c r="V421" s="9">
        <v>81.5</v>
      </c>
      <c r="W421" s="9" t="s">
        <v>29</v>
      </c>
      <c r="X421" s="9">
        <v>40</v>
      </c>
    </row>
    <row r="422" spans="1:24" x14ac:dyDescent="0.2">
      <c r="A422">
        <v>79.75</v>
      </c>
      <c r="B422" t="s">
        <v>240</v>
      </c>
      <c r="C422">
        <v>60</v>
      </c>
      <c r="D422">
        <v>523.26449507501752</v>
      </c>
      <c r="E422">
        <v>4</v>
      </c>
      <c r="Q422">
        <v>20</v>
      </c>
      <c r="R422" s="9">
        <v>2</v>
      </c>
      <c r="S422" s="9" t="s">
        <v>410</v>
      </c>
      <c r="T422" s="9">
        <v>72</v>
      </c>
      <c r="V422" s="9">
        <v>82.75</v>
      </c>
      <c r="W422" s="9" t="s">
        <v>30</v>
      </c>
      <c r="X422" s="9">
        <v>41</v>
      </c>
    </row>
    <row r="423" spans="1:24" x14ac:dyDescent="0.2">
      <c r="A423">
        <v>80.75</v>
      </c>
      <c r="B423" t="s">
        <v>239</v>
      </c>
      <c r="C423">
        <v>55</v>
      </c>
      <c r="D423">
        <v>392.00377257605692</v>
      </c>
      <c r="E423">
        <v>3</v>
      </c>
      <c r="Q423">
        <v>20</v>
      </c>
      <c r="R423" s="9">
        <v>3</v>
      </c>
      <c r="S423" s="9" t="s">
        <v>410</v>
      </c>
      <c r="T423" s="9">
        <v>72</v>
      </c>
      <c r="U423" s="9"/>
      <c r="V423" s="9"/>
      <c r="W423" s="9"/>
    </row>
    <row r="424" spans="1:24" x14ac:dyDescent="0.2">
      <c r="A424">
        <v>81.75</v>
      </c>
      <c r="B424" t="s">
        <v>411</v>
      </c>
      <c r="C424">
        <v>58</v>
      </c>
      <c r="D424">
        <v>466.17487092753117</v>
      </c>
      <c r="E424">
        <v>1</v>
      </c>
      <c r="Q424">
        <v>20</v>
      </c>
      <c r="R424" s="9">
        <v>4.75</v>
      </c>
      <c r="S424" s="9" t="s">
        <v>240</v>
      </c>
      <c r="T424" s="9">
        <v>60</v>
      </c>
      <c r="U424" s="9"/>
      <c r="V424" s="9"/>
      <c r="W424" s="9"/>
    </row>
    <row r="425" spans="1:24" x14ac:dyDescent="0.2">
      <c r="A425">
        <v>82.75</v>
      </c>
      <c r="B425" t="s">
        <v>481</v>
      </c>
      <c r="C425">
        <v>52</v>
      </c>
      <c r="D425">
        <v>329.63372180082422</v>
      </c>
      <c r="E425">
        <v>7</v>
      </c>
      <c r="Q425">
        <v>21</v>
      </c>
      <c r="R425" s="9">
        <v>1.75</v>
      </c>
      <c r="S425" s="9" t="s">
        <v>239</v>
      </c>
      <c r="T425" s="9">
        <v>55</v>
      </c>
      <c r="U425" s="9"/>
      <c r="V425" s="9"/>
      <c r="W425" s="9"/>
    </row>
    <row r="426" spans="1:24" x14ac:dyDescent="0.2">
      <c r="A426">
        <v>83.75</v>
      </c>
      <c r="B426" t="s">
        <v>244</v>
      </c>
      <c r="C426">
        <v>59</v>
      </c>
      <c r="D426">
        <v>493.89549345236588</v>
      </c>
      <c r="E426">
        <v>1</v>
      </c>
      <c r="Q426">
        <v>21</v>
      </c>
      <c r="R426" s="9">
        <v>2.75</v>
      </c>
      <c r="S426" s="9" t="s">
        <v>411</v>
      </c>
      <c r="T426" s="9">
        <v>58</v>
      </c>
      <c r="U426" s="9"/>
      <c r="V426" s="9"/>
      <c r="W426" s="9"/>
    </row>
    <row r="427" spans="1:24" x14ac:dyDescent="0.2">
      <c r="A427" t="s">
        <v>395</v>
      </c>
      <c r="Q427">
        <v>21</v>
      </c>
      <c r="R427" s="9">
        <v>3.75</v>
      </c>
      <c r="S427" s="9" t="s">
        <v>481</v>
      </c>
      <c r="T427" s="9">
        <v>52</v>
      </c>
      <c r="U427" s="9"/>
      <c r="V427" s="9"/>
      <c r="W427" s="9"/>
    </row>
    <row r="428" spans="1:24" x14ac:dyDescent="0.2">
      <c r="A428" s="17" t="s">
        <v>258</v>
      </c>
      <c r="B428" s="17"/>
      <c r="C428" s="14" t="s">
        <v>4</v>
      </c>
      <c r="F428" t="s">
        <v>26</v>
      </c>
      <c r="Q428">
        <v>21</v>
      </c>
      <c r="R428" s="9">
        <v>4.75</v>
      </c>
      <c r="S428" s="9" t="s">
        <v>244</v>
      </c>
      <c r="T428" s="9">
        <v>59</v>
      </c>
      <c r="U428" s="9"/>
      <c r="V428" s="9"/>
      <c r="W428" s="9"/>
    </row>
    <row r="429" spans="1:24" x14ac:dyDescent="0.2">
      <c r="A429" t="s">
        <v>475</v>
      </c>
      <c r="B429" t="s">
        <v>477</v>
      </c>
      <c r="C429" t="s">
        <v>478</v>
      </c>
      <c r="D429" t="s">
        <v>476</v>
      </c>
      <c r="E429" t="s">
        <v>397</v>
      </c>
      <c r="F429" t="s">
        <v>475</v>
      </c>
      <c r="G429" t="s">
        <v>477</v>
      </c>
      <c r="H429" t="s">
        <v>478</v>
      </c>
      <c r="I429" t="s">
        <v>476</v>
      </c>
      <c r="J429" t="s">
        <v>398</v>
      </c>
      <c r="Q429" s="9"/>
    </row>
    <row r="430" spans="1:24" x14ac:dyDescent="0.2">
      <c r="A430">
        <v>0.25</v>
      </c>
      <c r="B430" t="s">
        <v>479</v>
      </c>
      <c r="C430">
        <v>48</v>
      </c>
      <c r="D430">
        <v>261.62956379894968</v>
      </c>
      <c r="F430">
        <v>2.25</v>
      </c>
      <c r="G430" t="s">
        <v>27</v>
      </c>
      <c r="H430">
        <v>36</v>
      </c>
      <c r="I430">
        <v>130.81344004395982</v>
      </c>
      <c r="L430" t="s">
        <v>470</v>
      </c>
    </row>
    <row r="431" spans="1:24" x14ac:dyDescent="0.2">
      <c r="A431">
        <v>2.5</v>
      </c>
      <c r="B431" t="s">
        <v>240</v>
      </c>
      <c r="C431">
        <v>60</v>
      </c>
      <c r="D431">
        <v>523.26449507501752</v>
      </c>
      <c r="E431">
        <v>12</v>
      </c>
      <c r="F431">
        <v>4.5</v>
      </c>
      <c r="G431" t="s">
        <v>45</v>
      </c>
      <c r="H431">
        <v>31</v>
      </c>
      <c r="I431">
        <v>97.998932630681239</v>
      </c>
      <c r="J431">
        <v>5</v>
      </c>
    </row>
    <row r="432" spans="1:24" x14ac:dyDescent="0.2">
      <c r="A432">
        <v>5.25</v>
      </c>
      <c r="B432" t="s">
        <v>243</v>
      </c>
      <c r="C432">
        <v>57</v>
      </c>
      <c r="D432">
        <v>440.01010976071962</v>
      </c>
      <c r="E432">
        <v>2</v>
      </c>
      <c r="F432">
        <v>8</v>
      </c>
      <c r="G432" t="s">
        <v>479</v>
      </c>
      <c r="H432">
        <v>48</v>
      </c>
      <c r="I432">
        <v>261.62956379894968</v>
      </c>
      <c r="J432">
        <v>1</v>
      </c>
      <c r="L432" t="s">
        <v>355</v>
      </c>
      <c r="M432" t="s">
        <v>396</v>
      </c>
    </row>
    <row r="433" spans="1:21" x14ac:dyDescent="0.2">
      <c r="A433">
        <v>8.25</v>
      </c>
      <c r="B433" t="s">
        <v>256</v>
      </c>
      <c r="C433">
        <v>69</v>
      </c>
      <c r="D433">
        <v>880.02924657542201</v>
      </c>
      <c r="E433">
        <v>2</v>
      </c>
      <c r="F433">
        <v>12</v>
      </c>
      <c r="G433" t="s">
        <v>479</v>
      </c>
      <c r="H433">
        <v>48</v>
      </c>
      <c r="I433">
        <v>261.62956379894968</v>
      </c>
      <c r="J433">
        <v>3</v>
      </c>
      <c r="L433">
        <f>SUM(E431:E459)</f>
        <v>86</v>
      </c>
      <c r="M433">
        <f>(459-429)</f>
        <v>30</v>
      </c>
    </row>
    <row r="434" spans="1:21" x14ac:dyDescent="0.2">
      <c r="A434">
        <v>10.25</v>
      </c>
      <c r="B434" t="s">
        <v>246</v>
      </c>
      <c r="C434">
        <v>65</v>
      </c>
      <c r="D434">
        <v>698.47728762097279</v>
      </c>
      <c r="E434">
        <v>4</v>
      </c>
      <c r="F434">
        <v>16.5</v>
      </c>
      <c r="G434" t="s">
        <v>29</v>
      </c>
      <c r="H434">
        <v>40</v>
      </c>
      <c r="I434">
        <v>164.8151702626221</v>
      </c>
      <c r="J434">
        <v>8</v>
      </c>
    </row>
    <row r="435" spans="1:21" x14ac:dyDescent="0.2">
      <c r="A435">
        <v>12.25</v>
      </c>
      <c r="B435" t="s">
        <v>242</v>
      </c>
      <c r="C435">
        <v>62</v>
      </c>
      <c r="D435">
        <v>587.34554108704231</v>
      </c>
      <c r="E435">
        <v>3</v>
      </c>
      <c r="F435">
        <v>19</v>
      </c>
      <c r="G435" t="s">
        <v>27</v>
      </c>
      <c r="H435">
        <v>36</v>
      </c>
      <c r="I435">
        <v>130.81344004395982</v>
      </c>
      <c r="J435">
        <v>7</v>
      </c>
      <c r="L435" t="s">
        <v>356</v>
      </c>
    </row>
    <row r="436" spans="1:21" x14ac:dyDescent="0.2">
      <c r="A436">
        <v>14.25</v>
      </c>
      <c r="B436" t="s">
        <v>244</v>
      </c>
      <c r="C436">
        <v>59</v>
      </c>
      <c r="D436">
        <v>493.89549345236588</v>
      </c>
      <c r="E436">
        <v>3</v>
      </c>
      <c r="F436">
        <v>23</v>
      </c>
      <c r="G436" t="s">
        <v>28</v>
      </c>
      <c r="H436">
        <v>38</v>
      </c>
      <c r="I436">
        <v>146.83337288738062</v>
      </c>
      <c r="J436">
        <v>3</v>
      </c>
      <c r="L436">
        <f>L433/(459-430)</f>
        <v>2.9655172413793105</v>
      </c>
    </row>
    <row r="437" spans="1:21" x14ac:dyDescent="0.2">
      <c r="A437">
        <v>16.5</v>
      </c>
      <c r="B437" t="s">
        <v>480</v>
      </c>
      <c r="C437">
        <v>50</v>
      </c>
      <c r="D437">
        <v>293.66975814369101</v>
      </c>
      <c r="E437">
        <v>9</v>
      </c>
      <c r="F437">
        <v>25.75</v>
      </c>
      <c r="G437" t="s">
        <v>45</v>
      </c>
      <c r="H437">
        <v>31</v>
      </c>
      <c r="I437">
        <v>97.998932630681239</v>
      </c>
      <c r="J437">
        <v>2</v>
      </c>
    </row>
    <row r="438" spans="1:21" x14ac:dyDescent="0.2">
      <c r="A438">
        <v>19.25</v>
      </c>
      <c r="B438" t="s">
        <v>239</v>
      </c>
      <c r="C438">
        <v>55</v>
      </c>
      <c r="D438">
        <v>392.00377257605692</v>
      </c>
      <c r="E438">
        <v>1</v>
      </c>
      <c r="F438">
        <v>28.75</v>
      </c>
      <c r="G438" t="s">
        <v>48</v>
      </c>
      <c r="H438">
        <v>42</v>
      </c>
      <c r="I438">
        <v>184.99908988354849</v>
      </c>
      <c r="J438">
        <v>4</v>
      </c>
    </row>
    <row r="439" spans="1:21" x14ac:dyDescent="0.2">
      <c r="A439">
        <v>21.25</v>
      </c>
      <c r="B439" t="s">
        <v>242</v>
      </c>
      <c r="C439">
        <v>62</v>
      </c>
      <c r="D439">
        <v>587.34554108704231</v>
      </c>
      <c r="E439">
        <v>2</v>
      </c>
      <c r="F439">
        <v>31.25</v>
      </c>
      <c r="G439" t="s">
        <v>480</v>
      </c>
      <c r="H439">
        <v>50</v>
      </c>
      <c r="I439">
        <v>293.66975814369101</v>
      </c>
      <c r="J439">
        <v>0</v>
      </c>
      <c r="L439" t="s">
        <v>472</v>
      </c>
    </row>
    <row r="440" spans="1:21" x14ac:dyDescent="0.2">
      <c r="A440">
        <v>23</v>
      </c>
      <c r="B440" t="s">
        <v>244</v>
      </c>
      <c r="C440">
        <v>59</v>
      </c>
      <c r="D440">
        <v>493.89549345236588</v>
      </c>
      <c r="E440">
        <v>3</v>
      </c>
      <c r="F440">
        <v>33.75</v>
      </c>
      <c r="G440" t="s">
        <v>239</v>
      </c>
      <c r="H440">
        <v>55</v>
      </c>
      <c r="I440">
        <v>392.00377257605692</v>
      </c>
      <c r="J440">
        <v>2</v>
      </c>
    </row>
    <row r="441" spans="1:21" x14ac:dyDescent="0.2">
      <c r="A441">
        <v>27.25</v>
      </c>
      <c r="B441" t="s">
        <v>243</v>
      </c>
      <c r="C441">
        <v>57</v>
      </c>
      <c r="D441">
        <v>440.01010976071962</v>
      </c>
      <c r="E441">
        <v>2</v>
      </c>
      <c r="F441">
        <v>36.75</v>
      </c>
      <c r="G441" t="s">
        <v>482</v>
      </c>
      <c r="H441">
        <v>53</v>
      </c>
      <c r="I441">
        <v>349.23506143398839</v>
      </c>
      <c r="J441">
        <v>4</v>
      </c>
      <c r="L441" t="s">
        <v>235</v>
      </c>
      <c r="M441" t="s">
        <v>396</v>
      </c>
    </row>
    <row r="442" spans="1:21" x14ac:dyDescent="0.2">
      <c r="A442">
        <v>31.25</v>
      </c>
      <c r="B442" t="s">
        <v>244</v>
      </c>
      <c r="C442">
        <v>59</v>
      </c>
      <c r="D442">
        <v>493.89549345236588</v>
      </c>
      <c r="E442">
        <v>1</v>
      </c>
      <c r="F442">
        <v>39.5</v>
      </c>
      <c r="G442" t="s">
        <v>481</v>
      </c>
      <c r="H442">
        <v>52</v>
      </c>
      <c r="I442">
        <v>329.63372180082422</v>
      </c>
      <c r="J442">
        <v>1</v>
      </c>
      <c r="L442">
        <f>SUM(J431:J456)</f>
        <v>76</v>
      </c>
      <c r="M442">
        <f>(456-429)</f>
        <v>27</v>
      </c>
    </row>
    <row r="443" spans="1:21" x14ac:dyDescent="0.2">
      <c r="A443">
        <v>35.25</v>
      </c>
      <c r="B443" t="s">
        <v>240</v>
      </c>
      <c r="C443">
        <v>60</v>
      </c>
      <c r="D443">
        <v>523.26449507501752</v>
      </c>
      <c r="E443">
        <v>1</v>
      </c>
      <c r="F443">
        <v>41.75</v>
      </c>
      <c r="G443" t="s">
        <v>411</v>
      </c>
      <c r="H443">
        <v>58</v>
      </c>
      <c r="I443">
        <v>466.17487092753117</v>
      </c>
      <c r="J443">
        <v>1</v>
      </c>
    </row>
    <row r="444" spans="1:21" x14ac:dyDescent="0.2">
      <c r="A444">
        <v>39.25</v>
      </c>
      <c r="B444" t="s">
        <v>242</v>
      </c>
      <c r="C444">
        <v>62</v>
      </c>
      <c r="D444">
        <v>587.34554108704231</v>
      </c>
      <c r="E444">
        <v>2</v>
      </c>
      <c r="F444">
        <v>43.75</v>
      </c>
      <c r="G444" t="s">
        <v>239</v>
      </c>
      <c r="H444">
        <v>55</v>
      </c>
      <c r="I444">
        <v>392.00377257605692</v>
      </c>
      <c r="J444">
        <v>2</v>
      </c>
      <c r="L444" t="s">
        <v>236</v>
      </c>
    </row>
    <row r="445" spans="1:21" x14ac:dyDescent="0.2">
      <c r="A445">
        <v>42.5</v>
      </c>
      <c r="B445" t="s">
        <v>243</v>
      </c>
      <c r="C445">
        <v>57</v>
      </c>
      <c r="D445">
        <v>440.01010976071962</v>
      </c>
      <c r="E445">
        <v>7</v>
      </c>
      <c r="F445">
        <v>45.75</v>
      </c>
      <c r="G445" t="s">
        <v>481</v>
      </c>
      <c r="H445">
        <v>52</v>
      </c>
      <c r="I445">
        <v>329.63372180082422</v>
      </c>
      <c r="J445">
        <v>2</v>
      </c>
      <c r="L445">
        <f>L442/(456-430)</f>
        <v>2.9230769230769229</v>
      </c>
    </row>
    <row r="446" spans="1:21" x14ac:dyDescent="0.2">
      <c r="A446">
        <v>46.5</v>
      </c>
      <c r="B446" t="s">
        <v>240</v>
      </c>
      <c r="C446">
        <v>60</v>
      </c>
      <c r="D446">
        <v>523.26449507501752</v>
      </c>
      <c r="E446">
        <v>3</v>
      </c>
      <c r="F446">
        <v>47.75</v>
      </c>
      <c r="G446" t="s">
        <v>479</v>
      </c>
      <c r="H446">
        <v>48</v>
      </c>
      <c r="I446">
        <v>261.62956379894968</v>
      </c>
      <c r="J446">
        <v>1</v>
      </c>
      <c r="P446" s="7" t="s">
        <v>475</v>
      </c>
      <c r="Q446" s="7" t="s">
        <v>477</v>
      </c>
      <c r="R446" s="7" t="s">
        <v>478</v>
      </c>
      <c r="S446" s="7" t="s">
        <v>476</v>
      </c>
      <c r="T446" s="7" t="s">
        <v>398</v>
      </c>
      <c r="U446" s="7"/>
    </row>
    <row r="447" spans="1:21" x14ac:dyDescent="0.2">
      <c r="A447">
        <v>49.75</v>
      </c>
      <c r="B447" t="s">
        <v>481</v>
      </c>
      <c r="C447">
        <v>52</v>
      </c>
      <c r="D447">
        <v>329.63372180082422</v>
      </c>
      <c r="E447">
        <v>2</v>
      </c>
      <c r="F447">
        <v>50.75</v>
      </c>
      <c r="G447" t="s">
        <v>44</v>
      </c>
      <c r="H447">
        <v>43</v>
      </c>
      <c r="I447">
        <v>195.99987576438375</v>
      </c>
      <c r="J447">
        <v>4</v>
      </c>
      <c r="O447">
        <v>1</v>
      </c>
      <c r="P447">
        <v>3.25</v>
      </c>
      <c r="Q447" s="7" t="s">
        <v>27</v>
      </c>
      <c r="R447" s="7">
        <v>36</v>
      </c>
      <c r="S447" s="7">
        <v>130.81344004395982</v>
      </c>
      <c r="T447" s="7"/>
      <c r="U447" s="7"/>
    </row>
    <row r="448" spans="1:21" x14ac:dyDescent="0.2">
      <c r="A448">
        <v>51.75</v>
      </c>
      <c r="B448" t="s">
        <v>242</v>
      </c>
      <c r="C448">
        <v>62</v>
      </c>
      <c r="D448">
        <v>587.34554108704231</v>
      </c>
      <c r="E448">
        <v>2</v>
      </c>
      <c r="F448">
        <v>52.75</v>
      </c>
      <c r="G448" t="s">
        <v>480</v>
      </c>
      <c r="H448">
        <v>50</v>
      </c>
      <c r="I448">
        <v>293.66975814369101</v>
      </c>
      <c r="J448">
        <v>2</v>
      </c>
      <c r="O448">
        <v>2</v>
      </c>
      <c r="P448">
        <v>1.5</v>
      </c>
      <c r="Q448" s="7" t="s">
        <v>45</v>
      </c>
      <c r="R448" s="7">
        <v>31</v>
      </c>
      <c r="S448" s="7">
        <v>97.998932630681239</v>
      </c>
      <c r="T448" s="7">
        <v>5</v>
      </c>
      <c r="U448" s="7"/>
    </row>
    <row r="449" spans="1:24" x14ac:dyDescent="0.2">
      <c r="A449">
        <v>53.75</v>
      </c>
      <c r="B449" t="s">
        <v>242</v>
      </c>
      <c r="C449">
        <v>62</v>
      </c>
      <c r="D449">
        <v>587.34554108704231</v>
      </c>
      <c r="E449">
        <v>2</v>
      </c>
      <c r="F449">
        <v>55.5</v>
      </c>
      <c r="G449" t="s">
        <v>29</v>
      </c>
      <c r="H449">
        <v>40</v>
      </c>
      <c r="I449">
        <v>164.8151702626221</v>
      </c>
      <c r="J449">
        <v>5</v>
      </c>
      <c r="O449">
        <v>3</v>
      </c>
      <c r="P449" s="8">
        <v>1</v>
      </c>
      <c r="Q449" s="7" t="s">
        <v>479</v>
      </c>
      <c r="R449" s="7">
        <v>48</v>
      </c>
      <c r="S449" s="7">
        <v>261.62956379894968</v>
      </c>
      <c r="T449" s="7">
        <v>1</v>
      </c>
      <c r="U449" s="7"/>
    </row>
    <row r="450" spans="1:24" x14ac:dyDescent="0.2">
      <c r="A450">
        <v>56</v>
      </c>
      <c r="B450" t="s">
        <v>243</v>
      </c>
      <c r="C450">
        <v>57</v>
      </c>
      <c r="D450">
        <v>440.01010976071962</v>
      </c>
      <c r="E450">
        <v>2</v>
      </c>
      <c r="F450">
        <v>59.5</v>
      </c>
      <c r="G450" t="s">
        <v>291</v>
      </c>
      <c r="H450">
        <v>49</v>
      </c>
      <c r="I450">
        <v>277.18710418069037</v>
      </c>
      <c r="J450">
        <v>2</v>
      </c>
      <c r="O450">
        <v>4</v>
      </c>
      <c r="P450" s="8">
        <v>1</v>
      </c>
      <c r="Q450" s="7" t="s">
        <v>479</v>
      </c>
      <c r="R450" s="7">
        <v>48</v>
      </c>
      <c r="S450" s="7">
        <v>261.62956379894968</v>
      </c>
      <c r="T450" s="7">
        <v>3</v>
      </c>
      <c r="U450" s="7"/>
    </row>
    <row r="451" spans="1:24" x14ac:dyDescent="0.2">
      <c r="A451">
        <v>58</v>
      </c>
      <c r="B451" t="s">
        <v>245</v>
      </c>
      <c r="C451">
        <v>67</v>
      </c>
      <c r="D451">
        <v>784.01558732918647</v>
      </c>
      <c r="E451">
        <v>2</v>
      </c>
      <c r="F451">
        <v>63.75</v>
      </c>
      <c r="G451" t="s">
        <v>46</v>
      </c>
      <c r="H451">
        <v>45</v>
      </c>
      <c r="I451">
        <v>220.00279814001343</v>
      </c>
      <c r="J451">
        <v>2</v>
      </c>
      <c r="O451">
        <v>5</v>
      </c>
      <c r="P451" s="8">
        <v>1.5</v>
      </c>
      <c r="Q451" s="7" t="s">
        <v>29</v>
      </c>
      <c r="R451" s="7">
        <v>40</v>
      </c>
      <c r="S451" s="7">
        <v>164.8151702626221</v>
      </c>
      <c r="T451" s="7">
        <v>8</v>
      </c>
      <c r="U451" s="7"/>
    </row>
    <row r="452" spans="1:24" x14ac:dyDescent="0.2">
      <c r="A452">
        <v>62</v>
      </c>
      <c r="B452" t="s">
        <v>246</v>
      </c>
      <c r="C452">
        <v>65</v>
      </c>
      <c r="D452">
        <v>698.47728762097279</v>
      </c>
      <c r="E452">
        <v>2</v>
      </c>
      <c r="F452">
        <v>67.75</v>
      </c>
      <c r="G452" t="s">
        <v>480</v>
      </c>
      <c r="H452">
        <v>50</v>
      </c>
      <c r="I452">
        <v>293.66975814369101</v>
      </c>
      <c r="J452">
        <v>2</v>
      </c>
      <c r="O452">
        <v>5</v>
      </c>
      <c r="P452" s="8">
        <v>4</v>
      </c>
      <c r="Q452" s="7" t="s">
        <v>27</v>
      </c>
      <c r="R452" s="7">
        <v>36</v>
      </c>
      <c r="S452" s="7">
        <v>130.81344004395982</v>
      </c>
      <c r="T452" s="7">
        <v>7</v>
      </c>
      <c r="U452" s="7"/>
    </row>
    <row r="453" spans="1:24" x14ac:dyDescent="0.2">
      <c r="A453">
        <v>66</v>
      </c>
      <c r="B453" t="s">
        <v>246</v>
      </c>
      <c r="C453">
        <v>65</v>
      </c>
      <c r="D453">
        <v>698.47728762097279</v>
      </c>
      <c r="E453">
        <v>1</v>
      </c>
      <c r="F453">
        <v>71.75</v>
      </c>
      <c r="G453" t="s">
        <v>44</v>
      </c>
      <c r="H453">
        <v>43</v>
      </c>
      <c r="I453">
        <v>195.99987576438375</v>
      </c>
      <c r="J453">
        <v>2</v>
      </c>
      <c r="O453">
        <v>6</v>
      </c>
      <c r="P453" s="8">
        <v>4</v>
      </c>
      <c r="Q453" s="7" t="s">
        <v>28</v>
      </c>
      <c r="R453" s="7">
        <v>38</v>
      </c>
      <c r="S453" s="7">
        <v>146.83337288738062</v>
      </c>
      <c r="T453" s="7">
        <v>3</v>
      </c>
      <c r="U453" s="7"/>
    </row>
    <row r="454" spans="1:24" x14ac:dyDescent="0.2">
      <c r="A454">
        <v>70</v>
      </c>
      <c r="B454" t="s">
        <v>255</v>
      </c>
      <c r="C454">
        <v>64</v>
      </c>
      <c r="D454">
        <v>659.27420622217699</v>
      </c>
      <c r="E454">
        <v>1</v>
      </c>
      <c r="F454">
        <v>75.5</v>
      </c>
      <c r="G454" t="s">
        <v>292</v>
      </c>
      <c r="H454">
        <v>46</v>
      </c>
      <c r="I454">
        <v>233.08504452861112</v>
      </c>
      <c r="J454">
        <v>4</v>
      </c>
      <c r="O454">
        <v>7</v>
      </c>
      <c r="P454" s="8">
        <v>2.75</v>
      </c>
      <c r="Q454" s="7" t="s">
        <v>45</v>
      </c>
      <c r="R454" s="7">
        <v>31</v>
      </c>
      <c r="S454" s="7">
        <v>97.998932630681239</v>
      </c>
      <c r="T454" s="7">
        <v>2</v>
      </c>
      <c r="U454" s="7"/>
    </row>
    <row r="455" spans="1:24" x14ac:dyDescent="0.2">
      <c r="A455">
        <v>74</v>
      </c>
      <c r="B455" t="s">
        <v>242</v>
      </c>
      <c r="C455">
        <v>62</v>
      </c>
      <c r="D455">
        <v>587.34554108704231</v>
      </c>
      <c r="E455">
        <v>2</v>
      </c>
      <c r="F455">
        <v>78.75</v>
      </c>
      <c r="G455" t="s">
        <v>30</v>
      </c>
      <c r="H455">
        <v>41</v>
      </c>
      <c r="I455">
        <v>174.61573954711858</v>
      </c>
      <c r="J455">
        <v>3</v>
      </c>
      <c r="O455">
        <v>8</v>
      </c>
      <c r="P455" s="8">
        <v>1.75</v>
      </c>
      <c r="Q455" s="7" t="s">
        <v>48</v>
      </c>
      <c r="R455" s="7">
        <v>42</v>
      </c>
      <c r="S455" s="7">
        <v>184.99908988354849</v>
      </c>
      <c r="T455" s="7">
        <v>4</v>
      </c>
      <c r="U455" s="7"/>
    </row>
    <row r="456" spans="1:24" x14ac:dyDescent="0.2">
      <c r="A456">
        <v>76</v>
      </c>
      <c r="B456" t="s">
        <v>246</v>
      </c>
      <c r="C456">
        <v>65</v>
      </c>
      <c r="D456">
        <v>698.47728762097279</v>
      </c>
      <c r="E456">
        <v>2</v>
      </c>
      <c r="F456">
        <v>81.5</v>
      </c>
      <c r="G456" t="s">
        <v>29</v>
      </c>
      <c r="H456">
        <v>40</v>
      </c>
      <c r="I456">
        <v>164.8151702626221</v>
      </c>
      <c r="J456">
        <v>4</v>
      </c>
      <c r="O456">
        <v>8</v>
      </c>
      <c r="P456" s="8">
        <v>4.25</v>
      </c>
      <c r="Q456" s="7" t="s">
        <v>480</v>
      </c>
      <c r="R456" s="7">
        <v>50</v>
      </c>
      <c r="S456" s="7">
        <v>293.66975814369101</v>
      </c>
      <c r="T456" s="7">
        <v>0</v>
      </c>
      <c r="U456" s="7"/>
    </row>
    <row r="457" spans="1:24" x14ac:dyDescent="0.2">
      <c r="A457">
        <v>78</v>
      </c>
      <c r="B457" t="s">
        <v>410</v>
      </c>
      <c r="C457">
        <v>72</v>
      </c>
      <c r="D457">
        <v>1046.5397252143878</v>
      </c>
      <c r="E457">
        <v>1</v>
      </c>
    </row>
    <row r="458" spans="1:24" x14ac:dyDescent="0.2">
      <c r="A458">
        <v>80.75</v>
      </c>
      <c r="B458" t="s">
        <v>239</v>
      </c>
      <c r="C458">
        <v>55</v>
      </c>
      <c r="D458">
        <v>392.00377257605692</v>
      </c>
      <c r="E458">
        <v>3</v>
      </c>
    </row>
    <row r="459" spans="1:24" x14ac:dyDescent="0.2">
      <c r="A459">
        <v>82.75</v>
      </c>
      <c r="B459" t="s">
        <v>481</v>
      </c>
      <c r="C459">
        <v>52</v>
      </c>
      <c r="D459">
        <v>329.63372180082422</v>
      </c>
      <c r="E459">
        <v>7</v>
      </c>
    </row>
    <row r="460" spans="1:24" s="14" customFormat="1" x14ac:dyDescent="0.2">
      <c r="O460"/>
      <c r="P460"/>
      <c r="Q460"/>
      <c r="R460"/>
      <c r="S460"/>
      <c r="T460"/>
      <c r="U460"/>
      <c r="V460"/>
      <c r="W460"/>
      <c r="X460"/>
    </row>
    <row r="461" spans="1:24" s="14" customFormat="1" x14ac:dyDescent="0.2">
      <c r="A461" s="14" t="s">
        <v>140</v>
      </c>
      <c r="C461" s="14" t="s">
        <v>5</v>
      </c>
      <c r="O461"/>
      <c r="P461"/>
      <c r="Q461"/>
      <c r="R461"/>
      <c r="S461"/>
      <c r="T461"/>
      <c r="U461"/>
      <c r="V461"/>
      <c r="W461"/>
      <c r="X461"/>
    </row>
    <row r="462" spans="1:24" s="14" customFormat="1" x14ac:dyDescent="0.2">
      <c r="A462" s="14" t="s">
        <v>6</v>
      </c>
      <c r="B462" s="14" t="s">
        <v>7</v>
      </c>
      <c r="C462" s="14" t="s">
        <v>8</v>
      </c>
      <c r="D462" s="14" t="s">
        <v>9</v>
      </c>
      <c r="E462" s="14" t="s">
        <v>10</v>
      </c>
      <c r="F462" s="14" t="s">
        <v>6</v>
      </c>
      <c r="G462" s="14" t="s">
        <v>7</v>
      </c>
      <c r="H462" s="14" t="s">
        <v>11</v>
      </c>
      <c r="I462" s="14" t="s">
        <v>9</v>
      </c>
      <c r="J462" s="14" t="s">
        <v>12</v>
      </c>
    </row>
    <row r="463" spans="1:24" s="14" customFormat="1" x14ac:dyDescent="0.2">
      <c r="A463" s="14">
        <v>0.25</v>
      </c>
      <c r="B463" s="14" t="s">
        <v>294</v>
      </c>
      <c r="C463" s="14">
        <v>48</v>
      </c>
      <c r="D463" s="14">
        <v>261.62956379894899</v>
      </c>
      <c r="F463" s="14">
        <v>2.25</v>
      </c>
      <c r="G463" s="14" t="s">
        <v>301</v>
      </c>
      <c r="H463" s="14">
        <v>36</v>
      </c>
      <c r="I463" s="14">
        <v>130.81344004395899</v>
      </c>
    </row>
    <row r="464" spans="1:24" s="14" customFormat="1" x14ac:dyDescent="0.2">
      <c r="A464" s="14">
        <v>5.25</v>
      </c>
      <c r="B464" s="14" t="s">
        <v>299</v>
      </c>
      <c r="C464" s="14">
        <v>57</v>
      </c>
      <c r="D464" s="14">
        <v>440.01010976071899</v>
      </c>
      <c r="E464" s="14">
        <v>9</v>
      </c>
      <c r="F464" s="14">
        <v>8</v>
      </c>
      <c r="G464" s="14" t="s">
        <v>294</v>
      </c>
      <c r="H464" s="14">
        <v>48</v>
      </c>
      <c r="I464" s="14">
        <v>261.62956379894899</v>
      </c>
      <c r="J464" s="14">
        <v>12</v>
      </c>
    </row>
    <row r="465" spans="1:10" s="14" customFormat="1" x14ac:dyDescent="0.2">
      <c r="A465" s="14">
        <v>10.25</v>
      </c>
      <c r="B465" s="14" t="s">
        <v>295</v>
      </c>
      <c r="C465" s="14">
        <v>65</v>
      </c>
      <c r="D465" s="14">
        <v>698.47728762097097</v>
      </c>
      <c r="E465" s="14">
        <v>8</v>
      </c>
      <c r="F465" s="14">
        <v>16.5</v>
      </c>
      <c r="G465" s="14" t="s">
        <v>302</v>
      </c>
      <c r="H465" s="14">
        <v>40</v>
      </c>
      <c r="I465" s="14">
        <v>164.815170262621</v>
      </c>
      <c r="J465" s="14">
        <v>8</v>
      </c>
    </row>
    <row r="466" spans="1:10" s="14" customFormat="1" x14ac:dyDescent="0.2">
      <c r="A466" s="14">
        <v>14.25</v>
      </c>
      <c r="B466" s="14" t="s">
        <v>297</v>
      </c>
      <c r="C466" s="14">
        <v>59</v>
      </c>
      <c r="D466" s="14">
        <v>493.89549345236497</v>
      </c>
      <c r="E466" s="14">
        <v>6</v>
      </c>
      <c r="F466" s="14">
        <v>23</v>
      </c>
      <c r="G466" s="14" t="s">
        <v>13</v>
      </c>
      <c r="H466" s="14">
        <v>38</v>
      </c>
      <c r="I466" s="14">
        <v>146.83337288737999</v>
      </c>
      <c r="J466" s="14">
        <v>2</v>
      </c>
    </row>
    <row r="467" spans="1:10" s="14" customFormat="1" x14ac:dyDescent="0.2">
      <c r="A467" s="14">
        <v>19.25</v>
      </c>
      <c r="B467" s="14" t="s">
        <v>296</v>
      </c>
      <c r="C467" s="14">
        <v>55</v>
      </c>
      <c r="D467" s="14">
        <v>392.00377257605601</v>
      </c>
      <c r="E467" s="14">
        <v>4</v>
      </c>
      <c r="F467" s="14">
        <v>28.75</v>
      </c>
      <c r="G467" s="14" t="s">
        <v>303</v>
      </c>
      <c r="H467" s="14">
        <v>42</v>
      </c>
      <c r="I467" s="14">
        <v>184.99908988354801</v>
      </c>
      <c r="J467" s="14">
        <v>4</v>
      </c>
    </row>
    <row r="468" spans="1:10" s="14" customFormat="1" x14ac:dyDescent="0.2">
      <c r="A468" s="14">
        <v>23</v>
      </c>
      <c r="B468" s="14" t="s">
        <v>297</v>
      </c>
      <c r="C468" s="14">
        <v>59</v>
      </c>
      <c r="D468" s="14">
        <v>493.89549345236497</v>
      </c>
      <c r="E468" s="14">
        <v>4</v>
      </c>
      <c r="F468" s="14">
        <v>33.75</v>
      </c>
      <c r="G468" s="14" t="s">
        <v>296</v>
      </c>
      <c r="H468" s="14">
        <v>55</v>
      </c>
      <c r="I468" s="14">
        <v>392.00377257605601</v>
      </c>
      <c r="J468" s="14">
        <v>13</v>
      </c>
    </row>
    <row r="469" spans="1:10" s="14" customFormat="1" x14ac:dyDescent="0.2">
      <c r="A469" s="14">
        <v>31.25</v>
      </c>
      <c r="B469" s="14" t="s">
        <v>297</v>
      </c>
      <c r="C469" s="14">
        <v>59</v>
      </c>
      <c r="D469" s="14">
        <v>493.89549345236497</v>
      </c>
      <c r="E469" s="14">
        <v>0</v>
      </c>
      <c r="F469" s="14">
        <v>39.5</v>
      </c>
      <c r="G469" s="14" t="s">
        <v>304</v>
      </c>
      <c r="H469" s="14">
        <v>52</v>
      </c>
      <c r="I469" s="14">
        <v>329.63372180082303</v>
      </c>
      <c r="J469" s="14">
        <v>3</v>
      </c>
    </row>
    <row r="470" spans="1:10" s="14" customFormat="1" x14ac:dyDescent="0.2">
      <c r="A470" s="14">
        <v>39.25</v>
      </c>
      <c r="B470" s="14" t="s">
        <v>128</v>
      </c>
      <c r="C470" s="14">
        <v>62</v>
      </c>
      <c r="D470" s="14">
        <v>587.34554108704106</v>
      </c>
      <c r="E470" s="14">
        <v>3</v>
      </c>
      <c r="F470" s="14">
        <v>43.75</v>
      </c>
      <c r="G470" s="14" t="s">
        <v>296</v>
      </c>
      <c r="H470" s="14">
        <v>55</v>
      </c>
      <c r="I470" s="14">
        <v>392.00377257605601</v>
      </c>
      <c r="J470" s="14">
        <v>3</v>
      </c>
    </row>
    <row r="471" spans="1:10" s="14" customFormat="1" x14ac:dyDescent="0.2">
      <c r="A471" s="14">
        <v>46.5</v>
      </c>
      <c r="B471" s="14" t="s">
        <v>298</v>
      </c>
      <c r="C471" s="14">
        <v>60</v>
      </c>
      <c r="D471" s="14">
        <v>523.26449507501604</v>
      </c>
      <c r="E471" s="14">
        <v>2</v>
      </c>
      <c r="F471" s="14">
        <v>47.75</v>
      </c>
      <c r="G471" s="14" t="s">
        <v>294</v>
      </c>
      <c r="H471" s="14">
        <v>48</v>
      </c>
      <c r="I471" s="14">
        <v>261.62956379894899</v>
      </c>
      <c r="J471" s="14">
        <v>7</v>
      </c>
    </row>
    <row r="472" spans="1:10" s="14" customFormat="1" x14ac:dyDescent="0.2">
      <c r="A472" s="14">
        <v>51.75</v>
      </c>
      <c r="B472" s="14" t="s">
        <v>128</v>
      </c>
      <c r="C472" s="14">
        <v>62</v>
      </c>
      <c r="D472" s="14">
        <v>587.34554108704106</v>
      </c>
      <c r="E472" s="14">
        <v>2</v>
      </c>
      <c r="F472" s="14">
        <v>52.75</v>
      </c>
      <c r="G472" s="14" t="s">
        <v>138</v>
      </c>
      <c r="H472" s="14">
        <v>50</v>
      </c>
      <c r="I472" s="14">
        <v>293.66975814368999</v>
      </c>
      <c r="J472" s="14">
        <v>2</v>
      </c>
    </row>
    <row r="473" spans="1:10" s="14" customFormat="1" x14ac:dyDescent="0.2">
      <c r="A473" s="14">
        <v>56</v>
      </c>
      <c r="B473" s="14" t="s">
        <v>299</v>
      </c>
      <c r="C473" s="14">
        <v>57</v>
      </c>
      <c r="D473" s="14">
        <v>440.01010976071899</v>
      </c>
      <c r="E473" s="14">
        <v>5</v>
      </c>
      <c r="F473" s="14">
        <v>59.5</v>
      </c>
      <c r="G473" s="14" t="s">
        <v>305</v>
      </c>
      <c r="H473" s="14">
        <v>49</v>
      </c>
      <c r="I473" s="14">
        <v>277.187104180689</v>
      </c>
      <c r="J473" s="14">
        <v>1</v>
      </c>
    </row>
    <row r="474" spans="1:10" s="14" customFormat="1" x14ac:dyDescent="0.2">
      <c r="A474" s="14">
        <v>62</v>
      </c>
      <c r="B474" s="14" t="s">
        <v>295</v>
      </c>
      <c r="C474" s="14">
        <v>65</v>
      </c>
      <c r="D474" s="14">
        <v>698.47728762097097</v>
      </c>
      <c r="E474" s="14">
        <v>8</v>
      </c>
      <c r="F474" s="14">
        <v>67.75</v>
      </c>
      <c r="G474" s="14" t="s">
        <v>138</v>
      </c>
      <c r="H474" s="14">
        <v>50</v>
      </c>
      <c r="I474" s="14">
        <v>293.66975814368999</v>
      </c>
      <c r="J474" s="14">
        <v>1</v>
      </c>
    </row>
    <row r="475" spans="1:10" s="14" customFormat="1" x14ac:dyDescent="0.2">
      <c r="A475" s="14">
        <v>70</v>
      </c>
      <c r="B475" s="14" t="s">
        <v>300</v>
      </c>
      <c r="C475" s="14">
        <v>64</v>
      </c>
      <c r="D475" s="14">
        <v>659.27420622217596</v>
      </c>
      <c r="E475" s="14">
        <v>1</v>
      </c>
      <c r="F475" s="14">
        <v>75.5</v>
      </c>
      <c r="G475" s="14" t="s">
        <v>306</v>
      </c>
      <c r="H475" s="14">
        <v>46</v>
      </c>
      <c r="I475" s="14">
        <v>233.08504452861001</v>
      </c>
      <c r="J475" s="14">
        <v>4</v>
      </c>
    </row>
    <row r="476" spans="1:10" s="14" customFormat="1" x14ac:dyDescent="0.2">
      <c r="A476" s="14">
        <v>76</v>
      </c>
      <c r="B476" s="14" t="s">
        <v>295</v>
      </c>
      <c r="C476" s="14">
        <v>65</v>
      </c>
      <c r="D476" s="14">
        <v>698.47728762097097</v>
      </c>
      <c r="E476" s="14">
        <v>1</v>
      </c>
      <c r="F476" s="14">
        <v>81.5</v>
      </c>
      <c r="G476" s="14" t="s">
        <v>302</v>
      </c>
      <c r="H476" s="14">
        <v>40</v>
      </c>
      <c r="I476" s="14">
        <v>164.815170262621</v>
      </c>
      <c r="J476" s="14">
        <v>6</v>
      </c>
    </row>
    <row r="477" spans="1:10" s="14" customFormat="1" x14ac:dyDescent="0.2">
      <c r="A477" s="14">
        <v>80.75</v>
      </c>
      <c r="B477" s="14" t="s">
        <v>296</v>
      </c>
      <c r="C477" s="14">
        <v>55</v>
      </c>
      <c r="D477" s="14">
        <v>392.00377257605601</v>
      </c>
      <c r="E477" s="14">
        <v>10</v>
      </c>
    </row>
    <row r="478" spans="1:10" s="14" customFormat="1" x14ac:dyDescent="0.2"/>
    <row r="479" spans="1:10" s="14" customFormat="1" x14ac:dyDescent="0.2">
      <c r="A479" s="14" t="s">
        <v>141</v>
      </c>
      <c r="C479" s="14" t="s">
        <v>156</v>
      </c>
      <c r="E479" s="14" t="s">
        <v>0</v>
      </c>
      <c r="F479" s="14" t="s">
        <v>153</v>
      </c>
      <c r="H479" s="14" t="s">
        <v>154</v>
      </c>
      <c r="J479" s="14" t="s">
        <v>155</v>
      </c>
    </row>
    <row r="480" spans="1:10" s="14" customFormat="1" x14ac:dyDescent="0.2">
      <c r="A480" s="14">
        <v>63</v>
      </c>
      <c r="C480" s="14">
        <v>15</v>
      </c>
      <c r="E480" s="14">
        <v>4.5</v>
      </c>
      <c r="F480" s="14">
        <v>66</v>
      </c>
      <c r="H480" s="14">
        <v>14</v>
      </c>
      <c r="J480" s="14">
        <v>5.0769230769230704</v>
      </c>
    </row>
    <row r="481" spans="1:24" s="14" customFormat="1" x14ac:dyDescent="0.2"/>
    <row r="482" spans="1:24" s="14" customFormat="1" x14ac:dyDescent="0.2"/>
    <row r="483" spans="1:24" x14ac:dyDescent="0.2"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 x14ac:dyDescent="0.2">
      <c r="A484" s="17" t="s">
        <v>258</v>
      </c>
      <c r="B484" s="17"/>
      <c r="C484" s="14" t="s">
        <v>14</v>
      </c>
      <c r="D484" s="12"/>
      <c r="E484" s="12"/>
      <c r="F484" s="12" t="s">
        <v>26</v>
      </c>
      <c r="G484" s="12"/>
      <c r="H484" s="12"/>
      <c r="I484" s="12"/>
      <c r="J484" s="12"/>
      <c r="K484" s="12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 x14ac:dyDescent="0.2">
      <c r="A485" s="12" t="s">
        <v>475</v>
      </c>
      <c r="B485" s="12" t="s">
        <v>477</v>
      </c>
      <c r="C485" s="12" t="s">
        <v>478</v>
      </c>
      <c r="D485" s="12" t="s">
        <v>476</v>
      </c>
      <c r="E485" s="12" t="s">
        <v>397</v>
      </c>
      <c r="F485" s="12" t="s">
        <v>475</v>
      </c>
      <c r="G485" s="12" t="s">
        <v>477</v>
      </c>
      <c r="H485" s="12" t="s">
        <v>478</v>
      </c>
      <c r="I485" s="12" t="s">
        <v>476</v>
      </c>
      <c r="J485" s="12" t="s">
        <v>398</v>
      </c>
      <c r="K485" s="12"/>
    </row>
    <row r="486" spans="1:24" x14ac:dyDescent="0.2">
      <c r="A486" s="12">
        <v>0.25</v>
      </c>
      <c r="B486" s="12" t="s">
        <v>294</v>
      </c>
      <c r="C486" s="14">
        <v>48</v>
      </c>
      <c r="D486" s="14">
        <v>261.62956379894899</v>
      </c>
      <c r="E486" s="14"/>
      <c r="F486" s="12">
        <v>2.25</v>
      </c>
      <c r="G486" s="14" t="s">
        <v>301</v>
      </c>
      <c r="H486" s="14">
        <v>36</v>
      </c>
      <c r="I486" s="14">
        <v>130.81344004395899</v>
      </c>
      <c r="J486" s="12"/>
    </row>
    <row r="487" spans="1:24" x14ac:dyDescent="0.2">
      <c r="A487" s="12">
        <v>10.25</v>
      </c>
      <c r="B487" s="12" t="s">
        <v>295</v>
      </c>
      <c r="C487" s="14">
        <v>65</v>
      </c>
      <c r="D487" s="14">
        <v>698.47728762097097</v>
      </c>
      <c r="E487" s="14">
        <v>17</v>
      </c>
      <c r="F487" s="12">
        <v>16.5</v>
      </c>
      <c r="G487" s="14" t="s">
        <v>302</v>
      </c>
      <c r="H487" s="14">
        <v>40</v>
      </c>
      <c r="I487" s="14">
        <v>164.815170262621</v>
      </c>
      <c r="J487" s="14">
        <v>4</v>
      </c>
    </row>
    <row r="488" spans="1:24" x14ac:dyDescent="0.2">
      <c r="A488" s="12">
        <v>19.25</v>
      </c>
      <c r="B488" s="12" t="s">
        <v>296</v>
      </c>
      <c r="C488" s="14">
        <v>55</v>
      </c>
      <c r="D488" s="14">
        <v>392.00377257605601</v>
      </c>
      <c r="E488" s="14">
        <v>10</v>
      </c>
      <c r="F488" s="12">
        <v>28.75</v>
      </c>
      <c r="G488" s="14" t="s">
        <v>303</v>
      </c>
      <c r="H488" s="14">
        <v>42</v>
      </c>
      <c r="I488" s="14">
        <v>184.99908988354801</v>
      </c>
      <c r="J488" s="14">
        <v>2</v>
      </c>
    </row>
    <row r="489" spans="1:24" x14ac:dyDescent="0.2">
      <c r="A489" s="12">
        <v>31.25</v>
      </c>
      <c r="B489" s="12" t="s">
        <v>297</v>
      </c>
      <c r="C489" s="14">
        <v>59</v>
      </c>
      <c r="D489" s="14">
        <v>493.89549345236497</v>
      </c>
      <c r="E489" s="14">
        <v>4</v>
      </c>
      <c r="F489" s="12">
        <v>39.5</v>
      </c>
      <c r="G489" s="14" t="s">
        <v>304</v>
      </c>
      <c r="H489" s="14">
        <v>52</v>
      </c>
      <c r="I489" s="14">
        <v>329.63372180082303</v>
      </c>
      <c r="J489" s="14">
        <v>10</v>
      </c>
    </row>
    <row r="490" spans="1:24" x14ac:dyDescent="0.2">
      <c r="A490" s="12">
        <v>46.5</v>
      </c>
      <c r="B490" s="12" t="s">
        <v>298</v>
      </c>
      <c r="C490" s="14">
        <v>60</v>
      </c>
      <c r="D490" s="14">
        <v>523.26449507501604</v>
      </c>
      <c r="E490" s="14">
        <v>1</v>
      </c>
      <c r="F490" s="12">
        <v>47.75</v>
      </c>
      <c r="G490" s="14" t="s">
        <v>294</v>
      </c>
      <c r="H490" s="14">
        <v>48</v>
      </c>
      <c r="I490" s="14">
        <v>261.62956379894899</v>
      </c>
      <c r="J490" s="14">
        <v>4</v>
      </c>
    </row>
    <row r="491" spans="1:24" x14ac:dyDescent="0.2">
      <c r="A491" s="12">
        <v>56</v>
      </c>
      <c r="B491" s="12" t="s">
        <v>299</v>
      </c>
      <c r="C491" s="14">
        <v>57</v>
      </c>
      <c r="D491" s="14">
        <v>440.01010976071899</v>
      </c>
      <c r="E491" s="14">
        <v>3</v>
      </c>
      <c r="F491" s="12">
        <v>59.5</v>
      </c>
      <c r="G491" s="14" t="s">
        <v>305</v>
      </c>
      <c r="H491" s="14">
        <v>49</v>
      </c>
      <c r="I491" s="14">
        <v>277.187104180689</v>
      </c>
      <c r="J491" s="14">
        <v>1</v>
      </c>
    </row>
    <row r="492" spans="1:24" x14ac:dyDescent="0.2">
      <c r="A492" s="12">
        <v>70</v>
      </c>
      <c r="B492" s="12" t="s">
        <v>300</v>
      </c>
      <c r="C492" s="14">
        <v>64</v>
      </c>
      <c r="D492" s="14">
        <v>659.27420622217596</v>
      </c>
      <c r="E492" s="14">
        <v>7</v>
      </c>
      <c r="F492" s="12">
        <v>75.5</v>
      </c>
      <c r="G492" s="14" t="s">
        <v>306</v>
      </c>
      <c r="H492" s="14">
        <v>46</v>
      </c>
      <c r="I492" s="14">
        <v>233.08504452861001</v>
      </c>
      <c r="J492" s="14">
        <v>3</v>
      </c>
    </row>
    <row r="493" spans="1:24" x14ac:dyDescent="0.2">
      <c r="A493" s="12">
        <v>80.75</v>
      </c>
      <c r="B493" s="12" t="s">
        <v>296</v>
      </c>
      <c r="C493" s="14">
        <v>55</v>
      </c>
      <c r="D493" s="14">
        <v>392.00377257605601</v>
      </c>
      <c r="E493" s="14">
        <v>9</v>
      </c>
    </row>
    <row r="496" spans="1:24" x14ac:dyDescent="0.2">
      <c r="A496" s="14" t="s">
        <v>141</v>
      </c>
      <c r="C496" s="14" t="s">
        <v>156</v>
      </c>
      <c r="E496" s="14" t="s">
        <v>0</v>
      </c>
      <c r="F496" s="14" t="s">
        <v>153</v>
      </c>
      <c r="H496" s="14" t="s">
        <v>154</v>
      </c>
      <c r="J496" s="14" t="s">
        <v>155</v>
      </c>
    </row>
    <row r="497" spans="1:10" x14ac:dyDescent="0.2">
      <c r="A497" s="14">
        <v>51</v>
      </c>
      <c r="C497">
        <v>8</v>
      </c>
      <c r="E497" s="14">
        <v>7.2857142857142803</v>
      </c>
      <c r="F497">
        <v>24</v>
      </c>
      <c r="H497">
        <v>7</v>
      </c>
      <c r="J497">
        <v>4</v>
      </c>
    </row>
  </sheetData>
  <sortState ref="A430:J489">
    <sortCondition ref="A431:A489"/>
  </sortState>
  <mergeCells count="4">
    <mergeCell ref="A365:B365"/>
    <mergeCell ref="A428:B428"/>
    <mergeCell ref="R367:S367"/>
    <mergeCell ref="A484:B484"/>
  </mergeCells>
  <phoneticPr fontId="1" type="noConversion"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696"/>
  <sheetViews>
    <sheetView topLeftCell="AA52" workbookViewId="0">
      <selection activeCell="AK320" sqref="AK320"/>
    </sheetView>
  </sheetViews>
  <sheetFormatPr defaultColWidth="8.85546875" defaultRowHeight="12.75" x14ac:dyDescent="0.2"/>
  <cols>
    <col min="1" max="17" width="1.7109375" customWidth="1"/>
    <col min="18" max="18" width="8.85546875" customWidth="1"/>
    <col min="33" max="33" width="8.85546875" style="16"/>
    <col min="39" max="39" width="8.85546875" style="16"/>
    <col min="42" max="42" width="15.28515625" customWidth="1"/>
    <col min="44" max="44" width="14.140625" customWidth="1"/>
    <col min="47" max="47" width="17.7109375" customWidth="1"/>
    <col min="49" max="49" width="18.85546875" customWidth="1"/>
  </cols>
  <sheetData>
    <row r="1" spans="1:41" x14ac:dyDescent="0.2">
      <c r="B1" t="s">
        <v>349</v>
      </c>
      <c r="S1" t="s">
        <v>349</v>
      </c>
    </row>
    <row r="2" spans="1:41" x14ac:dyDescent="0.2">
      <c r="A2" t="s">
        <v>258</v>
      </c>
      <c r="E2" t="s">
        <v>157</v>
      </c>
      <c r="I2" t="s">
        <v>26</v>
      </c>
      <c r="M2" t="s">
        <v>158</v>
      </c>
      <c r="R2" t="s">
        <v>258</v>
      </c>
      <c r="W2" t="s">
        <v>157</v>
      </c>
      <c r="AB2" t="s">
        <v>26</v>
      </c>
      <c r="AH2" t="s">
        <v>158</v>
      </c>
    </row>
    <row r="3" spans="1:41" x14ac:dyDescent="0.2">
      <c r="A3" t="s">
        <v>475</v>
      </c>
      <c r="B3" t="s">
        <v>350</v>
      </c>
      <c r="C3" t="s">
        <v>351</v>
      </c>
      <c r="D3" t="s">
        <v>160</v>
      </c>
      <c r="E3" t="s">
        <v>475</v>
      </c>
      <c r="F3" t="s">
        <v>384</v>
      </c>
      <c r="G3" t="s">
        <v>351</v>
      </c>
      <c r="H3" t="s">
        <v>160</v>
      </c>
      <c r="I3" t="s">
        <v>475</v>
      </c>
      <c r="J3" t="s">
        <v>384</v>
      </c>
      <c r="K3" t="s">
        <v>351</v>
      </c>
      <c r="L3" t="s">
        <v>160</v>
      </c>
      <c r="M3" t="s">
        <v>159</v>
      </c>
      <c r="N3" t="s">
        <v>350</v>
      </c>
      <c r="O3" t="s">
        <v>351</v>
      </c>
      <c r="P3" t="s">
        <v>160</v>
      </c>
      <c r="R3" t="s">
        <v>475</v>
      </c>
      <c r="S3" t="s">
        <v>350</v>
      </c>
      <c r="T3" t="s">
        <v>351</v>
      </c>
      <c r="U3" t="s">
        <v>160</v>
      </c>
      <c r="V3" t="s">
        <v>399</v>
      </c>
      <c r="W3" t="s">
        <v>475</v>
      </c>
      <c r="X3" t="s">
        <v>384</v>
      </c>
      <c r="Y3" t="s">
        <v>351</v>
      </c>
      <c r="Z3" t="s">
        <v>160</v>
      </c>
      <c r="AA3" t="s">
        <v>399</v>
      </c>
      <c r="AB3" t="s">
        <v>475</v>
      </c>
      <c r="AC3" t="s">
        <v>384</v>
      </c>
      <c r="AD3" t="s">
        <v>351</v>
      </c>
      <c r="AE3" t="s">
        <v>160</v>
      </c>
      <c r="AF3" t="s">
        <v>399</v>
      </c>
      <c r="AH3" t="s">
        <v>159</v>
      </c>
      <c r="AI3" t="s">
        <v>350</v>
      </c>
      <c r="AJ3" t="s">
        <v>351</v>
      </c>
      <c r="AK3" t="s">
        <v>160</v>
      </c>
      <c r="AN3" t="s">
        <v>401</v>
      </c>
    </row>
    <row r="4" spans="1:41" x14ac:dyDescent="0.2">
      <c r="A4">
        <v>0</v>
      </c>
      <c r="B4" t="s">
        <v>255</v>
      </c>
      <c r="C4">
        <v>64</v>
      </c>
      <c r="D4">
        <f>16.35117682*1.059464^C4</f>
        <v>659.27420622217721</v>
      </c>
      <c r="E4">
        <v>0</v>
      </c>
      <c r="I4">
        <v>0</v>
      </c>
      <c r="M4">
        <v>0</v>
      </c>
      <c r="R4">
        <v>0</v>
      </c>
      <c r="S4" t="s">
        <v>255</v>
      </c>
      <c r="T4">
        <v>64</v>
      </c>
      <c r="U4">
        <f t="shared" ref="U4:U67" si="0">16.35117682*1.059464^T4</f>
        <v>659.27420622217721</v>
      </c>
      <c r="W4">
        <v>0</v>
      </c>
      <c r="AB4">
        <v>4</v>
      </c>
      <c r="AC4" t="s">
        <v>480</v>
      </c>
      <c r="AD4">
        <v>50</v>
      </c>
      <c r="AE4">
        <f t="shared" ref="AE4:AE67" si="1">16.35117682*1.059464^AD4</f>
        <v>293.66975814369101</v>
      </c>
      <c r="AH4">
        <v>4</v>
      </c>
      <c r="AI4" t="s">
        <v>390</v>
      </c>
      <c r="AJ4">
        <v>53</v>
      </c>
      <c r="AK4">
        <f t="shared" ref="AK4:AK24" si="2">16.35117682*1.059464^AJ4</f>
        <v>349.23506143398839</v>
      </c>
    </row>
    <row r="5" spans="1:41" x14ac:dyDescent="0.2">
      <c r="A5">
        <f t="shared" ref="A5:A68" si="3">A4+0.25</f>
        <v>0.25</v>
      </c>
      <c r="B5" t="s">
        <v>245</v>
      </c>
      <c r="C5">
        <v>67</v>
      </c>
      <c r="D5">
        <f>16.35117682*1.059464^C5</f>
        <v>784.01558732918636</v>
      </c>
      <c r="E5">
        <f t="shared" ref="E5:E68" si="4">E4+0.25</f>
        <v>0.25</v>
      </c>
      <c r="I5">
        <f t="shared" ref="I5:I68" si="5">I4+0.25</f>
        <v>0.25</v>
      </c>
      <c r="M5">
        <f t="shared" ref="M5:M68" si="6">M4+0.25</f>
        <v>0.25</v>
      </c>
      <c r="R5">
        <v>0.25</v>
      </c>
      <c r="S5" t="s">
        <v>245</v>
      </c>
      <c r="T5">
        <v>67</v>
      </c>
      <c r="U5">
        <f t="shared" si="0"/>
        <v>784.01558732918636</v>
      </c>
      <c r="V5">
        <f t="shared" ref="V5:V68" si="7">ABS(T5-T4)</f>
        <v>3</v>
      </c>
      <c r="W5">
        <v>0.25</v>
      </c>
      <c r="AB5">
        <v>4.5</v>
      </c>
      <c r="AC5" t="s">
        <v>167</v>
      </c>
      <c r="AD5">
        <v>51</v>
      </c>
      <c r="AE5">
        <f t="shared" si="1"/>
        <v>311.13253664194741</v>
      </c>
      <c r="AF5">
        <f t="shared" ref="AF5:AF68" si="8">ABS(AD5-AD4)</f>
        <v>1</v>
      </c>
      <c r="AH5">
        <v>4.5</v>
      </c>
      <c r="AI5" t="s">
        <v>391</v>
      </c>
      <c r="AJ5">
        <v>54</v>
      </c>
      <c r="AK5">
        <f t="shared" si="2"/>
        <v>370.00197512709912</v>
      </c>
      <c r="AL5">
        <f t="shared" ref="AL5:AL24" si="9">ABS(AJ5-AJ4)</f>
        <v>1</v>
      </c>
      <c r="AN5" t="s">
        <v>355</v>
      </c>
      <c r="AO5" t="s">
        <v>396</v>
      </c>
    </row>
    <row r="6" spans="1:41" x14ac:dyDescent="0.2">
      <c r="A6">
        <f t="shared" si="3"/>
        <v>0.5</v>
      </c>
      <c r="E6">
        <f t="shared" si="4"/>
        <v>0.5</v>
      </c>
      <c r="I6">
        <f t="shared" si="5"/>
        <v>0.5</v>
      </c>
      <c r="M6">
        <f t="shared" si="6"/>
        <v>0.5</v>
      </c>
      <c r="R6">
        <v>0.75</v>
      </c>
      <c r="S6" t="s">
        <v>255</v>
      </c>
      <c r="T6">
        <v>64</v>
      </c>
      <c r="U6">
        <f t="shared" si="0"/>
        <v>659.27420622217721</v>
      </c>
      <c r="V6">
        <f t="shared" si="7"/>
        <v>3</v>
      </c>
      <c r="W6">
        <v>0.75</v>
      </c>
      <c r="AB6">
        <v>5</v>
      </c>
      <c r="AC6" t="s">
        <v>481</v>
      </c>
      <c r="AD6">
        <v>52</v>
      </c>
      <c r="AE6">
        <f t="shared" si="1"/>
        <v>329.63372180082422</v>
      </c>
      <c r="AF6">
        <f t="shared" si="8"/>
        <v>1</v>
      </c>
      <c r="AH6">
        <v>5</v>
      </c>
      <c r="AI6" t="s">
        <v>392</v>
      </c>
      <c r="AJ6">
        <v>55</v>
      </c>
      <c r="AK6">
        <f t="shared" si="2"/>
        <v>392.00377257605692</v>
      </c>
      <c r="AL6">
        <f t="shared" si="9"/>
        <v>1</v>
      </c>
      <c r="AN6">
        <f>SUM(AF5:AF265,AL5:AL24,AL26,AL53:AL54,AL57,AL110:AL130,AL132,AL214:AL234,AL236,AL263:AL265)</f>
        <v>1323</v>
      </c>
      <c r="AO6">
        <f>(265-3)+(26-4)*3+6</f>
        <v>334</v>
      </c>
    </row>
    <row r="7" spans="1:41" x14ac:dyDescent="0.2">
      <c r="A7">
        <f t="shared" si="3"/>
        <v>0.75</v>
      </c>
      <c r="B7" t="s">
        <v>255</v>
      </c>
      <c r="C7">
        <v>64</v>
      </c>
      <c r="D7">
        <f>16.35117682*1.059464^C7</f>
        <v>659.27420622217721</v>
      </c>
      <c r="E7">
        <f t="shared" si="4"/>
        <v>0.75</v>
      </c>
      <c r="I7">
        <f t="shared" si="5"/>
        <v>0.75</v>
      </c>
      <c r="M7">
        <f t="shared" si="6"/>
        <v>0.75</v>
      </c>
      <c r="R7">
        <v>1</v>
      </c>
      <c r="S7" t="s">
        <v>245</v>
      </c>
      <c r="T7">
        <v>67</v>
      </c>
      <c r="U7">
        <f t="shared" si="0"/>
        <v>784.01558732918636</v>
      </c>
      <c r="V7">
        <f t="shared" si="7"/>
        <v>3</v>
      </c>
      <c r="W7">
        <v>1</v>
      </c>
      <c r="AB7">
        <v>5.5</v>
      </c>
      <c r="AC7" t="s">
        <v>164</v>
      </c>
      <c r="AD7">
        <v>51</v>
      </c>
      <c r="AE7">
        <f t="shared" si="1"/>
        <v>311.13253664194741</v>
      </c>
      <c r="AF7">
        <f t="shared" si="8"/>
        <v>1</v>
      </c>
      <c r="AH7">
        <v>5.5</v>
      </c>
      <c r="AI7" t="s">
        <v>393</v>
      </c>
      <c r="AJ7">
        <v>54</v>
      </c>
      <c r="AK7">
        <f t="shared" si="2"/>
        <v>370.00197512709912</v>
      </c>
      <c r="AL7">
        <f t="shared" si="9"/>
        <v>1</v>
      </c>
    </row>
    <row r="8" spans="1:41" x14ac:dyDescent="0.2">
      <c r="A8">
        <f t="shared" si="3"/>
        <v>1</v>
      </c>
      <c r="B8" t="s">
        <v>245</v>
      </c>
      <c r="C8">
        <v>67</v>
      </c>
      <c r="D8">
        <f>16.35117682*1.059464^C8</f>
        <v>784.01558732918636</v>
      </c>
      <c r="E8">
        <f t="shared" si="4"/>
        <v>1</v>
      </c>
      <c r="I8">
        <f t="shared" si="5"/>
        <v>1</v>
      </c>
      <c r="M8">
        <f t="shared" si="6"/>
        <v>1</v>
      </c>
      <c r="R8">
        <v>1.5</v>
      </c>
      <c r="S8" t="s">
        <v>255</v>
      </c>
      <c r="T8">
        <v>64</v>
      </c>
      <c r="U8">
        <f t="shared" si="0"/>
        <v>659.27420622217721</v>
      </c>
      <c r="V8">
        <f t="shared" si="7"/>
        <v>3</v>
      </c>
      <c r="W8">
        <v>1.5</v>
      </c>
      <c r="AB8">
        <v>6</v>
      </c>
      <c r="AC8" t="s">
        <v>480</v>
      </c>
      <c r="AD8">
        <v>50</v>
      </c>
      <c r="AE8">
        <f t="shared" si="1"/>
        <v>293.66975814369101</v>
      </c>
      <c r="AF8">
        <f t="shared" si="8"/>
        <v>1</v>
      </c>
      <c r="AH8">
        <v>6</v>
      </c>
      <c r="AI8" t="s">
        <v>390</v>
      </c>
      <c r="AJ8">
        <v>53</v>
      </c>
      <c r="AK8">
        <f t="shared" si="2"/>
        <v>349.23506143398839</v>
      </c>
      <c r="AL8">
        <f t="shared" si="9"/>
        <v>1</v>
      </c>
      <c r="AN8" t="s">
        <v>356</v>
      </c>
    </row>
    <row r="9" spans="1:41" x14ac:dyDescent="0.2">
      <c r="A9">
        <f t="shared" si="3"/>
        <v>1.25</v>
      </c>
      <c r="E9">
        <f t="shared" si="4"/>
        <v>1.25</v>
      </c>
      <c r="I9">
        <f t="shared" si="5"/>
        <v>1.25</v>
      </c>
      <c r="M9">
        <f t="shared" si="6"/>
        <v>1.25</v>
      </c>
      <c r="R9">
        <v>2</v>
      </c>
      <c r="S9" t="s">
        <v>240</v>
      </c>
      <c r="T9">
        <v>60</v>
      </c>
      <c r="U9">
        <f t="shared" si="0"/>
        <v>523.26449507501752</v>
      </c>
      <c r="V9">
        <f t="shared" si="7"/>
        <v>4</v>
      </c>
      <c r="W9">
        <v>2</v>
      </c>
      <c r="AB9">
        <v>6.5</v>
      </c>
      <c r="AC9" t="s">
        <v>164</v>
      </c>
      <c r="AD9">
        <v>51</v>
      </c>
      <c r="AE9">
        <f t="shared" si="1"/>
        <v>311.13253664194741</v>
      </c>
      <c r="AF9">
        <f t="shared" si="8"/>
        <v>1</v>
      </c>
      <c r="AH9">
        <v>6.5</v>
      </c>
      <c r="AI9" t="s">
        <v>393</v>
      </c>
      <c r="AJ9">
        <v>54</v>
      </c>
      <c r="AK9">
        <f t="shared" si="2"/>
        <v>370.00197512709912</v>
      </c>
      <c r="AL9">
        <f t="shared" si="9"/>
        <v>1</v>
      </c>
      <c r="AN9">
        <f>AN6/(332)</f>
        <v>3.9849397590361444</v>
      </c>
    </row>
    <row r="10" spans="1:41" x14ac:dyDescent="0.2">
      <c r="A10">
        <f t="shared" si="3"/>
        <v>1.5</v>
      </c>
      <c r="B10" t="s">
        <v>255</v>
      </c>
      <c r="C10">
        <v>64</v>
      </c>
      <c r="D10">
        <f>16.35117682*1.059464^C10</f>
        <v>659.27420622217721</v>
      </c>
      <c r="E10">
        <f t="shared" si="4"/>
        <v>1.5</v>
      </c>
      <c r="I10">
        <f t="shared" si="5"/>
        <v>1.5</v>
      </c>
      <c r="M10">
        <f t="shared" si="6"/>
        <v>1.5</v>
      </c>
      <c r="R10">
        <v>2.25</v>
      </c>
      <c r="S10" t="s">
        <v>255</v>
      </c>
      <c r="T10">
        <v>64</v>
      </c>
      <c r="U10">
        <f t="shared" si="0"/>
        <v>659.27420622217721</v>
      </c>
      <c r="V10">
        <f t="shared" si="7"/>
        <v>4</v>
      </c>
      <c r="W10">
        <v>2.25</v>
      </c>
      <c r="AB10">
        <v>7</v>
      </c>
      <c r="AC10" t="s">
        <v>480</v>
      </c>
      <c r="AD10">
        <v>50</v>
      </c>
      <c r="AE10">
        <f t="shared" si="1"/>
        <v>293.66975814369101</v>
      </c>
      <c r="AF10">
        <f t="shared" si="8"/>
        <v>1</v>
      </c>
      <c r="AH10">
        <v>7</v>
      </c>
      <c r="AI10" t="s">
        <v>390</v>
      </c>
      <c r="AJ10">
        <v>53</v>
      </c>
      <c r="AK10">
        <f t="shared" si="2"/>
        <v>349.23506143398839</v>
      </c>
      <c r="AL10">
        <f t="shared" si="9"/>
        <v>1</v>
      </c>
    </row>
    <row r="11" spans="1:41" x14ac:dyDescent="0.2">
      <c r="A11">
        <f t="shared" si="3"/>
        <v>1.75</v>
      </c>
      <c r="E11">
        <f t="shared" si="4"/>
        <v>1.75</v>
      </c>
      <c r="I11">
        <f t="shared" si="5"/>
        <v>1.75</v>
      </c>
      <c r="M11">
        <f t="shared" si="6"/>
        <v>1.75</v>
      </c>
      <c r="R11">
        <v>2.75</v>
      </c>
      <c r="S11" t="s">
        <v>240</v>
      </c>
      <c r="T11">
        <v>60</v>
      </c>
      <c r="U11">
        <f t="shared" si="0"/>
        <v>523.26449507501752</v>
      </c>
      <c r="V11">
        <f t="shared" si="7"/>
        <v>4</v>
      </c>
      <c r="W11">
        <v>2.75</v>
      </c>
      <c r="AB11">
        <v>7.5</v>
      </c>
      <c r="AC11" t="s">
        <v>291</v>
      </c>
      <c r="AD11">
        <v>49</v>
      </c>
      <c r="AE11">
        <f t="shared" si="1"/>
        <v>277.18710418069043</v>
      </c>
      <c r="AF11">
        <f t="shared" si="8"/>
        <v>1</v>
      </c>
      <c r="AH11">
        <v>7.5</v>
      </c>
      <c r="AI11" t="s">
        <v>394</v>
      </c>
      <c r="AJ11">
        <v>52</v>
      </c>
      <c r="AK11">
        <f t="shared" si="2"/>
        <v>329.63372180082422</v>
      </c>
      <c r="AL11">
        <f t="shared" si="9"/>
        <v>1</v>
      </c>
    </row>
    <row r="12" spans="1:41" x14ac:dyDescent="0.2">
      <c r="A12">
        <f t="shared" si="3"/>
        <v>2</v>
      </c>
      <c r="B12" t="s">
        <v>240</v>
      </c>
      <c r="C12">
        <v>60</v>
      </c>
      <c r="D12">
        <f>16.35117682*1.059464^C12</f>
        <v>523.26449507501752</v>
      </c>
      <c r="E12">
        <f t="shared" si="4"/>
        <v>2</v>
      </c>
      <c r="I12">
        <f t="shared" si="5"/>
        <v>2</v>
      </c>
      <c r="M12">
        <f t="shared" si="6"/>
        <v>2</v>
      </c>
      <c r="R12">
        <v>3</v>
      </c>
      <c r="S12" t="s">
        <v>255</v>
      </c>
      <c r="T12">
        <v>64</v>
      </c>
      <c r="U12">
        <f t="shared" si="0"/>
        <v>659.27420622217721</v>
      </c>
      <c r="V12">
        <f t="shared" si="7"/>
        <v>4</v>
      </c>
      <c r="W12">
        <v>3</v>
      </c>
      <c r="AB12">
        <v>8</v>
      </c>
      <c r="AC12" t="s">
        <v>479</v>
      </c>
      <c r="AD12">
        <v>48</v>
      </c>
      <c r="AE12">
        <f t="shared" si="1"/>
        <v>261.62956379894968</v>
      </c>
      <c r="AF12">
        <f t="shared" si="8"/>
        <v>1</v>
      </c>
      <c r="AH12">
        <v>8</v>
      </c>
      <c r="AI12" t="s">
        <v>222</v>
      </c>
      <c r="AJ12">
        <v>51</v>
      </c>
      <c r="AK12">
        <f t="shared" si="2"/>
        <v>311.13253664194741</v>
      </c>
      <c r="AL12">
        <f t="shared" si="9"/>
        <v>1</v>
      </c>
      <c r="AN12" t="s">
        <v>402</v>
      </c>
    </row>
    <row r="13" spans="1:41" x14ac:dyDescent="0.2">
      <c r="A13">
        <f t="shared" si="3"/>
        <v>2.25</v>
      </c>
      <c r="B13" t="s">
        <v>255</v>
      </c>
      <c r="C13">
        <v>64</v>
      </c>
      <c r="D13">
        <f>16.35117682*1.059464^C13</f>
        <v>659.27420622217721</v>
      </c>
      <c r="E13">
        <f t="shared" si="4"/>
        <v>2.25</v>
      </c>
      <c r="I13">
        <f t="shared" si="5"/>
        <v>2.25</v>
      </c>
      <c r="M13">
        <f t="shared" si="6"/>
        <v>2.25</v>
      </c>
      <c r="R13">
        <v>3.5</v>
      </c>
      <c r="S13" t="s">
        <v>240</v>
      </c>
      <c r="T13">
        <v>60</v>
      </c>
      <c r="U13">
        <f t="shared" si="0"/>
        <v>523.26449507501752</v>
      </c>
      <c r="V13">
        <f t="shared" si="7"/>
        <v>4</v>
      </c>
      <c r="W13">
        <v>3.5</v>
      </c>
      <c r="AB13">
        <v>8.5</v>
      </c>
      <c r="AC13" t="s">
        <v>47</v>
      </c>
      <c r="AD13">
        <v>47</v>
      </c>
      <c r="AE13">
        <f t="shared" si="1"/>
        <v>246.94521361646048</v>
      </c>
      <c r="AF13">
        <f t="shared" si="8"/>
        <v>1</v>
      </c>
      <c r="AH13">
        <v>8.5</v>
      </c>
      <c r="AI13" t="s">
        <v>223</v>
      </c>
      <c r="AJ13">
        <v>50</v>
      </c>
      <c r="AK13">
        <f t="shared" si="2"/>
        <v>293.66975814369101</v>
      </c>
      <c r="AL13">
        <f t="shared" si="9"/>
        <v>1</v>
      </c>
    </row>
    <row r="14" spans="1:41" x14ac:dyDescent="0.2">
      <c r="A14">
        <f t="shared" si="3"/>
        <v>2.5</v>
      </c>
      <c r="E14">
        <f t="shared" si="4"/>
        <v>2.5</v>
      </c>
      <c r="I14">
        <f t="shared" si="5"/>
        <v>2.5</v>
      </c>
      <c r="M14">
        <f t="shared" si="6"/>
        <v>2.5</v>
      </c>
      <c r="R14">
        <v>4</v>
      </c>
      <c r="S14" t="s">
        <v>243</v>
      </c>
      <c r="T14">
        <v>57</v>
      </c>
      <c r="U14">
        <f t="shared" si="0"/>
        <v>440.01010976071973</v>
      </c>
      <c r="V14">
        <f t="shared" si="7"/>
        <v>3</v>
      </c>
      <c r="W14">
        <v>4</v>
      </c>
      <c r="AB14">
        <v>9</v>
      </c>
      <c r="AC14" t="s">
        <v>292</v>
      </c>
      <c r="AD14">
        <v>46</v>
      </c>
      <c r="AE14">
        <f t="shared" si="1"/>
        <v>233.08504452861115</v>
      </c>
      <c r="AF14">
        <f t="shared" si="8"/>
        <v>1</v>
      </c>
      <c r="AH14">
        <v>9</v>
      </c>
      <c r="AI14" t="s">
        <v>459</v>
      </c>
      <c r="AJ14">
        <v>49</v>
      </c>
      <c r="AK14">
        <f t="shared" si="2"/>
        <v>277.18710418069043</v>
      </c>
      <c r="AL14">
        <f t="shared" si="9"/>
        <v>1</v>
      </c>
      <c r="AN14" t="s">
        <v>235</v>
      </c>
      <c r="AO14" t="s">
        <v>396</v>
      </c>
    </row>
    <row r="15" spans="1:41" x14ac:dyDescent="0.2">
      <c r="A15">
        <f t="shared" si="3"/>
        <v>2.75</v>
      </c>
      <c r="B15" t="s">
        <v>240</v>
      </c>
      <c r="C15">
        <v>60</v>
      </c>
      <c r="D15">
        <f>16.35117682*1.059464^C15</f>
        <v>523.26449507501752</v>
      </c>
      <c r="E15">
        <f t="shared" si="4"/>
        <v>2.75</v>
      </c>
      <c r="I15">
        <f t="shared" si="5"/>
        <v>2.75</v>
      </c>
      <c r="M15">
        <f t="shared" si="6"/>
        <v>2.75</v>
      </c>
      <c r="R15">
        <v>4.25</v>
      </c>
      <c r="S15" t="s">
        <v>240</v>
      </c>
      <c r="T15">
        <v>60</v>
      </c>
      <c r="U15">
        <f t="shared" si="0"/>
        <v>523.26449507501752</v>
      </c>
      <c r="V15">
        <f t="shared" si="7"/>
        <v>3</v>
      </c>
      <c r="W15">
        <v>4.25</v>
      </c>
      <c r="AB15">
        <v>9.5</v>
      </c>
      <c r="AC15" t="s">
        <v>46</v>
      </c>
      <c r="AD15">
        <v>45</v>
      </c>
      <c r="AE15">
        <f t="shared" si="1"/>
        <v>220.00279814001337</v>
      </c>
      <c r="AF15">
        <f t="shared" si="8"/>
        <v>1</v>
      </c>
      <c r="AH15">
        <v>9.5</v>
      </c>
      <c r="AI15" t="s">
        <v>323</v>
      </c>
      <c r="AJ15">
        <v>48</v>
      </c>
      <c r="AK15">
        <f t="shared" si="2"/>
        <v>261.62956379894968</v>
      </c>
      <c r="AL15">
        <f t="shared" si="9"/>
        <v>1</v>
      </c>
      <c r="AN15">
        <f>SUM(V5:V303,AA62,AA67,AA70,AA73,AA76,AA78,AA80,AA91,AA92:AA93,AA95:AA96,AA99,AA101,AA104,AA106,AA185,AA188,AA191,AA194,AA196,AA198,AA209:AA211,AA213:AA214,AA217,AA219:AA220,AA222,AA224,AA302:AA303)</f>
        <v>1132</v>
      </c>
      <c r="AO15">
        <f>(303-3)+35</f>
        <v>335</v>
      </c>
    </row>
    <row r="16" spans="1:41" x14ac:dyDescent="0.2">
      <c r="A16">
        <f t="shared" si="3"/>
        <v>3</v>
      </c>
      <c r="B16" t="s">
        <v>255</v>
      </c>
      <c r="C16">
        <v>64</v>
      </c>
      <c r="D16">
        <f>16.35117682*1.059464^C16</f>
        <v>659.27420622217721</v>
      </c>
      <c r="E16">
        <f t="shared" si="4"/>
        <v>3</v>
      </c>
      <c r="I16">
        <f t="shared" si="5"/>
        <v>3</v>
      </c>
      <c r="M16">
        <f t="shared" si="6"/>
        <v>3</v>
      </c>
      <c r="R16">
        <v>4.75</v>
      </c>
      <c r="S16" t="s">
        <v>243</v>
      </c>
      <c r="T16">
        <v>57</v>
      </c>
      <c r="U16">
        <f t="shared" si="0"/>
        <v>440.01010976071973</v>
      </c>
      <c r="V16">
        <f t="shared" si="7"/>
        <v>3</v>
      </c>
      <c r="W16">
        <v>4.75</v>
      </c>
      <c r="AB16">
        <v>10</v>
      </c>
      <c r="AC16" t="s">
        <v>168</v>
      </c>
      <c r="AD16">
        <v>44</v>
      </c>
      <c r="AE16">
        <f t="shared" si="1"/>
        <v>207.65481237683719</v>
      </c>
      <c r="AF16">
        <f t="shared" si="8"/>
        <v>1</v>
      </c>
      <c r="AH16">
        <v>10</v>
      </c>
      <c r="AI16" t="s">
        <v>307</v>
      </c>
      <c r="AJ16">
        <v>47</v>
      </c>
      <c r="AK16">
        <f t="shared" si="2"/>
        <v>246.94521361646048</v>
      </c>
      <c r="AL16">
        <f t="shared" si="9"/>
        <v>1</v>
      </c>
    </row>
    <row r="17" spans="1:40" x14ac:dyDescent="0.2">
      <c r="A17">
        <f t="shared" si="3"/>
        <v>3.25</v>
      </c>
      <c r="E17">
        <f t="shared" si="4"/>
        <v>3.25</v>
      </c>
      <c r="I17">
        <f t="shared" si="5"/>
        <v>3.25</v>
      </c>
      <c r="M17">
        <f t="shared" si="6"/>
        <v>3.25</v>
      </c>
      <c r="R17">
        <v>5</v>
      </c>
      <c r="S17" t="s">
        <v>240</v>
      </c>
      <c r="T17">
        <v>60</v>
      </c>
      <c r="U17">
        <f t="shared" si="0"/>
        <v>523.26449507501752</v>
      </c>
      <c r="V17">
        <f t="shared" si="7"/>
        <v>3</v>
      </c>
      <c r="W17">
        <v>5</v>
      </c>
      <c r="AB17">
        <v>10.5</v>
      </c>
      <c r="AC17" t="s">
        <v>44</v>
      </c>
      <c r="AD17">
        <v>43</v>
      </c>
      <c r="AE17">
        <f t="shared" si="1"/>
        <v>195.99987576438383</v>
      </c>
      <c r="AF17">
        <f t="shared" si="8"/>
        <v>1</v>
      </c>
      <c r="AH17">
        <v>10.5</v>
      </c>
      <c r="AI17" t="s">
        <v>325</v>
      </c>
      <c r="AJ17">
        <v>46</v>
      </c>
      <c r="AK17">
        <f t="shared" si="2"/>
        <v>233.08504452861115</v>
      </c>
      <c r="AL17">
        <f t="shared" si="9"/>
        <v>1</v>
      </c>
      <c r="AN17" t="s">
        <v>236</v>
      </c>
    </row>
    <row r="18" spans="1:40" x14ac:dyDescent="0.2">
      <c r="A18">
        <f t="shared" si="3"/>
        <v>3.5</v>
      </c>
      <c r="B18" t="s">
        <v>240</v>
      </c>
      <c r="C18">
        <v>60</v>
      </c>
      <c r="D18">
        <f>16.35117682*1.059464^C18</f>
        <v>523.26449507501752</v>
      </c>
      <c r="E18">
        <f t="shared" si="4"/>
        <v>3.5</v>
      </c>
      <c r="I18">
        <f t="shared" si="5"/>
        <v>3.5</v>
      </c>
      <c r="M18">
        <f t="shared" si="6"/>
        <v>3.5</v>
      </c>
      <c r="R18">
        <v>5.5</v>
      </c>
      <c r="S18" t="s">
        <v>243</v>
      </c>
      <c r="T18">
        <v>57</v>
      </c>
      <c r="U18">
        <f t="shared" si="0"/>
        <v>440.01010976071973</v>
      </c>
      <c r="V18">
        <f t="shared" si="7"/>
        <v>3</v>
      </c>
      <c r="W18">
        <v>5.5</v>
      </c>
      <c r="AB18">
        <v>11</v>
      </c>
      <c r="AC18" t="s">
        <v>169</v>
      </c>
      <c r="AD18">
        <v>42</v>
      </c>
      <c r="AE18">
        <f t="shared" si="1"/>
        <v>184.99908988354849</v>
      </c>
      <c r="AF18">
        <f t="shared" si="8"/>
        <v>1</v>
      </c>
      <c r="AH18">
        <v>11</v>
      </c>
      <c r="AI18" t="s">
        <v>487</v>
      </c>
      <c r="AJ18">
        <v>45</v>
      </c>
      <c r="AK18">
        <f t="shared" si="2"/>
        <v>220.00279814001337</v>
      </c>
      <c r="AL18">
        <f t="shared" si="9"/>
        <v>1</v>
      </c>
      <c r="AN18">
        <f>AN15/(334)</f>
        <v>3.3892215568862274</v>
      </c>
    </row>
    <row r="19" spans="1:40" x14ac:dyDescent="0.2">
      <c r="A19">
        <f t="shared" si="3"/>
        <v>3.75</v>
      </c>
      <c r="E19">
        <f t="shared" si="4"/>
        <v>3.75</v>
      </c>
      <c r="I19">
        <f t="shared" si="5"/>
        <v>3.75</v>
      </c>
      <c r="M19">
        <f t="shared" si="6"/>
        <v>3.75</v>
      </c>
      <c r="R19">
        <v>5.75</v>
      </c>
      <c r="S19" t="s">
        <v>240</v>
      </c>
      <c r="T19">
        <v>60</v>
      </c>
      <c r="U19">
        <f t="shared" si="0"/>
        <v>523.26449507501752</v>
      </c>
      <c r="V19">
        <f t="shared" si="7"/>
        <v>3</v>
      </c>
      <c r="W19">
        <v>5.75</v>
      </c>
      <c r="AB19">
        <v>11.5</v>
      </c>
      <c r="AC19" t="s">
        <v>30</v>
      </c>
      <c r="AD19">
        <v>41</v>
      </c>
      <c r="AE19">
        <f t="shared" si="1"/>
        <v>174.61573954711864</v>
      </c>
      <c r="AF19">
        <f t="shared" si="8"/>
        <v>1</v>
      </c>
      <c r="AH19">
        <v>11.5</v>
      </c>
      <c r="AI19" t="s">
        <v>327</v>
      </c>
      <c r="AJ19">
        <v>44</v>
      </c>
      <c r="AK19">
        <f t="shared" si="2"/>
        <v>207.65481237683719</v>
      </c>
      <c r="AL19">
        <f t="shared" si="9"/>
        <v>1</v>
      </c>
    </row>
    <row r="20" spans="1:40" x14ac:dyDescent="0.2">
      <c r="A20">
        <f t="shared" si="3"/>
        <v>4</v>
      </c>
      <c r="B20" t="s">
        <v>243</v>
      </c>
      <c r="C20">
        <v>57</v>
      </c>
      <c r="D20">
        <f>16.35117682*1.059464^C20</f>
        <v>440.01010976071973</v>
      </c>
      <c r="E20">
        <f t="shared" si="4"/>
        <v>4</v>
      </c>
      <c r="I20">
        <f t="shared" si="5"/>
        <v>4</v>
      </c>
      <c r="J20" t="s">
        <v>480</v>
      </c>
      <c r="K20">
        <v>50</v>
      </c>
      <c r="L20">
        <f>16.35117682*1.059464^K20</f>
        <v>293.66975814369101</v>
      </c>
      <c r="M20">
        <f t="shared" si="6"/>
        <v>4</v>
      </c>
      <c r="N20" t="s">
        <v>390</v>
      </c>
      <c r="O20">
        <v>53</v>
      </c>
      <c r="P20">
        <f>16.35117682*1.059464^O20</f>
        <v>349.23506143398839</v>
      </c>
      <c r="R20">
        <v>6</v>
      </c>
      <c r="S20" t="s">
        <v>243</v>
      </c>
      <c r="T20">
        <v>57</v>
      </c>
      <c r="U20">
        <f t="shared" si="0"/>
        <v>440.01010976071973</v>
      </c>
      <c r="V20">
        <f t="shared" si="7"/>
        <v>3</v>
      </c>
      <c r="W20">
        <v>6</v>
      </c>
      <c r="AB20">
        <v>12</v>
      </c>
      <c r="AC20" t="s">
        <v>29</v>
      </c>
      <c r="AD20">
        <v>40</v>
      </c>
      <c r="AE20">
        <f t="shared" si="1"/>
        <v>164.8151702626221</v>
      </c>
      <c r="AF20">
        <f t="shared" si="8"/>
        <v>1</v>
      </c>
      <c r="AH20">
        <v>12</v>
      </c>
      <c r="AI20" t="s">
        <v>444</v>
      </c>
      <c r="AJ20">
        <v>43</v>
      </c>
      <c r="AK20">
        <f t="shared" si="2"/>
        <v>195.99987576438383</v>
      </c>
      <c r="AL20">
        <f t="shared" si="9"/>
        <v>1</v>
      </c>
    </row>
    <row r="21" spans="1:40" x14ac:dyDescent="0.2">
      <c r="A21">
        <f t="shared" si="3"/>
        <v>4.25</v>
      </c>
      <c r="B21" t="s">
        <v>240</v>
      </c>
      <c r="C21">
        <v>60</v>
      </c>
      <c r="D21">
        <f>16.35117682*1.059464^C21</f>
        <v>523.26449507501752</v>
      </c>
      <c r="E21">
        <f t="shared" si="4"/>
        <v>4.25</v>
      </c>
      <c r="I21">
        <f t="shared" si="5"/>
        <v>4.25</v>
      </c>
      <c r="M21">
        <f t="shared" si="6"/>
        <v>4.25</v>
      </c>
      <c r="R21">
        <v>8</v>
      </c>
      <c r="S21" t="s">
        <v>239</v>
      </c>
      <c r="T21">
        <v>55</v>
      </c>
      <c r="U21">
        <f t="shared" si="0"/>
        <v>392.00377257605692</v>
      </c>
      <c r="V21">
        <f t="shared" si="7"/>
        <v>2</v>
      </c>
      <c r="W21">
        <v>8</v>
      </c>
      <c r="AB21">
        <v>12.5</v>
      </c>
      <c r="AC21" t="s">
        <v>170</v>
      </c>
      <c r="AD21">
        <v>39</v>
      </c>
      <c r="AE21">
        <f t="shared" si="1"/>
        <v>155.56467257275574</v>
      </c>
      <c r="AF21">
        <f t="shared" si="8"/>
        <v>1</v>
      </c>
      <c r="AH21">
        <v>12.5</v>
      </c>
      <c r="AI21" t="s">
        <v>329</v>
      </c>
      <c r="AJ21">
        <v>42</v>
      </c>
      <c r="AK21">
        <f t="shared" si="2"/>
        <v>184.99908988354849</v>
      </c>
      <c r="AL21">
        <f t="shared" si="9"/>
        <v>1</v>
      </c>
    </row>
    <row r="22" spans="1:40" x14ac:dyDescent="0.2">
      <c r="A22">
        <f t="shared" si="3"/>
        <v>4.5</v>
      </c>
      <c r="E22">
        <f t="shared" si="4"/>
        <v>4.5</v>
      </c>
      <c r="I22">
        <f t="shared" si="5"/>
        <v>4.5</v>
      </c>
      <c r="J22" t="s">
        <v>167</v>
      </c>
      <c r="K22">
        <v>51</v>
      </c>
      <c r="L22">
        <f>16.35117682*1.059464^K22</f>
        <v>311.13253664194741</v>
      </c>
      <c r="M22">
        <f t="shared" si="6"/>
        <v>4.5</v>
      </c>
      <c r="N22" t="s">
        <v>391</v>
      </c>
      <c r="O22">
        <v>54</v>
      </c>
      <c r="P22">
        <f>16.35117682*1.059464^O22</f>
        <v>370.00197512709912</v>
      </c>
      <c r="R22">
        <v>8.25</v>
      </c>
      <c r="S22" t="s">
        <v>243</v>
      </c>
      <c r="T22">
        <v>57</v>
      </c>
      <c r="U22">
        <f t="shared" si="0"/>
        <v>440.01010976071973</v>
      </c>
      <c r="V22">
        <f t="shared" si="7"/>
        <v>2</v>
      </c>
      <c r="W22">
        <v>8.25</v>
      </c>
      <c r="AB22">
        <v>13</v>
      </c>
      <c r="AC22" t="s">
        <v>28</v>
      </c>
      <c r="AD22">
        <v>38</v>
      </c>
      <c r="AE22">
        <f t="shared" si="1"/>
        <v>146.83337288738056</v>
      </c>
      <c r="AF22">
        <f t="shared" si="8"/>
        <v>1</v>
      </c>
      <c r="AH22">
        <v>13</v>
      </c>
      <c r="AI22" t="s">
        <v>318</v>
      </c>
      <c r="AJ22">
        <v>41</v>
      </c>
      <c r="AK22">
        <f t="shared" si="2"/>
        <v>174.61573954711864</v>
      </c>
      <c r="AL22">
        <f t="shared" si="9"/>
        <v>1</v>
      </c>
    </row>
    <row r="23" spans="1:40" x14ac:dyDescent="0.2">
      <c r="A23">
        <f t="shared" si="3"/>
        <v>4.75</v>
      </c>
      <c r="B23" t="s">
        <v>243</v>
      </c>
      <c r="C23">
        <v>57</v>
      </c>
      <c r="D23">
        <f>16.35117682*1.059464^C23</f>
        <v>440.01010976071973</v>
      </c>
      <c r="E23">
        <f t="shared" si="4"/>
        <v>4.75</v>
      </c>
      <c r="I23">
        <f t="shared" si="5"/>
        <v>4.75</v>
      </c>
      <c r="M23">
        <f t="shared" si="6"/>
        <v>4.75</v>
      </c>
      <c r="R23">
        <v>8.75</v>
      </c>
      <c r="S23" t="s">
        <v>239</v>
      </c>
      <c r="T23">
        <v>55</v>
      </c>
      <c r="U23">
        <f t="shared" si="0"/>
        <v>392.00377257605692</v>
      </c>
      <c r="V23">
        <f t="shared" si="7"/>
        <v>2</v>
      </c>
      <c r="W23">
        <v>8.75</v>
      </c>
      <c r="AB23">
        <v>13.5</v>
      </c>
      <c r="AC23" t="s">
        <v>387</v>
      </c>
      <c r="AD23">
        <v>37</v>
      </c>
      <c r="AE23">
        <f t="shared" si="1"/>
        <v>138.5921304427338</v>
      </c>
      <c r="AF23">
        <f t="shared" si="8"/>
        <v>1</v>
      </c>
      <c r="AH23">
        <v>13.5</v>
      </c>
      <c r="AI23" t="s">
        <v>331</v>
      </c>
      <c r="AJ23">
        <v>42</v>
      </c>
      <c r="AK23">
        <f t="shared" si="2"/>
        <v>184.99908988354849</v>
      </c>
      <c r="AL23">
        <f t="shared" si="9"/>
        <v>1</v>
      </c>
    </row>
    <row r="24" spans="1:40" x14ac:dyDescent="0.2">
      <c r="A24">
        <f t="shared" si="3"/>
        <v>5</v>
      </c>
      <c r="B24" t="s">
        <v>240</v>
      </c>
      <c r="C24">
        <v>60</v>
      </c>
      <c r="D24">
        <f>16.35117682*1.059464^C24</f>
        <v>523.26449507501752</v>
      </c>
      <c r="E24">
        <f t="shared" si="4"/>
        <v>5</v>
      </c>
      <c r="I24">
        <f t="shared" si="5"/>
        <v>5</v>
      </c>
      <c r="J24" t="s">
        <v>481</v>
      </c>
      <c r="K24">
        <v>52</v>
      </c>
      <c r="L24">
        <f>16.35117682*1.059464^K24</f>
        <v>329.63372180082422</v>
      </c>
      <c r="M24">
        <f t="shared" si="6"/>
        <v>5</v>
      </c>
      <c r="N24" t="s">
        <v>392</v>
      </c>
      <c r="O24">
        <v>55</v>
      </c>
      <c r="P24">
        <f>16.35117682*1.059464^O24</f>
        <v>392.00377257605692</v>
      </c>
      <c r="R24">
        <v>9</v>
      </c>
      <c r="S24" t="s">
        <v>481</v>
      </c>
      <c r="T24">
        <v>52</v>
      </c>
      <c r="U24">
        <f t="shared" si="0"/>
        <v>329.63372180082422</v>
      </c>
      <c r="V24">
        <f t="shared" si="7"/>
        <v>3</v>
      </c>
      <c r="W24">
        <v>9</v>
      </c>
      <c r="AB24">
        <v>14</v>
      </c>
      <c r="AC24" t="s">
        <v>35</v>
      </c>
      <c r="AD24">
        <v>38</v>
      </c>
      <c r="AE24">
        <f t="shared" si="1"/>
        <v>146.83337288738056</v>
      </c>
      <c r="AF24">
        <f t="shared" si="8"/>
        <v>1</v>
      </c>
      <c r="AH24">
        <v>14</v>
      </c>
      <c r="AI24" t="s">
        <v>318</v>
      </c>
      <c r="AJ24">
        <v>41</v>
      </c>
      <c r="AK24">
        <f t="shared" si="2"/>
        <v>174.61573954711864</v>
      </c>
      <c r="AL24">
        <f t="shared" si="9"/>
        <v>1</v>
      </c>
    </row>
    <row r="25" spans="1:40" x14ac:dyDescent="0.2">
      <c r="A25">
        <f t="shared" si="3"/>
        <v>5.25</v>
      </c>
      <c r="E25">
        <f t="shared" si="4"/>
        <v>5.25</v>
      </c>
      <c r="I25">
        <f t="shared" si="5"/>
        <v>5.25</v>
      </c>
      <c r="M25">
        <f t="shared" si="6"/>
        <v>5.25</v>
      </c>
      <c r="R25">
        <v>9.5</v>
      </c>
      <c r="S25" t="s">
        <v>239</v>
      </c>
      <c r="T25">
        <v>55</v>
      </c>
      <c r="U25">
        <f t="shared" si="0"/>
        <v>392.00377257605692</v>
      </c>
      <c r="V25">
        <f t="shared" si="7"/>
        <v>3</v>
      </c>
      <c r="W25">
        <v>9.5</v>
      </c>
      <c r="AB25">
        <v>14.5</v>
      </c>
      <c r="AC25" t="s">
        <v>45</v>
      </c>
      <c r="AD25">
        <v>31</v>
      </c>
      <c r="AE25">
        <f t="shared" si="1"/>
        <v>97.998932630681253</v>
      </c>
      <c r="AF25">
        <f t="shared" si="8"/>
        <v>7</v>
      </c>
      <c r="AH25">
        <v>14.5</v>
      </c>
    </row>
    <row r="26" spans="1:40" x14ac:dyDescent="0.2">
      <c r="A26">
        <f t="shared" si="3"/>
        <v>5.5</v>
      </c>
      <c r="B26" t="s">
        <v>243</v>
      </c>
      <c r="C26">
        <v>57</v>
      </c>
      <c r="D26">
        <f>16.35117682*1.059464^C26</f>
        <v>440.01010976071973</v>
      </c>
      <c r="E26">
        <f t="shared" si="4"/>
        <v>5.5</v>
      </c>
      <c r="I26">
        <f t="shared" si="5"/>
        <v>5.5</v>
      </c>
      <c r="J26" t="s">
        <v>164</v>
      </c>
      <c r="K26">
        <v>51</v>
      </c>
      <c r="L26">
        <f>16.35117682*1.059464^K26</f>
        <v>311.13253664194741</v>
      </c>
      <c r="M26">
        <f t="shared" si="6"/>
        <v>5.5</v>
      </c>
      <c r="N26" t="s">
        <v>393</v>
      </c>
      <c r="O26">
        <v>54</v>
      </c>
      <c r="P26">
        <f>16.35117682*1.059464^O26</f>
        <v>370.00197512709912</v>
      </c>
      <c r="R26">
        <v>10</v>
      </c>
      <c r="S26" t="s">
        <v>481</v>
      </c>
      <c r="T26">
        <v>52</v>
      </c>
      <c r="U26">
        <f t="shared" si="0"/>
        <v>329.63372180082422</v>
      </c>
      <c r="V26">
        <f t="shared" si="7"/>
        <v>3</v>
      </c>
      <c r="W26">
        <v>10</v>
      </c>
      <c r="AB26">
        <v>15</v>
      </c>
      <c r="AC26" t="s">
        <v>36</v>
      </c>
      <c r="AD26">
        <v>37</v>
      </c>
      <c r="AE26">
        <f t="shared" si="1"/>
        <v>138.5921304427338</v>
      </c>
      <c r="AF26">
        <f t="shared" si="8"/>
        <v>6</v>
      </c>
      <c r="AH26">
        <v>15</v>
      </c>
      <c r="AI26" t="s">
        <v>318</v>
      </c>
      <c r="AJ26">
        <v>41</v>
      </c>
      <c r="AK26">
        <f>16.35117682*1.059464^AJ26</f>
        <v>174.61573954711864</v>
      </c>
      <c r="AL26">
        <f>ABS(AJ26-AD25)</f>
        <v>10</v>
      </c>
    </row>
    <row r="27" spans="1:40" x14ac:dyDescent="0.2">
      <c r="A27">
        <f t="shared" si="3"/>
        <v>5.75</v>
      </c>
      <c r="B27" t="s">
        <v>240</v>
      </c>
      <c r="C27">
        <v>60</v>
      </c>
      <c r="D27">
        <f>16.35117682*1.059464^C27</f>
        <v>523.26449507501752</v>
      </c>
      <c r="E27">
        <f t="shared" si="4"/>
        <v>5.75</v>
      </c>
      <c r="I27">
        <f t="shared" si="5"/>
        <v>5.75</v>
      </c>
      <c r="M27">
        <f t="shared" si="6"/>
        <v>5.75</v>
      </c>
      <c r="R27">
        <v>10.25</v>
      </c>
      <c r="S27" t="s">
        <v>482</v>
      </c>
      <c r="T27">
        <v>53</v>
      </c>
      <c r="U27">
        <f t="shared" si="0"/>
        <v>349.23506143398839</v>
      </c>
      <c r="V27">
        <f t="shared" si="7"/>
        <v>1</v>
      </c>
      <c r="W27">
        <v>10.25</v>
      </c>
      <c r="AB27">
        <v>15.5</v>
      </c>
      <c r="AC27" t="s">
        <v>45</v>
      </c>
      <c r="AD27">
        <v>31</v>
      </c>
      <c r="AE27">
        <f t="shared" si="1"/>
        <v>97.998932630681253</v>
      </c>
      <c r="AF27">
        <f t="shared" si="8"/>
        <v>6</v>
      </c>
      <c r="AH27">
        <v>15.5</v>
      </c>
    </row>
    <row r="28" spans="1:40" x14ac:dyDescent="0.2">
      <c r="A28">
        <f t="shared" si="3"/>
        <v>6</v>
      </c>
      <c r="B28" t="s">
        <v>243</v>
      </c>
      <c r="C28">
        <v>57</v>
      </c>
      <c r="D28">
        <f>16.35117682*1.059464^C28</f>
        <v>440.01010976071973</v>
      </c>
      <c r="E28">
        <f t="shared" si="4"/>
        <v>6</v>
      </c>
      <c r="I28">
        <f t="shared" si="5"/>
        <v>6</v>
      </c>
      <c r="J28" t="s">
        <v>480</v>
      </c>
      <c r="K28">
        <v>50</v>
      </c>
      <c r="L28">
        <f>16.35117682*1.059464^K28</f>
        <v>293.66975814369101</v>
      </c>
      <c r="M28">
        <f t="shared" si="6"/>
        <v>6</v>
      </c>
      <c r="N28" t="s">
        <v>390</v>
      </c>
      <c r="O28">
        <v>53</v>
      </c>
      <c r="P28">
        <f>16.35117682*1.059464^O28</f>
        <v>349.23506143398839</v>
      </c>
      <c r="R28">
        <v>10.75</v>
      </c>
      <c r="S28" t="s">
        <v>481</v>
      </c>
      <c r="T28">
        <v>52</v>
      </c>
      <c r="U28">
        <f t="shared" si="0"/>
        <v>329.63372180082422</v>
      </c>
      <c r="V28">
        <f t="shared" si="7"/>
        <v>1</v>
      </c>
      <c r="W28">
        <v>10.75</v>
      </c>
      <c r="AB28">
        <v>16</v>
      </c>
      <c r="AC28" t="s">
        <v>27</v>
      </c>
      <c r="AD28">
        <v>36</v>
      </c>
      <c r="AE28">
        <f t="shared" si="1"/>
        <v>130.81344004395982</v>
      </c>
      <c r="AF28">
        <f t="shared" si="8"/>
        <v>5</v>
      </c>
      <c r="AH28">
        <v>16</v>
      </c>
    </row>
    <row r="29" spans="1:40" x14ac:dyDescent="0.2">
      <c r="A29">
        <f t="shared" si="3"/>
        <v>6.25</v>
      </c>
      <c r="E29">
        <f t="shared" si="4"/>
        <v>6.25</v>
      </c>
      <c r="I29">
        <f t="shared" si="5"/>
        <v>6.25</v>
      </c>
      <c r="M29">
        <f t="shared" si="6"/>
        <v>6.25</v>
      </c>
      <c r="R29">
        <v>11</v>
      </c>
      <c r="S29" t="s">
        <v>479</v>
      </c>
      <c r="T29">
        <v>48</v>
      </c>
      <c r="U29">
        <f t="shared" si="0"/>
        <v>261.62956379894968</v>
      </c>
      <c r="V29">
        <f t="shared" si="7"/>
        <v>4</v>
      </c>
      <c r="W29">
        <v>11</v>
      </c>
      <c r="AB29">
        <v>16.5</v>
      </c>
      <c r="AC29" t="s">
        <v>479</v>
      </c>
      <c r="AD29">
        <v>48</v>
      </c>
      <c r="AE29">
        <f t="shared" si="1"/>
        <v>261.62956379894968</v>
      </c>
      <c r="AF29">
        <f t="shared" si="8"/>
        <v>12</v>
      </c>
      <c r="AH29">
        <v>16.5</v>
      </c>
    </row>
    <row r="30" spans="1:40" x14ac:dyDescent="0.2">
      <c r="A30">
        <f t="shared" si="3"/>
        <v>6.5</v>
      </c>
      <c r="E30">
        <f t="shared" si="4"/>
        <v>6.5</v>
      </c>
      <c r="I30">
        <f t="shared" si="5"/>
        <v>6.5</v>
      </c>
      <c r="J30" t="s">
        <v>164</v>
      </c>
      <c r="K30">
        <v>51</v>
      </c>
      <c r="L30">
        <f>16.35117682*1.059464^K30</f>
        <v>311.13253664194741</v>
      </c>
      <c r="M30">
        <f t="shared" si="6"/>
        <v>6.5</v>
      </c>
      <c r="N30" t="s">
        <v>393</v>
      </c>
      <c r="O30">
        <v>54</v>
      </c>
      <c r="P30">
        <f>16.35117682*1.059464^O30</f>
        <v>370.00197512709912</v>
      </c>
      <c r="R30">
        <v>12</v>
      </c>
      <c r="S30" t="s">
        <v>479</v>
      </c>
      <c r="T30">
        <v>48</v>
      </c>
      <c r="U30">
        <f t="shared" si="0"/>
        <v>261.62956379894968</v>
      </c>
      <c r="V30">
        <f t="shared" si="7"/>
        <v>0</v>
      </c>
      <c r="W30">
        <v>12</v>
      </c>
      <c r="AB30">
        <v>17</v>
      </c>
      <c r="AC30" t="s">
        <v>412</v>
      </c>
      <c r="AD30">
        <v>35</v>
      </c>
      <c r="AE30">
        <f t="shared" si="1"/>
        <v>123.4713402663609</v>
      </c>
      <c r="AF30">
        <f t="shared" si="8"/>
        <v>13</v>
      </c>
      <c r="AH30">
        <v>17</v>
      </c>
      <c r="AN30">
        <f>SUM(V5:V303)</f>
        <v>974</v>
      </c>
    </row>
    <row r="31" spans="1:40" x14ac:dyDescent="0.2">
      <c r="A31">
        <f t="shared" si="3"/>
        <v>6.75</v>
      </c>
      <c r="E31">
        <f t="shared" si="4"/>
        <v>6.75</v>
      </c>
      <c r="I31">
        <f t="shared" si="5"/>
        <v>6.75</v>
      </c>
      <c r="M31">
        <f t="shared" si="6"/>
        <v>6.75</v>
      </c>
      <c r="R31">
        <v>12.25</v>
      </c>
      <c r="S31" t="s">
        <v>480</v>
      </c>
      <c r="T31">
        <v>50</v>
      </c>
      <c r="U31">
        <f t="shared" si="0"/>
        <v>293.66975814369101</v>
      </c>
      <c r="V31">
        <f t="shared" si="7"/>
        <v>2</v>
      </c>
      <c r="W31">
        <v>12.25</v>
      </c>
      <c r="AB31">
        <v>17.5</v>
      </c>
      <c r="AC31" t="s">
        <v>47</v>
      </c>
      <c r="AD31">
        <v>47</v>
      </c>
      <c r="AE31">
        <f t="shared" si="1"/>
        <v>246.94521361646048</v>
      </c>
      <c r="AF31">
        <f t="shared" si="8"/>
        <v>12</v>
      </c>
      <c r="AH31">
        <v>17.5</v>
      </c>
    </row>
    <row r="32" spans="1:40" x14ac:dyDescent="0.2">
      <c r="A32">
        <f t="shared" si="3"/>
        <v>7</v>
      </c>
      <c r="E32">
        <f t="shared" si="4"/>
        <v>7</v>
      </c>
      <c r="I32">
        <f t="shared" si="5"/>
        <v>7</v>
      </c>
      <c r="J32" t="s">
        <v>480</v>
      </c>
      <c r="K32">
        <v>50</v>
      </c>
      <c r="L32">
        <f>16.35117682*1.059464^K32</f>
        <v>293.66975814369101</v>
      </c>
      <c r="M32">
        <f t="shared" si="6"/>
        <v>7</v>
      </c>
      <c r="N32" t="s">
        <v>390</v>
      </c>
      <c r="O32">
        <v>53</v>
      </c>
      <c r="P32">
        <f>16.35117682*1.059464^O32</f>
        <v>349.23506143398839</v>
      </c>
      <c r="R32">
        <v>12.75</v>
      </c>
      <c r="S32" t="s">
        <v>479</v>
      </c>
      <c r="T32">
        <v>48</v>
      </c>
      <c r="U32">
        <f t="shared" si="0"/>
        <v>261.62956379894968</v>
      </c>
      <c r="V32">
        <f t="shared" si="7"/>
        <v>2</v>
      </c>
      <c r="W32">
        <v>12.75</v>
      </c>
      <c r="AB32">
        <v>18</v>
      </c>
      <c r="AC32" t="s">
        <v>414</v>
      </c>
      <c r="AD32">
        <v>33</v>
      </c>
      <c r="AE32">
        <f t="shared" si="1"/>
        <v>110.00027071140791</v>
      </c>
      <c r="AF32">
        <f t="shared" si="8"/>
        <v>14</v>
      </c>
      <c r="AH32">
        <v>18</v>
      </c>
    </row>
    <row r="33" spans="1:34" x14ac:dyDescent="0.2">
      <c r="A33">
        <f t="shared" si="3"/>
        <v>7.25</v>
      </c>
      <c r="E33">
        <f t="shared" si="4"/>
        <v>7.25</v>
      </c>
      <c r="I33">
        <f t="shared" si="5"/>
        <v>7.25</v>
      </c>
      <c r="M33">
        <f t="shared" si="6"/>
        <v>7.25</v>
      </c>
      <c r="R33">
        <v>13</v>
      </c>
      <c r="S33" t="s">
        <v>44</v>
      </c>
      <c r="T33">
        <v>43</v>
      </c>
      <c r="U33">
        <f t="shared" si="0"/>
        <v>195.99987576438383</v>
      </c>
      <c r="V33">
        <f t="shared" si="7"/>
        <v>5</v>
      </c>
      <c r="W33">
        <v>13</v>
      </c>
      <c r="AB33">
        <v>18.5</v>
      </c>
      <c r="AC33" t="s">
        <v>46</v>
      </c>
      <c r="AD33">
        <v>45</v>
      </c>
      <c r="AE33">
        <f t="shared" si="1"/>
        <v>220.00279814001337</v>
      </c>
      <c r="AF33">
        <f t="shared" si="8"/>
        <v>12</v>
      </c>
      <c r="AH33">
        <v>18.5</v>
      </c>
    </row>
    <row r="34" spans="1:34" x14ac:dyDescent="0.2">
      <c r="A34">
        <f t="shared" si="3"/>
        <v>7.5</v>
      </c>
      <c r="E34">
        <f t="shared" si="4"/>
        <v>7.5</v>
      </c>
      <c r="I34">
        <f t="shared" si="5"/>
        <v>7.5</v>
      </c>
      <c r="J34" t="s">
        <v>291</v>
      </c>
      <c r="K34">
        <v>49</v>
      </c>
      <c r="L34">
        <f>16.35117682*1.059464^K34</f>
        <v>277.18710418069043</v>
      </c>
      <c r="M34">
        <f t="shared" si="6"/>
        <v>7.5</v>
      </c>
      <c r="N34" t="s">
        <v>394</v>
      </c>
      <c r="O34">
        <v>52</v>
      </c>
      <c r="P34">
        <f>16.35117682*1.059464^O34</f>
        <v>329.63372180082422</v>
      </c>
      <c r="R34">
        <v>13.5</v>
      </c>
      <c r="S34" t="s">
        <v>44</v>
      </c>
      <c r="T34">
        <v>43</v>
      </c>
      <c r="U34">
        <f t="shared" si="0"/>
        <v>195.99987576438383</v>
      </c>
      <c r="V34">
        <f t="shared" si="7"/>
        <v>0</v>
      </c>
      <c r="W34">
        <v>13.5</v>
      </c>
      <c r="AB34">
        <v>19</v>
      </c>
      <c r="AC34" t="s">
        <v>45</v>
      </c>
      <c r="AD34">
        <v>31</v>
      </c>
      <c r="AE34">
        <f t="shared" si="1"/>
        <v>97.998932630681253</v>
      </c>
      <c r="AF34">
        <f t="shared" si="8"/>
        <v>14</v>
      </c>
      <c r="AH34">
        <v>19</v>
      </c>
    </row>
    <row r="35" spans="1:34" x14ac:dyDescent="0.2">
      <c r="A35">
        <f t="shared" si="3"/>
        <v>7.75</v>
      </c>
      <c r="E35">
        <f t="shared" si="4"/>
        <v>7.75</v>
      </c>
      <c r="I35">
        <f t="shared" si="5"/>
        <v>7.75</v>
      </c>
      <c r="M35">
        <f t="shared" si="6"/>
        <v>7.75</v>
      </c>
      <c r="R35">
        <v>13.75</v>
      </c>
      <c r="S35" t="s">
        <v>47</v>
      </c>
      <c r="T35">
        <v>47</v>
      </c>
      <c r="U35">
        <f t="shared" si="0"/>
        <v>246.94521361646048</v>
      </c>
      <c r="V35">
        <f t="shared" si="7"/>
        <v>4</v>
      </c>
      <c r="W35">
        <v>13.75</v>
      </c>
      <c r="AB35">
        <v>19.5</v>
      </c>
      <c r="AC35" t="s">
        <v>44</v>
      </c>
      <c r="AD35">
        <v>43</v>
      </c>
      <c r="AE35">
        <f t="shared" si="1"/>
        <v>195.99987576438383</v>
      </c>
      <c r="AF35">
        <f t="shared" si="8"/>
        <v>12</v>
      </c>
      <c r="AH35">
        <v>19.5</v>
      </c>
    </row>
    <row r="36" spans="1:34" x14ac:dyDescent="0.2">
      <c r="A36">
        <f t="shared" si="3"/>
        <v>8</v>
      </c>
      <c r="B36" t="s">
        <v>239</v>
      </c>
      <c r="C36">
        <v>55</v>
      </c>
      <c r="D36">
        <f>16.35117682*1.059464^C36</f>
        <v>392.00377257605692</v>
      </c>
      <c r="E36">
        <f t="shared" si="4"/>
        <v>8</v>
      </c>
      <c r="I36">
        <f t="shared" si="5"/>
        <v>8</v>
      </c>
      <c r="J36" t="s">
        <v>479</v>
      </c>
      <c r="K36">
        <v>48</v>
      </c>
      <c r="L36">
        <f>16.35117682*1.059464^K36</f>
        <v>261.62956379894968</v>
      </c>
      <c r="M36">
        <f t="shared" si="6"/>
        <v>8</v>
      </c>
      <c r="N36" t="s">
        <v>320</v>
      </c>
      <c r="O36">
        <v>51</v>
      </c>
      <c r="P36">
        <f>16.35117682*1.059464^O36</f>
        <v>311.13253664194741</v>
      </c>
      <c r="R36">
        <v>14</v>
      </c>
      <c r="S36" t="s">
        <v>44</v>
      </c>
      <c r="T36">
        <v>43</v>
      </c>
      <c r="U36">
        <f t="shared" si="0"/>
        <v>195.99987576438383</v>
      </c>
      <c r="V36">
        <f t="shared" si="7"/>
        <v>4</v>
      </c>
      <c r="W36">
        <v>14</v>
      </c>
      <c r="AB36">
        <v>20</v>
      </c>
      <c r="AC36" t="s">
        <v>388</v>
      </c>
      <c r="AD36">
        <v>29</v>
      </c>
      <c r="AE36">
        <f t="shared" si="1"/>
        <v>87.306974197808145</v>
      </c>
      <c r="AF36">
        <f t="shared" si="8"/>
        <v>14</v>
      </c>
      <c r="AH36">
        <v>20</v>
      </c>
    </row>
    <row r="37" spans="1:34" x14ac:dyDescent="0.2">
      <c r="A37">
        <f t="shared" si="3"/>
        <v>8.25</v>
      </c>
      <c r="B37" t="s">
        <v>243</v>
      </c>
      <c r="C37">
        <v>57</v>
      </c>
      <c r="D37">
        <f>16.35117682*1.059464^C37</f>
        <v>440.01010976071973</v>
      </c>
      <c r="E37">
        <f t="shared" si="4"/>
        <v>8.25</v>
      </c>
      <c r="I37">
        <f t="shared" si="5"/>
        <v>8.25</v>
      </c>
      <c r="M37">
        <f t="shared" si="6"/>
        <v>8.25</v>
      </c>
      <c r="R37">
        <v>16</v>
      </c>
      <c r="S37" t="s">
        <v>29</v>
      </c>
      <c r="T37">
        <v>40</v>
      </c>
      <c r="U37">
        <f t="shared" si="0"/>
        <v>164.8151702626221</v>
      </c>
      <c r="V37">
        <f t="shared" si="7"/>
        <v>3</v>
      </c>
      <c r="W37">
        <v>16</v>
      </c>
      <c r="AB37">
        <v>20.5</v>
      </c>
      <c r="AC37" t="s">
        <v>30</v>
      </c>
      <c r="AD37">
        <v>41</v>
      </c>
      <c r="AE37">
        <f t="shared" si="1"/>
        <v>174.61573954711864</v>
      </c>
      <c r="AF37">
        <f t="shared" si="8"/>
        <v>12</v>
      </c>
      <c r="AH37">
        <v>20.5</v>
      </c>
    </row>
    <row r="38" spans="1:34" x14ac:dyDescent="0.2">
      <c r="A38">
        <f t="shared" si="3"/>
        <v>8.5</v>
      </c>
      <c r="E38">
        <f t="shared" si="4"/>
        <v>8.5</v>
      </c>
      <c r="I38">
        <f t="shared" si="5"/>
        <v>8.5</v>
      </c>
      <c r="J38" t="s">
        <v>47</v>
      </c>
      <c r="K38">
        <v>47</v>
      </c>
      <c r="L38">
        <f>16.35117682*1.059464^K38</f>
        <v>246.94521361646048</v>
      </c>
      <c r="M38">
        <f t="shared" si="6"/>
        <v>8.5</v>
      </c>
      <c r="N38" t="s">
        <v>321</v>
      </c>
      <c r="O38">
        <v>50</v>
      </c>
      <c r="P38">
        <f>16.35117682*1.059464^O38</f>
        <v>293.66975814369101</v>
      </c>
      <c r="R38">
        <v>16.25</v>
      </c>
      <c r="S38" t="s">
        <v>44</v>
      </c>
      <c r="T38">
        <v>43</v>
      </c>
      <c r="U38">
        <f t="shared" si="0"/>
        <v>195.99987576438383</v>
      </c>
      <c r="V38">
        <f t="shared" si="7"/>
        <v>3</v>
      </c>
      <c r="W38">
        <v>16.25</v>
      </c>
      <c r="AB38">
        <v>21</v>
      </c>
      <c r="AC38" t="s">
        <v>389</v>
      </c>
      <c r="AD38">
        <v>28</v>
      </c>
      <c r="AE38">
        <f t="shared" si="1"/>
        <v>82.406739821087044</v>
      </c>
      <c r="AF38">
        <f t="shared" si="8"/>
        <v>13</v>
      </c>
      <c r="AH38">
        <v>21</v>
      </c>
    </row>
    <row r="39" spans="1:34" x14ac:dyDescent="0.2">
      <c r="A39">
        <f t="shared" si="3"/>
        <v>8.75</v>
      </c>
      <c r="B39" t="s">
        <v>239</v>
      </c>
      <c r="C39">
        <v>55</v>
      </c>
      <c r="D39">
        <f>16.35117682*1.059464^C39</f>
        <v>392.00377257605692</v>
      </c>
      <c r="E39">
        <f t="shared" si="4"/>
        <v>8.75</v>
      </c>
      <c r="I39">
        <f t="shared" si="5"/>
        <v>8.75</v>
      </c>
      <c r="M39">
        <f t="shared" si="6"/>
        <v>8.75</v>
      </c>
      <c r="R39">
        <v>16.75</v>
      </c>
      <c r="S39" t="s">
        <v>29</v>
      </c>
      <c r="T39">
        <v>40</v>
      </c>
      <c r="U39">
        <f t="shared" si="0"/>
        <v>164.8151702626221</v>
      </c>
      <c r="V39">
        <f t="shared" si="7"/>
        <v>3</v>
      </c>
      <c r="W39">
        <v>16.75</v>
      </c>
      <c r="AB39">
        <v>21.5</v>
      </c>
      <c r="AC39" t="s">
        <v>29</v>
      </c>
      <c r="AD39">
        <v>40</v>
      </c>
      <c r="AE39">
        <f t="shared" si="1"/>
        <v>164.8151702626221</v>
      </c>
      <c r="AF39">
        <f t="shared" si="8"/>
        <v>12</v>
      </c>
      <c r="AH39">
        <v>21.5</v>
      </c>
    </row>
    <row r="40" spans="1:34" x14ac:dyDescent="0.2">
      <c r="A40">
        <f t="shared" si="3"/>
        <v>9</v>
      </c>
      <c r="B40" t="s">
        <v>481</v>
      </c>
      <c r="C40">
        <v>52</v>
      </c>
      <c r="D40">
        <f>16.35117682*1.059464^C40</f>
        <v>329.63372180082422</v>
      </c>
      <c r="E40">
        <f t="shared" si="4"/>
        <v>9</v>
      </c>
      <c r="I40">
        <f t="shared" si="5"/>
        <v>9</v>
      </c>
      <c r="J40" t="s">
        <v>292</v>
      </c>
      <c r="K40">
        <v>46</v>
      </c>
      <c r="L40">
        <f>16.35117682*1.059464^K40</f>
        <v>233.08504452861115</v>
      </c>
      <c r="M40">
        <f t="shared" si="6"/>
        <v>9</v>
      </c>
      <c r="N40" t="s">
        <v>459</v>
      </c>
      <c r="O40">
        <v>49</v>
      </c>
      <c r="P40">
        <f>16.35117682*1.059464^O40</f>
        <v>277.18710418069043</v>
      </c>
      <c r="R40">
        <v>17</v>
      </c>
      <c r="S40" t="s">
        <v>44</v>
      </c>
      <c r="T40">
        <v>43</v>
      </c>
      <c r="U40">
        <f t="shared" si="0"/>
        <v>195.99987576438383</v>
      </c>
      <c r="V40">
        <f t="shared" si="7"/>
        <v>3</v>
      </c>
      <c r="W40">
        <v>17</v>
      </c>
      <c r="AB40">
        <v>22</v>
      </c>
      <c r="AC40" t="s">
        <v>413</v>
      </c>
      <c r="AD40">
        <v>26</v>
      </c>
      <c r="AE40">
        <f t="shared" si="1"/>
        <v>73.415933359182759</v>
      </c>
      <c r="AF40">
        <f t="shared" si="8"/>
        <v>14</v>
      </c>
      <c r="AH40">
        <v>22</v>
      </c>
    </row>
    <row r="41" spans="1:34" x14ac:dyDescent="0.2">
      <c r="A41">
        <f t="shared" si="3"/>
        <v>9.25</v>
      </c>
      <c r="E41">
        <f t="shared" si="4"/>
        <v>9.25</v>
      </c>
      <c r="I41">
        <f t="shared" si="5"/>
        <v>9.25</v>
      </c>
      <c r="M41">
        <f t="shared" si="6"/>
        <v>9.25</v>
      </c>
      <c r="R41">
        <v>17.5</v>
      </c>
      <c r="S41" t="s">
        <v>29</v>
      </c>
      <c r="T41">
        <v>40</v>
      </c>
      <c r="U41">
        <f t="shared" si="0"/>
        <v>164.8151702626221</v>
      </c>
      <c r="V41">
        <f t="shared" si="7"/>
        <v>3</v>
      </c>
      <c r="W41">
        <v>17.5</v>
      </c>
      <c r="AB41">
        <v>22.5</v>
      </c>
      <c r="AC41" t="s">
        <v>28</v>
      </c>
      <c r="AD41">
        <v>38</v>
      </c>
      <c r="AE41">
        <f t="shared" si="1"/>
        <v>146.83337288738056</v>
      </c>
      <c r="AF41">
        <f t="shared" si="8"/>
        <v>12</v>
      </c>
      <c r="AH41">
        <v>22.5</v>
      </c>
    </row>
    <row r="42" spans="1:34" x14ac:dyDescent="0.2">
      <c r="A42">
        <f t="shared" si="3"/>
        <v>9.5</v>
      </c>
      <c r="B42" t="s">
        <v>239</v>
      </c>
      <c r="C42">
        <v>55</v>
      </c>
      <c r="D42">
        <f>16.35117682*1.059464^C42</f>
        <v>392.00377257605692</v>
      </c>
      <c r="E42">
        <f t="shared" si="4"/>
        <v>9.5</v>
      </c>
      <c r="I42">
        <f t="shared" si="5"/>
        <v>9.5</v>
      </c>
      <c r="J42" t="s">
        <v>46</v>
      </c>
      <c r="K42">
        <v>45</v>
      </c>
      <c r="L42">
        <f>16.35117682*1.059464^K42</f>
        <v>220.00279814001337</v>
      </c>
      <c r="M42">
        <f t="shared" si="6"/>
        <v>9.5</v>
      </c>
      <c r="N42" t="s">
        <v>323</v>
      </c>
      <c r="O42">
        <v>48</v>
      </c>
      <c r="P42">
        <f>16.35117682*1.059464^O42</f>
        <v>261.62956379894968</v>
      </c>
      <c r="R42">
        <v>18</v>
      </c>
      <c r="S42" t="s">
        <v>27</v>
      </c>
      <c r="T42">
        <v>36</v>
      </c>
      <c r="U42">
        <f t="shared" si="0"/>
        <v>130.81344004395982</v>
      </c>
      <c r="V42">
        <f t="shared" si="7"/>
        <v>4</v>
      </c>
      <c r="W42">
        <v>18</v>
      </c>
      <c r="AB42">
        <v>23</v>
      </c>
      <c r="AC42" t="s">
        <v>388</v>
      </c>
      <c r="AD42">
        <v>29</v>
      </c>
      <c r="AE42">
        <f t="shared" si="1"/>
        <v>87.306974197808145</v>
      </c>
      <c r="AF42">
        <f t="shared" si="8"/>
        <v>9</v>
      </c>
      <c r="AH42">
        <v>23</v>
      </c>
    </row>
    <row r="43" spans="1:34" x14ac:dyDescent="0.2">
      <c r="A43">
        <f t="shared" si="3"/>
        <v>9.75</v>
      </c>
      <c r="E43">
        <f t="shared" si="4"/>
        <v>9.75</v>
      </c>
      <c r="I43">
        <f t="shared" si="5"/>
        <v>9.75</v>
      </c>
      <c r="M43">
        <f t="shared" si="6"/>
        <v>9.75</v>
      </c>
      <c r="R43">
        <v>18.25</v>
      </c>
      <c r="S43" t="s">
        <v>29</v>
      </c>
      <c r="T43">
        <v>40</v>
      </c>
      <c r="U43">
        <f t="shared" si="0"/>
        <v>164.8151702626221</v>
      </c>
      <c r="V43">
        <f t="shared" si="7"/>
        <v>4</v>
      </c>
      <c r="W43">
        <v>18.25</v>
      </c>
      <c r="AB43">
        <v>23.5</v>
      </c>
      <c r="AC43" t="s">
        <v>30</v>
      </c>
      <c r="AD43">
        <v>41</v>
      </c>
      <c r="AE43">
        <f t="shared" si="1"/>
        <v>174.61573954711864</v>
      </c>
      <c r="AF43">
        <f t="shared" si="8"/>
        <v>12</v>
      </c>
      <c r="AH43">
        <v>23.5</v>
      </c>
    </row>
    <row r="44" spans="1:34" x14ac:dyDescent="0.2">
      <c r="A44">
        <f t="shared" si="3"/>
        <v>10</v>
      </c>
      <c r="B44" t="s">
        <v>481</v>
      </c>
      <c r="C44">
        <v>52</v>
      </c>
      <c r="D44">
        <f>16.35117682*1.059464^C44</f>
        <v>329.63372180082422</v>
      </c>
      <c r="E44">
        <f t="shared" si="4"/>
        <v>10</v>
      </c>
      <c r="I44">
        <f t="shared" si="5"/>
        <v>10</v>
      </c>
      <c r="J44" t="s">
        <v>168</v>
      </c>
      <c r="K44">
        <v>44</v>
      </c>
      <c r="L44">
        <f>16.35117682*1.059464^K44</f>
        <v>207.65481237683719</v>
      </c>
      <c r="M44">
        <f t="shared" si="6"/>
        <v>10</v>
      </c>
      <c r="N44" t="s">
        <v>324</v>
      </c>
      <c r="O44">
        <v>47</v>
      </c>
      <c r="P44">
        <f>16.35117682*1.059464^O44</f>
        <v>246.94521361646048</v>
      </c>
      <c r="R44">
        <v>18.75</v>
      </c>
      <c r="S44" t="s">
        <v>27</v>
      </c>
      <c r="T44">
        <v>36</v>
      </c>
      <c r="U44">
        <f t="shared" si="0"/>
        <v>130.81344004395982</v>
      </c>
      <c r="V44">
        <f t="shared" si="7"/>
        <v>4</v>
      </c>
      <c r="W44">
        <v>18.75</v>
      </c>
      <c r="AB44">
        <v>24</v>
      </c>
      <c r="AC44" t="s">
        <v>45</v>
      </c>
      <c r="AD44">
        <v>31</v>
      </c>
      <c r="AE44">
        <f t="shared" si="1"/>
        <v>97.998932630681253</v>
      </c>
      <c r="AF44">
        <f t="shared" si="8"/>
        <v>10</v>
      </c>
      <c r="AH44">
        <v>24</v>
      </c>
    </row>
    <row r="45" spans="1:34" x14ac:dyDescent="0.2">
      <c r="A45">
        <f t="shared" si="3"/>
        <v>10.25</v>
      </c>
      <c r="B45" t="s">
        <v>482</v>
      </c>
      <c r="C45">
        <v>53</v>
      </c>
      <c r="D45">
        <f>16.35117682*1.059464^C45</f>
        <v>349.23506143398839</v>
      </c>
      <c r="E45">
        <f t="shared" si="4"/>
        <v>10.25</v>
      </c>
      <c r="I45">
        <f t="shared" si="5"/>
        <v>10.25</v>
      </c>
      <c r="M45">
        <f t="shared" si="6"/>
        <v>10.25</v>
      </c>
      <c r="R45">
        <v>19</v>
      </c>
      <c r="S45" t="s">
        <v>29</v>
      </c>
      <c r="T45">
        <v>40</v>
      </c>
      <c r="U45">
        <f t="shared" si="0"/>
        <v>164.8151702626221</v>
      </c>
      <c r="V45">
        <f t="shared" si="7"/>
        <v>4</v>
      </c>
      <c r="W45">
        <v>19</v>
      </c>
      <c r="AB45">
        <v>24.25</v>
      </c>
      <c r="AC45" t="s">
        <v>414</v>
      </c>
      <c r="AD45">
        <v>33</v>
      </c>
      <c r="AE45">
        <f t="shared" si="1"/>
        <v>110.00027071140791</v>
      </c>
      <c r="AF45">
        <f t="shared" si="8"/>
        <v>2</v>
      </c>
      <c r="AH45">
        <v>24.25</v>
      </c>
    </row>
    <row r="46" spans="1:34" x14ac:dyDescent="0.2">
      <c r="A46">
        <f t="shared" si="3"/>
        <v>10.5</v>
      </c>
      <c r="E46">
        <f t="shared" si="4"/>
        <v>10.5</v>
      </c>
      <c r="I46">
        <f t="shared" si="5"/>
        <v>10.5</v>
      </c>
      <c r="J46" t="s">
        <v>44</v>
      </c>
      <c r="K46">
        <v>43</v>
      </c>
      <c r="L46">
        <f>16.35117682*1.059464^K46</f>
        <v>195.99987576438383</v>
      </c>
      <c r="M46">
        <f t="shared" si="6"/>
        <v>10.5</v>
      </c>
      <c r="N46" t="s">
        <v>325</v>
      </c>
      <c r="O46">
        <v>46</v>
      </c>
      <c r="P46">
        <f>16.35117682*1.059464^O46</f>
        <v>233.08504452861115</v>
      </c>
      <c r="R46">
        <v>19.5</v>
      </c>
      <c r="S46" t="s">
        <v>27</v>
      </c>
      <c r="T46">
        <v>36</v>
      </c>
      <c r="U46">
        <f t="shared" si="0"/>
        <v>130.81344004395982</v>
      </c>
      <c r="V46">
        <f t="shared" si="7"/>
        <v>4</v>
      </c>
      <c r="W46">
        <v>19.5</v>
      </c>
      <c r="AB46">
        <v>24.75</v>
      </c>
      <c r="AC46" t="s">
        <v>27</v>
      </c>
      <c r="AD46">
        <v>36</v>
      </c>
      <c r="AE46">
        <f t="shared" si="1"/>
        <v>130.81344004395982</v>
      </c>
      <c r="AF46">
        <f t="shared" si="8"/>
        <v>3</v>
      </c>
      <c r="AH46">
        <v>24.75</v>
      </c>
    </row>
    <row r="47" spans="1:34" x14ac:dyDescent="0.2">
      <c r="A47">
        <f t="shared" si="3"/>
        <v>10.75</v>
      </c>
      <c r="B47" t="s">
        <v>481</v>
      </c>
      <c r="C47">
        <v>52</v>
      </c>
      <c r="D47">
        <f>16.35117682*1.059464^C47</f>
        <v>329.63372180082422</v>
      </c>
      <c r="E47">
        <f t="shared" si="4"/>
        <v>10.75</v>
      </c>
      <c r="I47">
        <f t="shared" si="5"/>
        <v>10.75</v>
      </c>
      <c r="M47">
        <f t="shared" si="6"/>
        <v>10.75</v>
      </c>
      <c r="R47">
        <v>20</v>
      </c>
      <c r="S47" t="s">
        <v>414</v>
      </c>
      <c r="T47">
        <v>33</v>
      </c>
      <c r="U47">
        <f t="shared" si="0"/>
        <v>110.00027071140791</v>
      </c>
      <c r="V47">
        <f t="shared" si="7"/>
        <v>3</v>
      </c>
      <c r="W47">
        <v>20</v>
      </c>
      <c r="AB47">
        <v>26</v>
      </c>
      <c r="AC47" t="s">
        <v>44</v>
      </c>
      <c r="AD47">
        <v>43</v>
      </c>
      <c r="AE47">
        <f t="shared" si="1"/>
        <v>195.99987576438383</v>
      </c>
      <c r="AF47">
        <f t="shared" si="8"/>
        <v>7</v>
      </c>
      <c r="AH47">
        <v>26</v>
      </c>
    </row>
    <row r="48" spans="1:34" x14ac:dyDescent="0.2">
      <c r="A48">
        <f t="shared" si="3"/>
        <v>11</v>
      </c>
      <c r="B48" t="s">
        <v>479</v>
      </c>
      <c r="C48">
        <v>48</v>
      </c>
      <c r="D48">
        <f>16.35117682*1.059464^C48</f>
        <v>261.62956379894968</v>
      </c>
      <c r="E48">
        <f t="shared" si="4"/>
        <v>11</v>
      </c>
      <c r="I48">
        <f t="shared" si="5"/>
        <v>11</v>
      </c>
      <c r="J48" t="s">
        <v>169</v>
      </c>
      <c r="K48">
        <v>42</v>
      </c>
      <c r="L48">
        <f>16.35117682*1.059464^K48</f>
        <v>184.99908988354849</v>
      </c>
      <c r="M48">
        <f t="shared" si="6"/>
        <v>11</v>
      </c>
      <c r="N48" t="s">
        <v>326</v>
      </c>
      <c r="O48">
        <v>45</v>
      </c>
      <c r="P48">
        <f>16.35117682*1.059464^O48</f>
        <v>220.00279814001337</v>
      </c>
      <c r="R48">
        <v>20.25</v>
      </c>
      <c r="S48" t="s">
        <v>27</v>
      </c>
      <c r="T48">
        <v>36</v>
      </c>
      <c r="U48">
        <f t="shared" si="0"/>
        <v>130.81344004395982</v>
      </c>
      <c r="V48">
        <f t="shared" si="7"/>
        <v>3</v>
      </c>
      <c r="W48">
        <v>20.25</v>
      </c>
      <c r="AB48">
        <v>26.25</v>
      </c>
      <c r="AC48" t="s">
        <v>46</v>
      </c>
      <c r="AD48">
        <v>45</v>
      </c>
      <c r="AE48">
        <f t="shared" si="1"/>
        <v>220.00279814001337</v>
      </c>
      <c r="AF48">
        <f t="shared" si="8"/>
        <v>2</v>
      </c>
      <c r="AH48">
        <v>26.25</v>
      </c>
    </row>
    <row r="49" spans="1:48" x14ac:dyDescent="0.2">
      <c r="A49">
        <f t="shared" si="3"/>
        <v>11.25</v>
      </c>
      <c r="E49">
        <f t="shared" si="4"/>
        <v>11.25</v>
      </c>
      <c r="I49">
        <f t="shared" si="5"/>
        <v>11.25</v>
      </c>
      <c r="M49">
        <f t="shared" si="6"/>
        <v>11.25</v>
      </c>
      <c r="R49">
        <v>20.75</v>
      </c>
      <c r="S49" t="s">
        <v>414</v>
      </c>
      <c r="T49">
        <v>33</v>
      </c>
      <c r="U49">
        <f t="shared" si="0"/>
        <v>110.00027071140791</v>
      </c>
      <c r="V49">
        <f t="shared" si="7"/>
        <v>3</v>
      </c>
      <c r="W49">
        <v>20.75</v>
      </c>
      <c r="AB49">
        <v>26.75</v>
      </c>
      <c r="AC49" t="s">
        <v>479</v>
      </c>
      <c r="AD49">
        <v>48</v>
      </c>
      <c r="AE49">
        <f t="shared" si="1"/>
        <v>261.62956379894968</v>
      </c>
      <c r="AF49">
        <f t="shared" si="8"/>
        <v>3</v>
      </c>
      <c r="AH49">
        <v>26.75</v>
      </c>
    </row>
    <row r="50" spans="1:48" x14ac:dyDescent="0.2">
      <c r="A50">
        <f t="shared" si="3"/>
        <v>11.5</v>
      </c>
      <c r="E50">
        <f t="shared" si="4"/>
        <v>11.5</v>
      </c>
      <c r="I50">
        <f t="shared" si="5"/>
        <v>11.5</v>
      </c>
      <c r="J50" t="s">
        <v>30</v>
      </c>
      <c r="K50">
        <v>41</v>
      </c>
      <c r="L50">
        <f>16.35117682*1.059464^K50</f>
        <v>174.61573954711864</v>
      </c>
      <c r="M50">
        <f t="shared" si="6"/>
        <v>11.5</v>
      </c>
      <c r="N50" t="s">
        <v>327</v>
      </c>
      <c r="O50">
        <v>44</v>
      </c>
      <c r="P50">
        <f>16.35117682*1.059464^O50</f>
        <v>207.65481237683719</v>
      </c>
      <c r="R50">
        <v>21</v>
      </c>
      <c r="S50" t="s">
        <v>27</v>
      </c>
      <c r="T50">
        <v>36</v>
      </c>
      <c r="U50">
        <f t="shared" si="0"/>
        <v>130.81344004395982</v>
      </c>
      <c r="V50">
        <f t="shared" si="7"/>
        <v>3</v>
      </c>
      <c r="W50">
        <v>21</v>
      </c>
      <c r="AB50">
        <v>28</v>
      </c>
      <c r="AC50" t="s">
        <v>243</v>
      </c>
      <c r="AD50">
        <v>57</v>
      </c>
      <c r="AE50">
        <f t="shared" si="1"/>
        <v>440.01010976071973</v>
      </c>
      <c r="AF50">
        <f t="shared" si="8"/>
        <v>9</v>
      </c>
      <c r="AH50">
        <v>28</v>
      </c>
    </row>
    <row r="51" spans="1:48" x14ac:dyDescent="0.2">
      <c r="A51">
        <f t="shared" si="3"/>
        <v>11.75</v>
      </c>
      <c r="E51">
        <f t="shared" si="4"/>
        <v>11.75</v>
      </c>
      <c r="I51">
        <f t="shared" si="5"/>
        <v>11.75</v>
      </c>
      <c r="M51">
        <f t="shared" si="6"/>
        <v>11.75</v>
      </c>
      <c r="R51">
        <v>21.5</v>
      </c>
      <c r="S51" t="s">
        <v>414</v>
      </c>
      <c r="T51">
        <v>33</v>
      </c>
      <c r="U51">
        <f t="shared" si="0"/>
        <v>110.00027071140791</v>
      </c>
      <c r="V51">
        <f t="shared" si="7"/>
        <v>3</v>
      </c>
      <c r="W51">
        <v>21.5</v>
      </c>
      <c r="AB51">
        <v>28.25</v>
      </c>
      <c r="AC51" t="s">
        <v>240</v>
      </c>
      <c r="AD51">
        <v>60</v>
      </c>
      <c r="AE51">
        <f t="shared" si="1"/>
        <v>523.26449507501752</v>
      </c>
      <c r="AF51">
        <f t="shared" si="8"/>
        <v>3</v>
      </c>
      <c r="AH51">
        <v>28.25</v>
      </c>
    </row>
    <row r="52" spans="1:48" x14ac:dyDescent="0.2">
      <c r="A52">
        <f t="shared" si="3"/>
        <v>12</v>
      </c>
      <c r="B52" t="s">
        <v>479</v>
      </c>
      <c r="C52">
        <v>48</v>
      </c>
      <c r="D52">
        <f>16.35117682*1.059464^C52</f>
        <v>261.62956379894968</v>
      </c>
      <c r="E52">
        <f t="shared" si="4"/>
        <v>12</v>
      </c>
      <c r="I52">
        <f t="shared" si="5"/>
        <v>12</v>
      </c>
      <c r="J52" t="s">
        <v>29</v>
      </c>
      <c r="K52">
        <v>40</v>
      </c>
      <c r="L52">
        <f>16.35117682*1.059464^K52</f>
        <v>164.8151702626221</v>
      </c>
      <c r="M52">
        <f t="shared" si="6"/>
        <v>12</v>
      </c>
      <c r="N52" t="s">
        <v>328</v>
      </c>
      <c r="O52">
        <v>43</v>
      </c>
      <c r="P52">
        <f>16.35117682*1.059464^O52</f>
        <v>195.99987576438383</v>
      </c>
      <c r="R52">
        <v>21.75</v>
      </c>
      <c r="S52" t="s">
        <v>27</v>
      </c>
      <c r="T52">
        <v>36</v>
      </c>
      <c r="U52">
        <f t="shared" si="0"/>
        <v>130.81344004395982</v>
      </c>
      <c r="V52">
        <f t="shared" si="7"/>
        <v>3</v>
      </c>
      <c r="W52">
        <v>21.75</v>
      </c>
      <c r="AB52">
        <v>28.75</v>
      </c>
      <c r="AC52" t="s">
        <v>242</v>
      </c>
      <c r="AD52">
        <v>62</v>
      </c>
      <c r="AE52">
        <f t="shared" si="1"/>
        <v>587.34554108704231</v>
      </c>
      <c r="AF52">
        <f t="shared" si="8"/>
        <v>2</v>
      </c>
      <c r="AH52">
        <v>28.75</v>
      </c>
    </row>
    <row r="53" spans="1:48" x14ac:dyDescent="0.2">
      <c r="A53">
        <f t="shared" si="3"/>
        <v>12.25</v>
      </c>
      <c r="B53" t="s">
        <v>480</v>
      </c>
      <c r="C53">
        <v>50</v>
      </c>
      <c r="D53">
        <f>16.35117682*1.059464^C53</f>
        <v>293.66975814369101</v>
      </c>
      <c r="E53">
        <f t="shared" si="4"/>
        <v>12.25</v>
      </c>
      <c r="I53">
        <f t="shared" si="5"/>
        <v>12.25</v>
      </c>
      <c r="M53">
        <f t="shared" si="6"/>
        <v>12.25</v>
      </c>
      <c r="R53">
        <v>22</v>
      </c>
      <c r="S53" t="s">
        <v>414</v>
      </c>
      <c r="T53">
        <v>33</v>
      </c>
      <c r="U53">
        <f t="shared" si="0"/>
        <v>110.00027071140791</v>
      </c>
      <c r="V53">
        <f t="shared" si="7"/>
        <v>3</v>
      </c>
      <c r="W53">
        <v>22</v>
      </c>
      <c r="AB53">
        <v>29.5</v>
      </c>
      <c r="AC53" t="s">
        <v>242</v>
      </c>
      <c r="AD53">
        <v>62</v>
      </c>
      <c r="AE53">
        <f t="shared" si="1"/>
        <v>587.34554108704231</v>
      </c>
      <c r="AF53">
        <f t="shared" si="8"/>
        <v>0</v>
      </c>
      <c r="AH53">
        <v>29.5</v>
      </c>
      <c r="AI53" t="s">
        <v>246</v>
      </c>
      <c r="AJ53">
        <v>65</v>
      </c>
      <c r="AK53">
        <f>16.35117682*1.059464^AJ53</f>
        <v>698.47728762097279</v>
      </c>
      <c r="AL53">
        <f>ABS(AJ53-AD52)</f>
        <v>3</v>
      </c>
    </row>
    <row r="54" spans="1:48" x14ac:dyDescent="0.2">
      <c r="A54">
        <f t="shared" si="3"/>
        <v>12.5</v>
      </c>
      <c r="E54">
        <f t="shared" si="4"/>
        <v>12.5</v>
      </c>
      <c r="I54">
        <f t="shared" si="5"/>
        <v>12.5</v>
      </c>
      <c r="J54" t="s">
        <v>170</v>
      </c>
      <c r="K54">
        <v>39</v>
      </c>
      <c r="L54">
        <f>16.35117682*1.059464^K54</f>
        <v>155.56467257275574</v>
      </c>
      <c r="M54">
        <f t="shared" si="6"/>
        <v>12.5</v>
      </c>
      <c r="N54" t="s">
        <v>329</v>
      </c>
      <c r="O54">
        <v>42</v>
      </c>
      <c r="P54">
        <f>16.35117682*1.059464^O54</f>
        <v>184.99908988354849</v>
      </c>
      <c r="R54">
        <v>25</v>
      </c>
      <c r="S54" t="s">
        <v>28</v>
      </c>
      <c r="T54">
        <v>38</v>
      </c>
      <c r="U54">
        <f t="shared" si="0"/>
        <v>146.83337288738056</v>
      </c>
      <c r="V54">
        <f t="shared" si="7"/>
        <v>5</v>
      </c>
      <c r="W54">
        <v>25</v>
      </c>
      <c r="AB54">
        <v>30</v>
      </c>
      <c r="AC54" t="s">
        <v>240</v>
      </c>
      <c r="AD54">
        <v>60</v>
      </c>
      <c r="AE54">
        <f t="shared" si="1"/>
        <v>523.26449507501752</v>
      </c>
      <c r="AF54">
        <f t="shared" si="8"/>
        <v>2</v>
      </c>
      <c r="AH54">
        <v>30</v>
      </c>
      <c r="AI54" t="s">
        <v>255</v>
      </c>
      <c r="AJ54">
        <v>64</v>
      </c>
      <c r="AK54">
        <f>16.35117682*1.059464^AJ54</f>
        <v>659.27420622217721</v>
      </c>
      <c r="AL54">
        <f>ABS(AJ54-AJ53)</f>
        <v>1</v>
      </c>
    </row>
    <row r="55" spans="1:48" x14ac:dyDescent="0.2">
      <c r="A55">
        <f t="shared" si="3"/>
        <v>12.75</v>
      </c>
      <c r="B55" t="s">
        <v>479</v>
      </c>
      <c r="C55">
        <v>48</v>
      </c>
      <c r="D55">
        <f>16.35117682*1.059464^C55</f>
        <v>261.62956379894968</v>
      </c>
      <c r="E55">
        <f t="shared" si="4"/>
        <v>12.75</v>
      </c>
      <c r="I55">
        <f t="shared" si="5"/>
        <v>12.75</v>
      </c>
      <c r="M55">
        <f t="shared" si="6"/>
        <v>12.75</v>
      </c>
      <c r="R55">
        <v>25.5</v>
      </c>
      <c r="S55" t="s">
        <v>29</v>
      </c>
      <c r="T55">
        <v>40</v>
      </c>
      <c r="U55">
        <f t="shared" si="0"/>
        <v>164.8151702626221</v>
      </c>
      <c r="V55">
        <f t="shared" si="7"/>
        <v>2</v>
      </c>
      <c r="W55">
        <v>25.5</v>
      </c>
      <c r="AB55">
        <v>31.5</v>
      </c>
      <c r="AC55" t="s">
        <v>479</v>
      </c>
      <c r="AD55">
        <v>48</v>
      </c>
      <c r="AE55">
        <f t="shared" si="1"/>
        <v>261.62956379894968</v>
      </c>
      <c r="AF55">
        <f t="shared" si="8"/>
        <v>12</v>
      </c>
      <c r="AH55">
        <v>31.5</v>
      </c>
    </row>
    <row r="56" spans="1:48" x14ac:dyDescent="0.2">
      <c r="A56">
        <f t="shared" si="3"/>
        <v>13</v>
      </c>
      <c r="B56" t="s">
        <v>44</v>
      </c>
      <c r="C56">
        <v>43</v>
      </c>
      <c r="D56">
        <f>16.35117682*1.059464^C56</f>
        <v>195.99987576438383</v>
      </c>
      <c r="E56">
        <f t="shared" si="4"/>
        <v>13</v>
      </c>
      <c r="I56">
        <f t="shared" si="5"/>
        <v>13</v>
      </c>
      <c r="J56" t="s">
        <v>28</v>
      </c>
      <c r="K56">
        <v>38</v>
      </c>
      <c r="L56">
        <f>16.35117682*1.059464^K56</f>
        <v>146.83337288738056</v>
      </c>
      <c r="M56">
        <f t="shared" si="6"/>
        <v>13</v>
      </c>
      <c r="N56" t="s">
        <v>330</v>
      </c>
      <c r="O56">
        <v>41</v>
      </c>
      <c r="P56">
        <f>16.35117682*1.059464^O56</f>
        <v>174.61573954711864</v>
      </c>
      <c r="R56">
        <v>27</v>
      </c>
      <c r="S56" t="s">
        <v>480</v>
      </c>
      <c r="T56">
        <v>50</v>
      </c>
      <c r="U56">
        <f t="shared" si="0"/>
        <v>293.66975814369101</v>
      </c>
      <c r="V56">
        <f t="shared" si="7"/>
        <v>10</v>
      </c>
      <c r="W56">
        <v>27</v>
      </c>
      <c r="AB56">
        <v>33.5</v>
      </c>
      <c r="AC56" t="s">
        <v>480</v>
      </c>
      <c r="AD56">
        <v>50</v>
      </c>
      <c r="AE56">
        <f t="shared" si="1"/>
        <v>293.66975814369101</v>
      </c>
      <c r="AF56">
        <f t="shared" si="8"/>
        <v>2</v>
      </c>
      <c r="AH56">
        <v>33.5</v>
      </c>
    </row>
    <row r="57" spans="1:48" x14ac:dyDescent="0.2">
      <c r="A57">
        <f t="shared" si="3"/>
        <v>13.25</v>
      </c>
      <c r="E57">
        <f t="shared" si="4"/>
        <v>13.25</v>
      </c>
      <c r="I57">
        <f t="shared" si="5"/>
        <v>13.25</v>
      </c>
      <c r="M57">
        <f t="shared" si="6"/>
        <v>13.25</v>
      </c>
      <c r="R57">
        <v>27.5</v>
      </c>
      <c r="S57" t="s">
        <v>481</v>
      </c>
      <c r="T57">
        <v>52</v>
      </c>
      <c r="U57">
        <f t="shared" si="0"/>
        <v>329.63372180082422</v>
      </c>
      <c r="V57">
        <f t="shared" si="7"/>
        <v>2</v>
      </c>
      <c r="W57">
        <v>27.5</v>
      </c>
      <c r="AB57">
        <v>35.5</v>
      </c>
      <c r="AC57" t="s">
        <v>480</v>
      </c>
      <c r="AD57">
        <v>50</v>
      </c>
      <c r="AE57">
        <f t="shared" si="1"/>
        <v>293.66975814369101</v>
      </c>
      <c r="AF57">
        <f t="shared" si="8"/>
        <v>0</v>
      </c>
      <c r="AH57">
        <v>35.5</v>
      </c>
      <c r="AI57" t="s">
        <v>482</v>
      </c>
      <c r="AJ57">
        <v>53</v>
      </c>
      <c r="AK57">
        <f>16.35117682*1.059464^AJ57</f>
        <v>349.23506143398839</v>
      </c>
      <c r="AL57">
        <f>ABS(AJ57-AD56)</f>
        <v>3</v>
      </c>
    </row>
    <row r="58" spans="1:48" x14ac:dyDescent="0.2">
      <c r="A58">
        <f t="shared" si="3"/>
        <v>13.5</v>
      </c>
      <c r="B58" t="s">
        <v>44</v>
      </c>
      <c r="C58">
        <v>43</v>
      </c>
      <c r="D58">
        <f>16.35117682*1.059464^C58</f>
        <v>195.99987576438383</v>
      </c>
      <c r="E58">
        <f t="shared" si="4"/>
        <v>13.5</v>
      </c>
      <c r="I58">
        <f t="shared" si="5"/>
        <v>13.5</v>
      </c>
      <c r="J58" t="s">
        <v>387</v>
      </c>
      <c r="K58">
        <v>37</v>
      </c>
      <c r="L58">
        <f>16.35117682*1.059464^K58</f>
        <v>138.5921304427338</v>
      </c>
      <c r="M58">
        <f t="shared" si="6"/>
        <v>13.5</v>
      </c>
      <c r="N58" t="s">
        <v>331</v>
      </c>
      <c r="O58">
        <v>42</v>
      </c>
      <c r="P58">
        <f>16.35117682*1.059464^O58</f>
        <v>184.99908988354849</v>
      </c>
      <c r="R58">
        <v>27.75</v>
      </c>
      <c r="S58" t="s">
        <v>239</v>
      </c>
      <c r="T58">
        <v>55</v>
      </c>
      <c r="U58">
        <f t="shared" si="0"/>
        <v>392.00377257605692</v>
      </c>
      <c r="V58">
        <f t="shared" si="7"/>
        <v>3</v>
      </c>
      <c r="W58">
        <v>27.75</v>
      </c>
      <c r="AB58">
        <v>41.5</v>
      </c>
      <c r="AC58" t="s">
        <v>47</v>
      </c>
      <c r="AD58">
        <v>47</v>
      </c>
      <c r="AE58">
        <f t="shared" si="1"/>
        <v>246.94521361646048</v>
      </c>
      <c r="AF58">
        <f t="shared" si="8"/>
        <v>3</v>
      </c>
      <c r="AH58">
        <v>41.5</v>
      </c>
    </row>
    <row r="59" spans="1:48" x14ac:dyDescent="0.2">
      <c r="A59">
        <f t="shared" si="3"/>
        <v>13.75</v>
      </c>
      <c r="B59" t="s">
        <v>47</v>
      </c>
      <c r="C59">
        <v>47</v>
      </c>
      <c r="D59">
        <f>16.35117682*1.059464^C59</f>
        <v>246.94521361646048</v>
      </c>
      <c r="E59">
        <f t="shared" si="4"/>
        <v>13.75</v>
      </c>
      <c r="I59">
        <f t="shared" si="5"/>
        <v>13.75</v>
      </c>
      <c r="M59">
        <f t="shared" si="6"/>
        <v>13.75</v>
      </c>
      <c r="R59">
        <v>29</v>
      </c>
      <c r="S59" t="s">
        <v>255</v>
      </c>
      <c r="T59">
        <v>64</v>
      </c>
      <c r="U59">
        <f t="shared" si="0"/>
        <v>659.27420622217721</v>
      </c>
      <c r="V59">
        <f t="shared" si="7"/>
        <v>9</v>
      </c>
      <c r="W59">
        <v>29</v>
      </c>
      <c r="AB59">
        <v>42</v>
      </c>
      <c r="AC59" t="s">
        <v>479</v>
      </c>
      <c r="AD59">
        <v>48</v>
      </c>
      <c r="AE59">
        <f t="shared" si="1"/>
        <v>261.62956379894968</v>
      </c>
      <c r="AF59">
        <f t="shared" si="8"/>
        <v>1</v>
      </c>
      <c r="AH59">
        <v>42</v>
      </c>
    </row>
    <row r="60" spans="1:48" x14ac:dyDescent="0.2">
      <c r="A60">
        <f t="shared" si="3"/>
        <v>14</v>
      </c>
      <c r="B60" t="s">
        <v>44</v>
      </c>
      <c r="C60">
        <v>43</v>
      </c>
      <c r="D60">
        <f>16.35117682*1.059464^C60</f>
        <v>195.99987576438383</v>
      </c>
      <c r="E60">
        <f t="shared" si="4"/>
        <v>14</v>
      </c>
      <c r="I60">
        <f t="shared" si="5"/>
        <v>14</v>
      </c>
      <c r="J60" t="s">
        <v>35</v>
      </c>
      <c r="K60">
        <v>38</v>
      </c>
      <c r="L60">
        <f>16.35117682*1.059464^K60</f>
        <v>146.83337288738056</v>
      </c>
      <c r="M60">
        <f t="shared" si="6"/>
        <v>14</v>
      </c>
      <c r="N60" t="s">
        <v>330</v>
      </c>
      <c r="O60">
        <v>41</v>
      </c>
      <c r="P60">
        <f>16.35117682*1.059464^O60</f>
        <v>174.61573954711864</v>
      </c>
      <c r="R60">
        <v>29.5</v>
      </c>
      <c r="S60" t="s">
        <v>245</v>
      </c>
      <c r="T60">
        <v>67</v>
      </c>
      <c r="U60">
        <f t="shared" si="0"/>
        <v>784.01558732918636</v>
      </c>
      <c r="V60">
        <f t="shared" si="7"/>
        <v>3</v>
      </c>
      <c r="W60">
        <v>29.5</v>
      </c>
      <c r="AB60">
        <v>43.5</v>
      </c>
      <c r="AC60" t="s">
        <v>487</v>
      </c>
      <c r="AD60">
        <v>45</v>
      </c>
      <c r="AE60">
        <f t="shared" si="1"/>
        <v>220.00279814001337</v>
      </c>
      <c r="AF60">
        <f t="shared" si="8"/>
        <v>3</v>
      </c>
      <c r="AH60">
        <v>43.5</v>
      </c>
    </row>
    <row r="61" spans="1:48" x14ac:dyDescent="0.2">
      <c r="A61">
        <f t="shared" si="3"/>
        <v>14.25</v>
      </c>
      <c r="E61">
        <f t="shared" si="4"/>
        <v>14.25</v>
      </c>
      <c r="I61">
        <f t="shared" si="5"/>
        <v>14.25</v>
      </c>
      <c r="M61">
        <f t="shared" si="6"/>
        <v>14.25</v>
      </c>
      <c r="R61">
        <v>29.75</v>
      </c>
      <c r="S61" t="s">
        <v>256</v>
      </c>
      <c r="T61">
        <v>69</v>
      </c>
      <c r="U61">
        <f t="shared" si="0"/>
        <v>880.02924657542201</v>
      </c>
      <c r="V61">
        <f t="shared" si="7"/>
        <v>2</v>
      </c>
      <c r="W61">
        <v>29.75</v>
      </c>
      <c r="AB61">
        <v>44</v>
      </c>
      <c r="AC61" t="s">
        <v>318</v>
      </c>
      <c r="AD61">
        <v>41</v>
      </c>
      <c r="AE61">
        <f t="shared" si="1"/>
        <v>174.61573954711864</v>
      </c>
      <c r="AF61">
        <f t="shared" si="8"/>
        <v>4</v>
      </c>
      <c r="AH61">
        <v>44</v>
      </c>
    </row>
    <row r="62" spans="1:48" x14ac:dyDescent="0.2">
      <c r="A62">
        <f t="shared" si="3"/>
        <v>14.5</v>
      </c>
      <c r="E62">
        <f t="shared" si="4"/>
        <v>14.5</v>
      </c>
      <c r="I62">
        <f t="shared" si="5"/>
        <v>14.5</v>
      </c>
      <c r="J62" t="s">
        <v>45</v>
      </c>
      <c r="K62">
        <v>31</v>
      </c>
      <c r="L62">
        <f>16.35117682*1.059464^K62</f>
        <v>97.998932630681253</v>
      </c>
      <c r="M62">
        <f t="shared" si="6"/>
        <v>14.5</v>
      </c>
      <c r="R62">
        <v>30</v>
      </c>
      <c r="S62" t="s">
        <v>410</v>
      </c>
      <c r="T62">
        <v>72</v>
      </c>
      <c r="U62">
        <f t="shared" si="0"/>
        <v>1046.5397252143878</v>
      </c>
      <c r="V62">
        <f t="shared" si="7"/>
        <v>3</v>
      </c>
      <c r="W62">
        <v>30</v>
      </c>
      <c r="X62" t="s">
        <v>245</v>
      </c>
      <c r="Y62">
        <v>67</v>
      </c>
      <c r="Z62">
        <f>16.35117682*1.059464^Y62</f>
        <v>784.01558732918636</v>
      </c>
      <c r="AA62">
        <f>ABS(Y62-T61)</f>
        <v>2</v>
      </c>
      <c r="AB62">
        <v>45.5</v>
      </c>
      <c r="AC62" t="s">
        <v>82</v>
      </c>
      <c r="AD62">
        <v>38</v>
      </c>
      <c r="AE62">
        <f t="shared" si="1"/>
        <v>146.83337288738056</v>
      </c>
      <c r="AF62">
        <f t="shared" si="8"/>
        <v>3</v>
      </c>
      <c r="AH62">
        <v>45.5</v>
      </c>
    </row>
    <row r="63" spans="1:48" x14ac:dyDescent="0.2">
      <c r="A63">
        <f t="shared" si="3"/>
        <v>14.75</v>
      </c>
      <c r="E63">
        <f t="shared" si="4"/>
        <v>14.75</v>
      </c>
      <c r="I63">
        <f t="shared" si="5"/>
        <v>14.75</v>
      </c>
      <c r="M63">
        <f t="shared" si="6"/>
        <v>14.75</v>
      </c>
      <c r="R63">
        <v>32</v>
      </c>
      <c r="S63" t="s">
        <v>411</v>
      </c>
      <c r="T63">
        <v>58</v>
      </c>
      <c r="U63">
        <f t="shared" si="0"/>
        <v>466.17487092753117</v>
      </c>
      <c r="V63">
        <f t="shared" si="7"/>
        <v>14</v>
      </c>
      <c r="W63">
        <v>32</v>
      </c>
      <c r="AB63">
        <v>46</v>
      </c>
      <c r="AC63" t="s">
        <v>333</v>
      </c>
      <c r="AD63">
        <v>40</v>
      </c>
      <c r="AE63">
        <f t="shared" si="1"/>
        <v>164.8151702626221</v>
      </c>
      <c r="AF63">
        <f t="shared" si="8"/>
        <v>2</v>
      </c>
      <c r="AH63">
        <v>46</v>
      </c>
    </row>
    <row r="64" spans="1:48" x14ac:dyDescent="0.2">
      <c r="A64">
        <f t="shared" si="3"/>
        <v>15</v>
      </c>
      <c r="E64">
        <f t="shared" si="4"/>
        <v>15</v>
      </c>
      <c r="I64">
        <f t="shared" si="5"/>
        <v>15</v>
      </c>
      <c r="J64" t="s">
        <v>36</v>
      </c>
      <c r="K64">
        <v>37</v>
      </c>
      <c r="L64">
        <f>16.35117682*1.059464^K64</f>
        <v>138.5921304427338</v>
      </c>
      <c r="M64">
        <f t="shared" si="6"/>
        <v>15</v>
      </c>
      <c r="N64" t="s">
        <v>330</v>
      </c>
      <c r="O64">
        <v>41</v>
      </c>
      <c r="P64">
        <f>16.35117682*1.059464^O64</f>
        <v>174.61573954711864</v>
      </c>
      <c r="R64">
        <v>34</v>
      </c>
      <c r="S64" t="s">
        <v>411</v>
      </c>
      <c r="T64">
        <v>58</v>
      </c>
      <c r="U64">
        <f t="shared" si="0"/>
        <v>466.17487092753117</v>
      </c>
      <c r="V64">
        <f t="shared" si="7"/>
        <v>0</v>
      </c>
      <c r="W64">
        <v>34</v>
      </c>
      <c r="AB64">
        <v>47</v>
      </c>
      <c r="AC64" t="s">
        <v>28</v>
      </c>
      <c r="AD64">
        <v>38</v>
      </c>
      <c r="AE64">
        <f t="shared" si="1"/>
        <v>146.83337288738056</v>
      </c>
      <c r="AF64">
        <f t="shared" si="8"/>
        <v>2</v>
      </c>
      <c r="AH64">
        <v>47</v>
      </c>
      <c r="AP64" s="2" t="s">
        <v>228</v>
      </c>
      <c r="AR64" s="2" t="s">
        <v>229</v>
      </c>
      <c r="AV64" s="2" t="s">
        <v>72</v>
      </c>
    </row>
    <row r="65" spans="1:243" x14ac:dyDescent="0.2">
      <c r="A65">
        <f t="shared" si="3"/>
        <v>15.25</v>
      </c>
      <c r="E65">
        <f t="shared" si="4"/>
        <v>15.25</v>
      </c>
      <c r="I65">
        <f t="shared" si="5"/>
        <v>15.25</v>
      </c>
      <c r="M65">
        <f t="shared" si="6"/>
        <v>15.25</v>
      </c>
      <c r="R65">
        <v>36</v>
      </c>
      <c r="S65" t="s">
        <v>411</v>
      </c>
      <c r="T65">
        <v>58</v>
      </c>
      <c r="U65">
        <f t="shared" si="0"/>
        <v>466.17487092753117</v>
      </c>
      <c r="V65">
        <f t="shared" si="7"/>
        <v>0</v>
      </c>
      <c r="W65">
        <v>36</v>
      </c>
      <c r="AB65">
        <v>47.5</v>
      </c>
      <c r="AC65" t="s">
        <v>47</v>
      </c>
      <c r="AD65">
        <v>47</v>
      </c>
      <c r="AE65">
        <f t="shared" si="1"/>
        <v>246.94521361646048</v>
      </c>
      <c r="AF65">
        <f t="shared" si="8"/>
        <v>9</v>
      </c>
      <c r="AH65">
        <v>47.5</v>
      </c>
      <c r="AP65">
        <v>0</v>
      </c>
      <c r="AQ65">
        <v>1130</v>
      </c>
      <c r="AR65" s="2" t="s">
        <v>232</v>
      </c>
      <c r="AS65">
        <v>0</v>
      </c>
      <c r="AT65">
        <f>-266.7*AS65+984.3</f>
        <v>984.3</v>
      </c>
      <c r="AV65">
        <v>0</v>
      </c>
      <c r="AW65">
        <f>AVERAGE(AQ65,AQ70)</f>
        <v>1226.5</v>
      </c>
    </row>
    <row r="66" spans="1:243" ht="14.25" x14ac:dyDescent="0.2">
      <c r="A66">
        <f t="shared" si="3"/>
        <v>15.5</v>
      </c>
      <c r="E66">
        <f t="shared" si="4"/>
        <v>15.5</v>
      </c>
      <c r="I66">
        <f t="shared" si="5"/>
        <v>15.5</v>
      </c>
      <c r="J66" t="s">
        <v>45</v>
      </c>
      <c r="K66">
        <v>31</v>
      </c>
      <c r="L66">
        <f>16.35117682*1.059464^K66</f>
        <v>97.998932630681253</v>
      </c>
      <c r="M66">
        <f t="shared" si="6"/>
        <v>15.5</v>
      </c>
      <c r="R66">
        <v>37.5</v>
      </c>
      <c r="S66" t="s">
        <v>239</v>
      </c>
      <c r="T66">
        <v>55</v>
      </c>
      <c r="U66">
        <f t="shared" si="0"/>
        <v>392.00377257605692</v>
      </c>
      <c r="V66">
        <f t="shared" si="7"/>
        <v>3</v>
      </c>
      <c r="W66">
        <v>37.5</v>
      </c>
      <c r="AB66">
        <v>48</v>
      </c>
      <c r="AC66" t="s">
        <v>488</v>
      </c>
      <c r="AD66">
        <v>36</v>
      </c>
      <c r="AE66">
        <f t="shared" si="1"/>
        <v>130.81344004395982</v>
      </c>
      <c r="AF66">
        <f t="shared" si="8"/>
        <v>11</v>
      </c>
      <c r="AH66">
        <v>48</v>
      </c>
      <c r="AP66">
        <v>1</v>
      </c>
      <c r="AQ66">
        <v>522</v>
      </c>
      <c r="AR66" s="2" t="s">
        <v>233</v>
      </c>
      <c r="AS66">
        <v>1</v>
      </c>
      <c r="AT66" s="2">
        <f>-266.7*AS66+984.3</f>
        <v>717.59999999999991</v>
      </c>
      <c r="AV66">
        <v>1</v>
      </c>
      <c r="AW66" s="2">
        <f>AVERAGE(AQ66,AQ71)</f>
        <v>497</v>
      </c>
    </row>
    <row r="67" spans="1:243" x14ac:dyDescent="0.2">
      <c r="A67">
        <f t="shared" si="3"/>
        <v>15.75</v>
      </c>
      <c r="E67">
        <f t="shared" si="4"/>
        <v>15.75</v>
      </c>
      <c r="I67">
        <f t="shared" si="5"/>
        <v>15.75</v>
      </c>
      <c r="M67">
        <f t="shared" si="6"/>
        <v>15.75</v>
      </c>
      <c r="R67">
        <v>38</v>
      </c>
      <c r="S67" t="s">
        <v>411</v>
      </c>
      <c r="T67">
        <v>58</v>
      </c>
      <c r="U67">
        <f t="shared" si="0"/>
        <v>466.17487092753117</v>
      </c>
      <c r="V67">
        <f t="shared" si="7"/>
        <v>3</v>
      </c>
      <c r="W67">
        <v>38</v>
      </c>
      <c r="X67" t="s">
        <v>239</v>
      </c>
      <c r="Y67">
        <v>55</v>
      </c>
      <c r="Z67">
        <f>16.35117682*1.059464^Y67</f>
        <v>392.00377257605692</v>
      </c>
      <c r="AA67">
        <f>ABS(Y67-T66)</f>
        <v>0</v>
      </c>
      <c r="AB67">
        <v>49.5</v>
      </c>
      <c r="AC67" t="s">
        <v>67</v>
      </c>
      <c r="AD67">
        <v>33</v>
      </c>
      <c r="AE67">
        <f t="shared" si="1"/>
        <v>110.00027071140791</v>
      </c>
      <c r="AF67">
        <f t="shared" si="8"/>
        <v>3</v>
      </c>
      <c r="AH67">
        <v>49.5</v>
      </c>
      <c r="AP67">
        <v>2</v>
      </c>
      <c r="AQ67">
        <v>405</v>
      </c>
      <c r="AS67">
        <v>2</v>
      </c>
      <c r="AT67" s="2">
        <f>-266.7*AS67+984.3</f>
        <v>450.9</v>
      </c>
      <c r="AV67">
        <v>2</v>
      </c>
      <c r="AW67" s="2">
        <f>AVERAGE(AQ67,AQ72)</f>
        <v>395</v>
      </c>
    </row>
    <row r="68" spans="1:243" x14ac:dyDescent="0.2">
      <c r="A68">
        <f t="shared" si="3"/>
        <v>16</v>
      </c>
      <c r="B68" t="s">
        <v>29</v>
      </c>
      <c r="C68">
        <v>40</v>
      </c>
      <c r="D68">
        <f>16.35117682*1.059464^C68</f>
        <v>164.8151702626221</v>
      </c>
      <c r="E68">
        <f t="shared" si="4"/>
        <v>16</v>
      </c>
      <c r="I68">
        <f t="shared" si="5"/>
        <v>16</v>
      </c>
      <c r="J68" t="s">
        <v>27</v>
      </c>
      <c r="K68">
        <v>36</v>
      </c>
      <c r="L68">
        <f>16.35117682*1.059464^K68</f>
        <v>130.81344004395982</v>
      </c>
      <c r="M68">
        <f t="shared" si="6"/>
        <v>16</v>
      </c>
      <c r="R68">
        <v>41.5</v>
      </c>
      <c r="S68" s="1" t="s">
        <v>244</v>
      </c>
      <c r="T68">
        <v>59</v>
      </c>
      <c r="U68">
        <f t="shared" ref="U68:U131" si="10">16.35117682*1.059464^T68</f>
        <v>493.89549345236594</v>
      </c>
      <c r="V68">
        <f t="shared" si="7"/>
        <v>1</v>
      </c>
      <c r="W68">
        <v>41.5</v>
      </c>
      <c r="AB68">
        <v>50</v>
      </c>
      <c r="AC68" t="s">
        <v>81</v>
      </c>
      <c r="AD68">
        <v>34</v>
      </c>
      <c r="AE68">
        <f t="shared" ref="AE68:AE131" si="11">16.35117682*1.059464^AD68</f>
        <v>116.54132680899107</v>
      </c>
      <c r="AF68">
        <f t="shared" si="8"/>
        <v>1</v>
      </c>
      <c r="AH68">
        <v>50</v>
      </c>
      <c r="AP68">
        <v>3</v>
      </c>
      <c r="AQ68">
        <v>280</v>
      </c>
      <c r="AS68">
        <v>3</v>
      </c>
      <c r="AT68" s="2">
        <f>-266.7*AS68+984.3</f>
        <v>184.20000000000005</v>
      </c>
      <c r="AV68">
        <v>3</v>
      </c>
      <c r="AW68" s="2">
        <f>AVERAGE(AQ68,AQ73)</f>
        <v>280</v>
      </c>
    </row>
    <row r="69" spans="1:243" x14ac:dyDescent="0.2">
      <c r="A69">
        <f t="shared" ref="A69:A132" si="12">A68+0.25</f>
        <v>16.25</v>
      </c>
      <c r="B69" t="s">
        <v>44</v>
      </c>
      <c r="C69">
        <v>43</v>
      </c>
      <c r="D69">
        <f>16.35117682*1.059464^C69</f>
        <v>195.99987576438383</v>
      </c>
      <c r="E69">
        <f t="shared" ref="E69:E132" si="13">E68+0.25</f>
        <v>16.25</v>
      </c>
      <c r="I69">
        <f t="shared" ref="I69:I132" si="14">I68+0.25</f>
        <v>16.25</v>
      </c>
      <c r="M69">
        <f t="shared" ref="M69:M132" si="15">M68+0.25</f>
        <v>16.25</v>
      </c>
      <c r="R69">
        <v>42</v>
      </c>
      <c r="S69" t="s">
        <v>240</v>
      </c>
      <c r="T69">
        <v>60</v>
      </c>
      <c r="U69">
        <f t="shared" si="10"/>
        <v>523.26449507501752</v>
      </c>
      <c r="V69">
        <f t="shared" ref="V69:V132" si="16">ABS(T69-T68)</f>
        <v>1</v>
      </c>
      <c r="W69">
        <v>42</v>
      </c>
      <c r="AB69">
        <v>50.5</v>
      </c>
      <c r="AC69" t="s">
        <v>82</v>
      </c>
      <c r="AD69">
        <v>38</v>
      </c>
      <c r="AE69">
        <f t="shared" si="11"/>
        <v>146.83337288738056</v>
      </c>
      <c r="AF69">
        <f t="shared" ref="AF69:AF132" si="17">ABS(AD69-AD68)</f>
        <v>4</v>
      </c>
      <c r="AH69">
        <v>50.5</v>
      </c>
      <c r="AP69" s="2" t="s">
        <v>230</v>
      </c>
      <c r="AR69" s="2" t="s">
        <v>231</v>
      </c>
      <c r="AU69" s="2" t="s">
        <v>73</v>
      </c>
    </row>
    <row r="70" spans="1:243" x14ac:dyDescent="0.2">
      <c r="A70">
        <f t="shared" si="12"/>
        <v>16.5</v>
      </c>
      <c r="E70">
        <f t="shared" si="13"/>
        <v>16.5</v>
      </c>
      <c r="I70">
        <f t="shared" si="14"/>
        <v>16.5</v>
      </c>
      <c r="J70" t="s">
        <v>479</v>
      </c>
      <c r="K70">
        <v>48</v>
      </c>
      <c r="L70">
        <f>16.35117682*1.059464^K70</f>
        <v>261.62956379894968</v>
      </c>
      <c r="M70">
        <f t="shared" si="15"/>
        <v>16.5</v>
      </c>
      <c r="R70">
        <v>42.5</v>
      </c>
      <c r="S70" t="s">
        <v>411</v>
      </c>
      <c r="T70">
        <v>58</v>
      </c>
      <c r="U70">
        <f t="shared" si="10"/>
        <v>466.17487092753117</v>
      </c>
      <c r="V70">
        <f t="shared" si="16"/>
        <v>2</v>
      </c>
      <c r="W70">
        <v>42.5</v>
      </c>
      <c r="X70" t="s">
        <v>481</v>
      </c>
      <c r="Y70">
        <v>52</v>
      </c>
      <c r="Z70">
        <f>16.35117682*1.059464^Y70</f>
        <v>329.63372180082422</v>
      </c>
      <c r="AA70">
        <f>ABS(Y70-T69)</f>
        <v>8</v>
      </c>
      <c r="AB70">
        <v>51</v>
      </c>
      <c r="AC70" t="s">
        <v>318</v>
      </c>
      <c r="AD70">
        <v>41</v>
      </c>
      <c r="AE70">
        <f t="shared" si="11"/>
        <v>174.61573954711864</v>
      </c>
      <c r="AF70">
        <f t="shared" si="17"/>
        <v>3</v>
      </c>
      <c r="AH70">
        <v>51</v>
      </c>
      <c r="AP70">
        <v>0</v>
      </c>
      <c r="AQ70">
        <v>1323</v>
      </c>
      <c r="AR70" s="2" t="s">
        <v>234</v>
      </c>
      <c r="AS70">
        <v>0</v>
      </c>
      <c r="AT70">
        <f>-321.6*AS70+1097.4</f>
        <v>1097.4000000000001</v>
      </c>
      <c r="AU70" s="2" t="s">
        <v>74</v>
      </c>
      <c r="AV70">
        <v>0</v>
      </c>
      <c r="AW70">
        <f>-294.15*AV70+1040.85</f>
        <v>1040.8499999999999</v>
      </c>
    </row>
    <row r="71" spans="1:243" ht="14.25" x14ac:dyDescent="0.2">
      <c r="A71">
        <f t="shared" si="12"/>
        <v>16.75</v>
      </c>
      <c r="B71" t="s">
        <v>29</v>
      </c>
      <c r="C71">
        <v>40</v>
      </c>
      <c r="D71">
        <f>16.35117682*1.059464^C71</f>
        <v>164.8151702626221</v>
      </c>
      <c r="E71">
        <f t="shared" si="13"/>
        <v>16.75</v>
      </c>
      <c r="I71">
        <f t="shared" si="14"/>
        <v>16.75</v>
      </c>
      <c r="M71">
        <f t="shared" si="15"/>
        <v>16.75</v>
      </c>
      <c r="R71">
        <v>43.5</v>
      </c>
      <c r="S71" t="s">
        <v>243</v>
      </c>
      <c r="T71">
        <v>57</v>
      </c>
      <c r="U71">
        <f t="shared" si="10"/>
        <v>440.01010976071973</v>
      </c>
      <c r="V71">
        <f t="shared" si="16"/>
        <v>1</v>
      </c>
      <c r="W71">
        <v>43.5</v>
      </c>
      <c r="AB71">
        <v>51.5</v>
      </c>
      <c r="AC71" t="s">
        <v>444</v>
      </c>
      <c r="AD71">
        <v>43</v>
      </c>
      <c r="AE71">
        <f t="shared" si="11"/>
        <v>195.99987576438383</v>
      </c>
      <c r="AF71">
        <f t="shared" si="17"/>
        <v>2</v>
      </c>
      <c r="AH71">
        <v>51.5</v>
      </c>
      <c r="AP71">
        <v>1</v>
      </c>
      <c r="AQ71">
        <v>472</v>
      </c>
      <c r="AR71" s="2" t="s">
        <v>293</v>
      </c>
      <c r="AS71">
        <v>1</v>
      </c>
      <c r="AT71" s="2">
        <f>-321.6*AS71+1097.4</f>
        <v>775.80000000000007</v>
      </c>
      <c r="AU71" s="2" t="s">
        <v>75</v>
      </c>
      <c r="AV71">
        <v>1</v>
      </c>
      <c r="AW71" s="2">
        <f>-294.15*AV71+1040.85</f>
        <v>746.69999999999993</v>
      </c>
    </row>
    <row r="72" spans="1:243" x14ac:dyDescent="0.2">
      <c r="A72">
        <f t="shared" si="12"/>
        <v>17</v>
      </c>
      <c r="B72" t="s">
        <v>44</v>
      </c>
      <c r="C72">
        <v>43</v>
      </c>
      <c r="D72">
        <f>16.35117682*1.059464^C72</f>
        <v>195.99987576438383</v>
      </c>
      <c r="E72">
        <f t="shared" si="13"/>
        <v>17</v>
      </c>
      <c r="I72">
        <f t="shared" si="14"/>
        <v>17</v>
      </c>
      <c r="J72" t="s">
        <v>412</v>
      </c>
      <c r="K72">
        <v>35</v>
      </c>
      <c r="L72">
        <f>16.35117682*1.059464^K72</f>
        <v>123.4713402663609</v>
      </c>
      <c r="M72">
        <f t="shared" si="15"/>
        <v>17</v>
      </c>
      <c r="R72">
        <v>44</v>
      </c>
      <c r="S72" t="s">
        <v>482</v>
      </c>
      <c r="T72">
        <v>53</v>
      </c>
      <c r="U72">
        <f t="shared" si="10"/>
        <v>349.23506143398839</v>
      </c>
      <c r="V72">
        <f t="shared" si="16"/>
        <v>4</v>
      </c>
      <c r="W72">
        <v>44</v>
      </c>
      <c r="AB72">
        <v>52</v>
      </c>
      <c r="AC72" t="s">
        <v>325</v>
      </c>
      <c r="AD72">
        <v>46</v>
      </c>
      <c r="AE72">
        <f t="shared" si="11"/>
        <v>233.08504452861115</v>
      </c>
      <c r="AF72">
        <f t="shared" si="17"/>
        <v>3</v>
      </c>
      <c r="AH72">
        <v>52</v>
      </c>
      <c r="AP72">
        <v>2</v>
      </c>
      <c r="AQ72">
        <v>385</v>
      </c>
      <c r="AS72">
        <v>2</v>
      </c>
      <c r="AT72" s="2">
        <f>-321.6*AS72+1097.4</f>
        <v>454.20000000000005</v>
      </c>
      <c r="AV72">
        <v>2</v>
      </c>
      <c r="AW72" s="2">
        <f>-294.15*AV72+1040.85</f>
        <v>452.54999999999995</v>
      </c>
    </row>
    <row r="73" spans="1:243" x14ac:dyDescent="0.2">
      <c r="A73">
        <f t="shared" si="12"/>
        <v>17.25</v>
      </c>
      <c r="E73">
        <f t="shared" si="13"/>
        <v>17.25</v>
      </c>
      <c r="I73">
        <f t="shared" si="14"/>
        <v>17.25</v>
      </c>
      <c r="M73">
        <f t="shared" si="15"/>
        <v>17.25</v>
      </c>
      <c r="R73">
        <v>44.5</v>
      </c>
      <c r="S73" t="s">
        <v>243</v>
      </c>
      <c r="T73">
        <v>57</v>
      </c>
      <c r="U73">
        <f t="shared" si="10"/>
        <v>440.01010976071973</v>
      </c>
      <c r="V73">
        <f t="shared" si="16"/>
        <v>4</v>
      </c>
      <c r="W73">
        <v>44.5</v>
      </c>
      <c r="X73" t="s">
        <v>479</v>
      </c>
      <c r="Y73">
        <v>48</v>
      </c>
      <c r="Z73">
        <f>16.35117682*1.059464^Y73</f>
        <v>261.62956379894968</v>
      </c>
      <c r="AA73">
        <f>ABS(Y73-T72)</f>
        <v>5</v>
      </c>
      <c r="AB73">
        <v>52.5</v>
      </c>
      <c r="AC73" t="s">
        <v>223</v>
      </c>
      <c r="AD73">
        <v>50</v>
      </c>
      <c r="AE73">
        <f t="shared" si="11"/>
        <v>293.66975814369101</v>
      </c>
      <c r="AF73">
        <f t="shared" si="17"/>
        <v>4</v>
      </c>
      <c r="AH73">
        <v>52.5</v>
      </c>
      <c r="AP73">
        <v>3</v>
      </c>
      <c r="AQ73">
        <v>280</v>
      </c>
      <c r="AS73">
        <v>3</v>
      </c>
      <c r="AT73" s="2">
        <f>-321.6*AS73+1097.4</f>
        <v>132.60000000000002</v>
      </c>
      <c r="AV73">
        <v>3</v>
      </c>
      <c r="AW73" s="2">
        <f>-294.15*AV73+1040.85</f>
        <v>158.39999999999998</v>
      </c>
      <c r="II73">
        <v>30</v>
      </c>
    </row>
    <row r="74" spans="1:243" x14ac:dyDescent="0.2">
      <c r="A74">
        <f t="shared" si="12"/>
        <v>17.5</v>
      </c>
      <c r="B74" t="s">
        <v>29</v>
      </c>
      <c r="C74">
        <v>40</v>
      </c>
      <c r="D74">
        <f>16.35117682*1.059464^C74</f>
        <v>164.8151702626221</v>
      </c>
      <c r="E74">
        <f t="shared" si="13"/>
        <v>17.5</v>
      </c>
      <c r="I74">
        <f t="shared" si="14"/>
        <v>17.5</v>
      </c>
      <c r="J74" t="s">
        <v>47</v>
      </c>
      <c r="K74">
        <v>47</v>
      </c>
      <c r="L74">
        <f>16.35117682*1.059464^K74</f>
        <v>246.94521361646048</v>
      </c>
      <c r="M74">
        <f t="shared" si="15"/>
        <v>17.5</v>
      </c>
      <c r="R74">
        <v>45.5</v>
      </c>
      <c r="S74" t="s">
        <v>480</v>
      </c>
      <c r="T74">
        <v>50</v>
      </c>
      <c r="U74">
        <f t="shared" si="10"/>
        <v>293.66975814369101</v>
      </c>
      <c r="V74">
        <f t="shared" si="16"/>
        <v>7</v>
      </c>
      <c r="W74">
        <v>45.5</v>
      </c>
      <c r="AB74">
        <v>53</v>
      </c>
      <c r="AC74" t="s">
        <v>390</v>
      </c>
      <c r="AD74">
        <v>53</v>
      </c>
      <c r="AE74">
        <f t="shared" si="11"/>
        <v>349.23506143398839</v>
      </c>
      <c r="AF74">
        <f t="shared" si="17"/>
        <v>3</v>
      </c>
      <c r="AH74">
        <v>53</v>
      </c>
      <c r="II74">
        <v>38</v>
      </c>
    </row>
    <row r="75" spans="1:243" x14ac:dyDescent="0.2">
      <c r="A75">
        <f t="shared" si="12"/>
        <v>17.75</v>
      </c>
      <c r="E75">
        <f t="shared" si="13"/>
        <v>17.75</v>
      </c>
      <c r="I75">
        <f t="shared" si="14"/>
        <v>17.75</v>
      </c>
      <c r="M75">
        <f t="shared" si="15"/>
        <v>17.75</v>
      </c>
      <c r="R75">
        <v>46</v>
      </c>
      <c r="S75" t="s">
        <v>481</v>
      </c>
      <c r="T75">
        <v>52</v>
      </c>
      <c r="U75">
        <f t="shared" si="10"/>
        <v>329.63372180082422</v>
      </c>
      <c r="V75">
        <f t="shared" si="16"/>
        <v>2</v>
      </c>
      <c r="W75">
        <v>46</v>
      </c>
      <c r="AB75">
        <v>53.5</v>
      </c>
      <c r="AC75" t="s">
        <v>223</v>
      </c>
      <c r="AD75">
        <v>50</v>
      </c>
      <c r="AE75">
        <f t="shared" si="11"/>
        <v>293.66975814369101</v>
      </c>
      <c r="AF75">
        <f t="shared" si="17"/>
        <v>3</v>
      </c>
      <c r="AH75">
        <v>53.5</v>
      </c>
      <c r="II75">
        <v>42.5</v>
      </c>
    </row>
    <row r="76" spans="1:243" x14ac:dyDescent="0.2">
      <c r="A76">
        <f t="shared" si="12"/>
        <v>18</v>
      </c>
      <c r="B76" t="s">
        <v>27</v>
      </c>
      <c r="C76">
        <v>36</v>
      </c>
      <c r="D76">
        <f>16.35117682*1.059464^C76</f>
        <v>130.81344004395982</v>
      </c>
      <c r="E76">
        <f t="shared" si="13"/>
        <v>18</v>
      </c>
      <c r="I76">
        <f t="shared" si="14"/>
        <v>18</v>
      </c>
      <c r="J76" t="s">
        <v>414</v>
      </c>
      <c r="K76">
        <v>33</v>
      </c>
      <c r="L76">
        <f>16.35117682*1.059464^K76</f>
        <v>110.00027071140791</v>
      </c>
      <c r="M76">
        <f t="shared" si="15"/>
        <v>18</v>
      </c>
      <c r="R76">
        <v>46.5</v>
      </c>
      <c r="S76" t="s">
        <v>239</v>
      </c>
      <c r="T76">
        <v>55</v>
      </c>
      <c r="U76">
        <f t="shared" si="10"/>
        <v>392.00377257605692</v>
      </c>
      <c r="V76">
        <f t="shared" si="16"/>
        <v>3</v>
      </c>
      <c r="W76">
        <v>46.5</v>
      </c>
      <c r="X76" t="s">
        <v>47</v>
      </c>
      <c r="Y76">
        <v>47</v>
      </c>
      <c r="Z76">
        <f>16.35117682*1.059464^Y76</f>
        <v>246.94521361646048</v>
      </c>
      <c r="AA76">
        <f>ABS(Y76-T75)</f>
        <v>5</v>
      </c>
      <c r="AB76">
        <v>54</v>
      </c>
      <c r="AC76" t="s">
        <v>325</v>
      </c>
      <c r="AD76">
        <v>46</v>
      </c>
      <c r="AE76">
        <f t="shared" si="11"/>
        <v>233.08504452861115</v>
      </c>
      <c r="AF76">
        <f t="shared" si="17"/>
        <v>4</v>
      </c>
      <c r="AH76">
        <v>54</v>
      </c>
      <c r="II76">
        <v>44.5</v>
      </c>
    </row>
    <row r="77" spans="1:243" x14ac:dyDescent="0.2">
      <c r="A77">
        <f t="shared" si="12"/>
        <v>18.25</v>
      </c>
      <c r="B77" t="s">
        <v>29</v>
      </c>
      <c r="C77">
        <v>40</v>
      </c>
      <c r="D77">
        <f>16.35117682*1.059464^C77</f>
        <v>164.8151702626221</v>
      </c>
      <c r="E77">
        <f t="shared" si="13"/>
        <v>18.25</v>
      </c>
      <c r="I77">
        <f t="shared" si="14"/>
        <v>18.25</v>
      </c>
      <c r="M77">
        <f t="shared" si="15"/>
        <v>18.25</v>
      </c>
      <c r="R77">
        <v>47</v>
      </c>
      <c r="S77" t="s">
        <v>480</v>
      </c>
      <c r="T77">
        <v>50</v>
      </c>
      <c r="U77">
        <f t="shared" si="10"/>
        <v>293.66975814369101</v>
      </c>
      <c r="V77">
        <f t="shared" si="16"/>
        <v>5</v>
      </c>
      <c r="W77">
        <v>47</v>
      </c>
      <c r="AB77">
        <v>57.5</v>
      </c>
      <c r="AC77" t="s">
        <v>307</v>
      </c>
      <c r="AD77">
        <v>47</v>
      </c>
      <c r="AE77">
        <f t="shared" si="11"/>
        <v>246.94521361646048</v>
      </c>
      <c r="AF77">
        <f t="shared" si="17"/>
        <v>1</v>
      </c>
      <c r="AH77">
        <v>57.5</v>
      </c>
      <c r="II77">
        <v>46.5</v>
      </c>
    </row>
    <row r="78" spans="1:243" x14ac:dyDescent="0.2">
      <c r="A78">
        <f t="shared" si="12"/>
        <v>18.5</v>
      </c>
      <c r="E78">
        <f t="shared" si="13"/>
        <v>18.5</v>
      </c>
      <c r="I78">
        <f t="shared" si="14"/>
        <v>18.5</v>
      </c>
      <c r="J78" t="s">
        <v>46</v>
      </c>
      <c r="K78">
        <v>45</v>
      </c>
      <c r="L78">
        <f>16.35117682*1.059464^K78</f>
        <v>220.00279814001337</v>
      </c>
      <c r="M78">
        <f t="shared" si="15"/>
        <v>18.5</v>
      </c>
      <c r="R78">
        <v>47.5</v>
      </c>
      <c r="S78" t="s">
        <v>239</v>
      </c>
      <c r="T78">
        <v>55</v>
      </c>
      <c r="U78">
        <f t="shared" si="10"/>
        <v>392.00377257605692</v>
      </c>
      <c r="V78">
        <f t="shared" si="16"/>
        <v>5</v>
      </c>
      <c r="W78">
        <v>47.5</v>
      </c>
      <c r="X78" t="s">
        <v>482</v>
      </c>
      <c r="Y78">
        <v>53</v>
      </c>
      <c r="Z78">
        <f>16.35117682*1.059464^Y78</f>
        <v>349.23506143398839</v>
      </c>
      <c r="AA78">
        <f>ABS(Y78-T77)</f>
        <v>3</v>
      </c>
      <c r="AB78">
        <v>58</v>
      </c>
      <c r="AC78" t="s">
        <v>323</v>
      </c>
      <c r="AD78">
        <v>48</v>
      </c>
      <c r="AE78">
        <f t="shared" si="11"/>
        <v>261.62956379894968</v>
      </c>
      <c r="AF78">
        <f t="shared" si="17"/>
        <v>1</v>
      </c>
      <c r="AH78">
        <v>58</v>
      </c>
      <c r="II78">
        <v>47.5</v>
      </c>
    </row>
    <row r="79" spans="1:243" x14ac:dyDescent="0.2">
      <c r="A79">
        <f t="shared" si="12"/>
        <v>18.75</v>
      </c>
      <c r="B79" t="s">
        <v>27</v>
      </c>
      <c r="C79">
        <v>36</v>
      </c>
      <c r="D79">
        <f>16.35117682*1.059464^C79</f>
        <v>130.81344004395982</v>
      </c>
      <c r="E79">
        <f t="shared" si="13"/>
        <v>18.75</v>
      </c>
      <c r="I79">
        <f t="shared" si="14"/>
        <v>18.75</v>
      </c>
      <c r="M79">
        <f t="shared" si="15"/>
        <v>18.75</v>
      </c>
      <c r="R79">
        <v>48</v>
      </c>
      <c r="S79" t="s">
        <v>479</v>
      </c>
      <c r="T79">
        <v>48</v>
      </c>
      <c r="U79">
        <f t="shared" si="10"/>
        <v>261.62956379894968</v>
      </c>
      <c r="V79">
        <f t="shared" si="16"/>
        <v>7</v>
      </c>
      <c r="W79">
        <v>48</v>
      </c>
      <c r="AB79">
        <v>60</v>
      </c>
      <c r="AC79" t="s">
        <v>318</v>
      </c>
      <c r="AD79">
        <v>41</v>
      </c>
      <c r="AE79">
        <f t="shared" si="11"/>
        <v>174.61573954711864</v>
      </c>
      <c r="AF79">
        <f t="shared" si="17"/>
        <v>7</v>
      </c>
      <c r="AH79">
        <v>60</v>
      </c>
      <c r="II79">
        <v>48.5</v>
      </c>
    </row>
    <row r="80" spans="1:243" x14ac:dyDescent="0.2">
      <c r="A80">
        <f t="shared" si="12"/>
        <v>19</v>
      </c>
      <c r="B80" t="s">
        <v>29</v>
      </c>
      <c r="C80">
        <v>40</v>
      </c>
      <c r="D80">
        <f>16.35117682*1.059464^C80</f>
        <v>164.8151702626221</v>
      </c>
      <c r="E80">
        <f t="shared" si="13"/>
        <v>19</v>
      </c>
      <c r="I80">
        <f t="shared" si="14"/>
        <v>19</v>
      </c>
      <c r="J80" t="s">
        <v>45</v>
      </c>
      <c r="K80">
        <v>31</v>
      </c>
      <c r="L80">
        <f>16.35117682*1.059464^K80</f>
        <v>97.998932630681253</v>
      </c>
      <c r="M80">
        <f t="shared" si="15"/>
        <v>19</v>
      </c>
      <c r="R80">
        <v>48.5</v>
      </c>
      <c r="S80" t="s">
        <v>481</v>
      </c>
      <c r="T80">
        <v>52</v>
      </c>
      <c r="U80">
        <f t="shared" si="10"/>
        <v>329.63372180082422</v>
      </c>
      <c r="V80">
        <f t="shared" si="16"/>
        <v>4</v>
      </c>
      <c r="W80">
        <v>48.5</v>
      </c>
      <c r="X80" t="s">
        <v>239</v>
      </c>
      <c r="Y80">
        <v>55</v>
      </c>
      <c r="Z80">
        <f>16.35117682*1.059464^Y80</f>
        <v>392.00377257605692</v>
      </c>
      <c r="AA80">
        <f>ABS(Y80-T79)</f>
        <v>7</v>
      </c>
      <c r="AB80">
        <v>61.5</v>
      </c>
      <c r="AC80" t="s">
        <v>82</v>
      </c>
      <c r="AD80">
        <v>38</v>
      </c>
      <c r="AE80">
        <f t="shared" si="11"/>
        <v>146.83337288738056</v>
      </c>
      <c r="AF80">
        <f t="shared" si="17"/>
        <v>3</v>
      </c>
      <c r="AH80">
        <v>61.5</v>
      </c>
      <c r="II80">
        <v>54.5</v>
      </c>
    </row>
    <row r="81" spans="1:243" x14ac:dyDescent="0.2">
      <c r="A81">
        <f t="shared" si="12"/>
        <v>19.25</v>
      </c>
      <c r="E81">
        <f t="shared" si="13"/>
        <v>19.25</v>
      </c>
      <c r="I81">
        <f t="shared" si="14"/>
        <v>19.25</v>
      </c>
      <c r="M81">
        <f t="shared" si="15"/>
        <v>19.25</v>
      </c>
      <c r="R81">
        <v>49.5</v>
      </c>
      <c r="S81" t="s">
        <v>46</v>
      </c>
      <c r="T81">
        <v>45</v>
      </c>
      <c r="U81">
        <f t="shared" si="10"/>
        <v>220.00279814001337</v>
      </c>
      <c r="V81">
        <f t="shared" si="16"/>
        <v>7</v>
      </c>
      <c r="W81">
        <v>49.5</v>
      </c>
      <c r="AB81">
        <v>62</v>
      </c>
      <c r="AC81" t="s">
        <v>275</v>
      </c>
      <c r="AD81">
        <v>40</v>
      </c>
      <c r="AE81">
        <f t="shared" si="11"/>
        <v>164.8151702626221</v>
      </c>
      <c r="AF81">
        <f t="shared" si="17"/>
        <v>2</v>
      </c>
      <c r="AH81">
        <v>62</v>
      </c>
      <c r="II81">
        <v>55.5</v>
      </c>
    </row>
    <row r="82" spans="1:243" x14ac:dyDescent="0.2">
      <c r="A82">
        <f t="shared" si="12"/>
        <v>19.5</v>
      </c>
      <c r="B82" t="s">
        <v>27</v>
      </c>
      <c r="C82">
        <v>36</v>
      </c>
      <c r="D82">
        <f>16.35117682*1.059464^C82</f>
        <v>130.81344004395982</v>
      </c>
      <c r="E82">
        <f t="shared" si="13"/>
        <v>19.5</v>
      </c>
      <c r="I82">
        <f t="shared" si="14"/>
        <v>19.5</v>
      </c>
      <c r="J82" t="s">
        <v>44</v>
      </c>
      <c r="K82">
        <v>43</v>
      </c>
      <c r="L82">
        <f>16.35117682*1.059464^K82</f>
        <v>195.99987576438383</v>
      </c>
      <c r="M82">
        <f t="shared" si="15"/>
        <v>19.5</v>
      </c>
      <c r="R82">
        <v>50</v>
      </c>
      <c r="S82" t="s">
        <v>292</v>
      </c>
      <c r="T82">
        <v>46</v>
      </c>
      <c r="U82">
        <f t="shared" si="10"/>
        <v>233.08504452861115</v>
      </c>
      <c r="V82">
        <f t="shared" si="16"/>
        <v>1</v>
      </c>
      <c r="W82">
        <v>50</v>
      </c>
      <c r="AB82">
        <v>63</v>
      </c>
      <c r="AC82" t="s">
        <v>82</v>
      </c>
      <c r="AD82">
        <v>38</v>
      </c>
      <c r="AE82">
        <f t="shared" si="11"/>
        <v>146.83337288738056</v>
      </c>
      <c r="AF82">
        <f t="shared" si="17"/>
        <v>2</v>
      </c>
      <c r="AH82">
        <v>63</v>
      </c>
      <c r="II82">
        <v>56.5</v>
      </c>
    </row>
    <row r="83" spans="1:243" x14ac:dyDescent="0.2">
      <c r="A83">
        <f t="shared" si="12"/>
        <v>19.75</v>
      </c>
      <c r="E83">
        <f t="shared" si="13"/>
        <v>19.75</v>
      </c>
      <c r="I83">
        <f t="shared" si="14"/>
        <v>19.75</v>
      </c>
      <c r="M83">
        <f t="shared" si="15"/>
        <v>19.75</v>
      </c>
      <c r="R83">
        <v>50.5</v>
      </c>
      <c r="S83" t="s">
        <v>480</v>
      </c>
      <c r="T83">
        <v>50</v>
      </c>
      <c r="U83">
        <f t="shared" si="10"/>
        <v>293.66975814369101</v>
      </c>
      <c r="V83">
        <f t="shared" si="16"/>
        <v>4</v>
      </c>
      <c r="W83">
        <v>50.5</v>
      </c>
      <c r="AB83">
        <v>63.5</v>
      </c>
      <c r="AC83" t="s">
        <v>47</v>
      </c>
      <c r="AD83">
        <v>47</v>
      </c>
      <c r="AE83">
        <f t="shared" si="11"/>
        <v>246.94521361646048</v>
      </c>
      <c r="AF83">
        <f t="shared" si="17"/>
        <v>9</v>
      </c>
      <c r="AH83">
        <v>63.5</v>
      </c>
      <c r="II83">
        <v>58</v>
      </c>
    </row>
    <row r="84" spans="1:243" x14ac:dyDescent="0.2">
      <c r="A84">
        <f t="shared" si="12"/>
        <v>20</v>
      </c>
      <c r="B84" t="s">
        <v>414</v>
      </c>
      <c r="C84">
        <v>33</v>
      </c>
      <c r="D84">
        <f>16.35117682*1.059464^C84</f>
        <v>110.00027071140791</v>
      </c>
      <c r="E84">
        <f t="shared" si="13"/>
        <v>20</v>
      </c>
      <c r="I84">
        <f t="shared" si="14"/>
        <v>20</v>
      </c>
      <c r="J84" t="s">
        <v>388</v>
      </c>
      <c r="K84">
        <v>29</v>
      </c>
      <c r="L84">
        <f>16.35117682*1.059464^K84</f>
        <v>87.306974197808145</v>
      </c>
      <c r="M84">
        <f t="shared" si="15"/>
        <v>20</v>
      </c>
      <c r="R84">
        <v>51</v>
      </c>
      <c r="S84" t="s">
        <v>482</v>
      </c>
      <c r="T84">
        <v>53</v>
      </c>
      <c r="U84">
        <f t="shared" si="10"/>
        <v>349.23506143398839</v>
      </c>
      <c r="V84">
        <f t="shared" si="16"/>
        <v>3</v>
      </c>
      <c r="W84">
        <v>51</v>
      </c>
      <c r="AB84">
        <v>64</v>
      </c>
      <c r="AC84" t="s">
        <v>488</v>
      </c>
      <c r="AD84">
        <v>36</v>
      </c>
      <c r="AE84">
        <f t="shared" si="11"/>
        <v>130.81344004395982</v>
      </c>
      <c r="AF84">
        <f t="shared" si="17"/>
        <v>11</v>
      </c>
      <c r="AH84">
        <v>64</v>
      </c>
      <c r="II84">
        <v>58.5</v>
      </c>
    </row>
    <row r="85" spans="1:243" x14ac:dyDescent="0.2">
      <c r="A85">
        <f t="shared" si="12"/>
        <v>20.25</v>
      </c>
      <c r="B85" t="s">
        <v>27</v>
      </c>
      <c r="C85">
        <v>36</v>
      </c>
      <c r="D85">
        <f>16.35117682*1.059464^C85</f>
        <v>130.81344004395982</v>
      </c>
      <c r="E85">
        <f t="shared" si="13"/>
        <v>20.25</v>
      </c>
      <c r="I85">
        <f t="shared" si="14"/>
        <v>20.25</v>
      </c>
      <c r="M85">
        <f t="shared" si="15"/>
        <v>20.25</v>
      </c>
      <c r="R85">
        <v>51.5</v>
      </c>
      <c r="S85" t="s">
        <v>239</v>
      </c>
      <c r="T85">
        <v>55</v>
      </c>
      <c r="U85">
        <f t="shared" si="10"/>
        <v>392.00377257605692</v>
      </c>
      <c r="V85">
        <f t="shared" si="16"/>
        <v>2</v>
      </c>
      <c r="W85">
        <v>51.5</v>
      </c>
      <c r="AB85">
        <v>65.5</v>
      </c>
      <c r="AC85" t="s">
        <v>277</v>
      </c>
      <c r="AD85">
        <v>33</v>
      </c>
      <c r="AE85">
        <f t="shared" si="11"/>
        <v>110.00027071140791</v>
      </c>
      <c r="AF85">
        <f t="shared" si="17"/>
        <v>3</v>
      </c>
      <c r="AH85">
        <v>65.5</v>
      </c>
      <c r="II85">
        <v>60.5</v>
      </c>
    </row>
    <row r="86" spans="1:243" x14ac:dyDescent="0.2">
      <c r="A86">
        <f t="shared" si="12"/>
        <v>20.5</v>
      </c>
      <c r="E86">
        <f t="shared" si="13"/>
        <v>20.5</v>
      </c>
      <c r="I86">
        <f t="shared" si="14"/>
        <v>20.5</v>
      </c>
      <c r="J86" t="s">
        <v>30</v>
      </c>
      <c r="K86">
        <v>41</v>
      </c>
      <c r="L86">
        <f>16.35117682*1.059464^K86</f>
        <v>174.61573954711864</v>
      </c>
      <c r="M86">
        <f t="shared" si="15"/>
        <v>20.5</v>
      </c>
      <c r="R86">
        <v>52</v>
      </c>
      <c r="S86" t="s">
        <v>411</v>
      </c>
      <c r="T86">
        <v>58</v>
      </c>
      <c r="U86">
        <f t="shared" si="10"/>
        <v>466.17487092753117</v>
      </c>
      <c r="V86">
        <f t="shared" si="16"/>
        <v>3</v>
      </c>
      <c r="W86">
        <v>52</v>
      </c>
      <c r="AB86">
        <v>66</v>
      </c>
      <c r="AC86" t="s">
        <v>81</v>
      </c>
      <c r="AD86">
        <v>34</v>
      </c>
      <c r="AE86">
        <f t="shared" si="11"/>
        <v>116.54132680899107</v>
      </c>
      <c r="AF86">
        <f t="shared" si="17"/>
        <v>1</v>
      </c>
      <c r="AH86">
        <v>66</v>
      </c>
      <c r="II86">
        <v>62</v>
      </c>
    </row>
    <row r="87" spans="1:243" x14ac:dyDescent="0.2">
      <c r="A87">
        <f t="shared" si="12"/>
        <v>20.75</v>
      </c>
      <c r="B87" t="s">
        <v>414</v>
      </c>
      <c r="C87">
        <v>33</v>
      </c>
      <c r="D87">
        <f>16.35117682*1.059464^C87</f>
        <v>110.00027071140791</v>
      </c>
      <c r="E87">
        <f t="shared" si="13"/>
        <v>20.75</v>
      </c>
      <c r="I87">
        <f t="shared" si="14"/>
        <v>20.75</v>
      </c>
      <c r="M87">
        <f t="shared" si="15"/>
        <v>20.75</v>
      </c>
      <c r="R87">
        <v>52.5</v>
      </c>
      <c r="S87" t="s">
        <v>455</v>
      </c>
      <c r="T87">
        <v>62</v>
      </c>
      <c r="U87">
        <f t="shared" si="10"/>
        <v>587.34554108704231</v>
      </c>
      <c r="V87">
        <f t="shared" si="16"/>
        <v>4</v>
      </c>
      <c r="W87">
        <v>52.5</v>
      </c>
      <c r="AB87">
        <v>66.5</v>
      </c>
      <c r="AC87" t="s">
        <v>82</v>
      </c>
      <c r="AD87">
        <v>38</v>
      </c>
      <c r="AE87">
        <f t="shared" si="11"/>
        <v>146.83337288738056</v>
      </c>
      <c r="AF87">
        <f t="shared" si="17"/>
        <v>4</v>
      </c>
      <c r="AH87">
        <v>66.5</v>
      </c>
      <c r="II87">
        <v>62.5</v>
      </c>
    </row>
    <row r="88" spans="1:243" x14ac:dyDescent="0.2">
      <c r="A88">
        <f t="shared" si="12"/>
        <v>21</v>
      </c>
      <c r="B88" t="s">
        <v>27</v>
      </c>
      <c r="C88">
        <v>36</v>
      </c>
      <c r="D88">
        <f>16.35117682*1.059464^C88</f>
        <v>130.81344004395982</v>
      </c>
      <c r="E88">
        <f t="shared" si="13"/>
        <v>21</v>
      </c>
      <c r="I88">
        <f t="shared" si="14"/>
        <v>21</v>
      </c>
      <c r="J88" t="s">
        <v>389</v>
      </c>
      <c r="K88">
        <v>28</v>
      </c>
      <c r="L88">
        <f>16.35117682*1.059464^K88</f>
        <v>82.406739821087044</v>
      </c>
      <c r="M88">
        <f t="shared" si="15"/>
        <v>21</v>
      </c>
      <c r="R88">
        <v>53</v>
      </c>
      <c r="S88" t="s">
        <v>456</v>
      </c>
      <c r="T88">
        <v>65</v>
      </c>
      <c r="U88">
        <f t="shared" si="10"/>
        <v>698.47728762097279</v>
      </c>
      <c r="V88">
        <f t="shared" si="16"/>
        <v>3</v>
      </c>
      <c r="W88">
        <v>53</v>
      </c>
      <c r="AB88">
        <v>67</v>
      </c>
      <c r="AC88" t="s">
        <v>318</v>
      </c>
      <c r="AD88">
        <v>41</v>
      </c>
      <c r="AE88">
        <f t="shared" si="11"/>
        <v>174.61573954711864</v>
      </c>
      <c r="AF88">
        <f t="shared" si="17"/>
        <v>3</v>
      </c>
      <c r="AH88">
        <v>67</v>
      </c>
      <c r="II88">
        <v>63.5</v>
      </c>
    </row>
    <row r="89" spans="1:243" x14ac:dyDescent="0.2">
      <c r="A89">
        <f t="shared" si="12"/>
        <v>21.25</v>
      </c>
      <c r="E89">
        <f t="shared" si="13"/>
        <v>21.25</v>
      </c>
      <c r="I89">
        <f t="shared" si="14"/>
        <v>21.25</v>
      </c>
      <c r="M89">
        <f t="shared" si="15"/>
        <v>21.25</v>
      </c>
      <c r="R89">
        <v>53.5</v>
      </c>
      <c r="S89" t="s">
        <v>455</v>
      </c>
      <c r="T89">
        <v>62</v>
      </c>
      <c r="U89">
        <f t="shared" si="10"/>
        <v>587.34554108704231</v>
      </c>
      <c r="V89">
        <f t="shared" si="16"/>
        <v>3</v>
      </c>
      <c r="W89">
        <v>53.5</v>
      </c>
      <c r="AB89">
        <v>67.5</v>
      </c>
      <c r="AC89" t="s">
        <v>444</v>
      </c>
      <c r="AD89">
        <v>43</v>
      </c>
      <c r="AE89">
        <f t="shared" si="11"/>
        <v>195.99987576438383</v>
      </c>
      <c r="AF89">
        <f t="shared" si="17"/>
        <v>2</v>
      </c>
      <c r="AH89">
        <v>67.5</v>
      </c>
      <c r="II89">
        <v>64.5</v>
      </c>
    </row>
    <row r="90" spans="1:243" x14ac:dyDescent="0.2">
      <c r="A90">
        <f t="shared" si="12"/>
        <v>21.5</v>
      </c>
      <c r="B90" t="s">
        <v>414</v>
      </c>
      <c r="C90">
        <v>33</v>
      </c>
      <c r="D90">
        <f>16.35117682*1.059464^C90</f>
        <v>110.00027071140791</v>
      </c>
      <c r="E90">
        <f t="shared" si="13"/>
        <v>21.5</v>
      </c>
      <c r="I90">
        <f t="shared" si="14"/>
        <v>21.5</v>
      </c>
      <c r="J90" t="s">
        <v>29</v>
      </c>
      <c r="K90">
        <v>40</v>
      </c>
      <c r="L90">
        <f>16.35117682*1.059464^K90</f>
        <v>164.8151702626221</v>
      </c>
      <c r="M90">
        <f t="shared" si="15"/>
        <v>21.5</v>
      </c>
      <c r="R90">
        <v>54</v>
      </c>
      <c r="S90" t="s">
        <v>457</v>
      </c>
      <c r="T90">
        <v>58</v>
      </c>
      <c r="U90">
        <f t="shared" si="10"/>
        <v>466.17487092753117</v>
      </c>
      <c r="V90">
        <f t="shared" si="16"/>
        <v>4</v>
      </c>
      <c r="W90">
        <v>54</v>
      </c>
      <c r="AB90">
        <v>68</v>
      </c>
      <c r="AC90" t="s">
        <v>325</v>
      </c>
      <c r="AD90">
        <v>46</v>
      </c>
      <c r="AE90">
        <f t="shared" si="11"/>
        <v>233.08504452861115</v>
      </c>
      <c r="AF90">
        <f t="shared" si="17"/>
        <v>3</v>
      </c>
      <c r="AH90">
        <v>68</v>
      </c>
      <c r="II90">
        <v>106</v>
      </c>
    </row>
    <row r="91" spans="1:243" x14ac:dyDescent="0.2">
      <c r="A91">
        <f t="shared" si="12"/>
        <v>21.75</v>
      </c>
      <c r="B91" t="s">
        <v>27</v>
      </c>
      <c r="C91">
        <v>36</v>
      </c>
      <c r="D91">
        <f>16.35117682*1.059464^C91</f>
        <v>130.81344004395982</v>
      </c>
      <c r="E91">
        <f t="shared" si="13"/>
        <v>21.75</v>
      </c>
      <c r="I91">
        <f t="shared" si="14"/>
        <v>21.75</v>
      </c>
      <c r="M91">
        <f t="shared" si="15"/>
        <v>21.75</v>
      </c>
      <c r="R91">
        <v>54.5</v>
      </c>
      <c r="S91" t="s">
        <v>458</v>
      </c>
      <c r="T91">
        <v>54</v>
      </c>
      <c r="U91">
        <f t="shared" si="10"/>
        <v>370.00197512709912</v>
      </c>
      <c r="V91">
        <f t="shared" si="16"/>
        <v>4</v>
      </c>
      <c r="W91">
        <v>54.5</v>
      </c>
      <c r="X91" t="s">
        <v>163</v>
      </c>
      <c r="Y91">
        <v>49</v>
      </c>
      <c r="Z91">
        <f>16.35117682*1.059464^Y91</f>
        <v>277.18710418069043</v>
      </c>
      <c r="AA91">
        <f>ABS(Y91-T90)</f>
        <v>9</v>
      </c>
      <c r="AB91">
        <v>68.5</v>
      </c>
      <c r="AC91" t="s">
        <v>223</v>
      </c>
      <c r="AD91">
        <v>50</v>
      </c>
      <c r="AE91">
        <f t="shared" si="11"/>
        <v>293.66975814369101</v>
      </c>
      <c r="AF91">
        <f t="shared" si="17"/>
        <v>4</v>
      </c>
      <c r="AH91">
        <v>68.5</v>
      </c>
      <c r="II91">
        <v>108.5</v>
      </c>
    </row>
    <row r="92" spans="1:243" x14ac:dyDescent="0.2">
      <c r="A92">
        <f t="shared" si="12"/>
        <v>22</v>
      </c>
      <c r="B92" t="s">
        <v>414</v>
      </c>
      <c r="C92">
        <v>33</v>
      </c>
      <c r="D92">
        <f>16.35117682*1.059464^C92</f>
        <v>110.00027071140791</v>
      </c>
      <c r="E92">
        <f t="shared" si="13"/>
        <v>22</v>
      </c>
      <c r="I92">
        <f t="shared" si="14"/>
        <v>22</v>
      </c>
      <c r="J92" t="s">
        <v>413</v>
      </c>
      <c r="K92">
        <v>26</v>
      </c>
      <c r="L92">
        <f>16.35117682*1.059464^K92</f>
        <v>73.415933359182759</v>
      </c>
      <c r="M92">
        <f t="shared" si="15"/>
        <v>22</v>
      </c>
      <c r="R92">
        <v>55.5</v>
      </c>
      <c r="S92" t="s">
        <v>162</v>
      </c>
      <c r="T92">
        <v>54</v>
      </c>
      <c r="U92">
        <f t="shared" si="10"/>
        <v>370.00197512709912</v>
      </c>
      <c r="V92">
        <f t="shared" si="16"/>
        <v>0</v>
      </c>
      <c r="W92">
        <v>55.5</v>
      </c>
      <c r="X92" t="s">
        <v>163</v>
      </c>
      <c r="Y92">
        <v>49</v>
      </c>
      <c r="Z92">
        <f>16.35117682*1.059464^Y92</f>
        <v>277.18710418069043</v>
      </c>
      <c r="AA92">
        <f>ABS(Y92-Y91)</f>
        <v>0</v>
      </c>
      <c r="AB92">
        <v>69</v>
      </c>
      <c r="AC92" t="s">
        <v>308</v>
      </c>
      <c r="AD92">
        <v>53</v>
      </c>
      <c r="AE92">
        <f t="shared" si="11"/>
        <v>349.23506143398839</v>
      </c>
      <c r="AF92">
        <f t="shared" si="17"/>
        <v>3</v>
      </c>
      <c r="AH92">
        <v>69</v>
      </c>
      <c r="II92">
        <v>110.5</v>
      </c>
    </row>
    <row r="93" spans="1:243" x14ac:dyDescent="0.2">
      <c r="A93">
        <f t="shared" si="12"/>
        <v>22.25</v>
      </c>
      <c r="E93">
        <f t="shared" si="13"/>
        <v>22.25</v>
      </c>
      <c r="I93">
        <f t="shared" si="14"/>
        <v>22.25</v>
      </c>
      <c r="M93">
        <f t="shared" si="15"/>
        <v>22.25</v>
      </c>
      <c r="R93">
        <v>56.5</v>
      </c>
      <c r="S93" t="s">
        <v>162</v>
      </c>
      <c r="T93">
        <v>54</v>
      </c>
      <c r="U93">
        <f t="shared" si="10"/>
        <v>370.00197512709912</v>
      </c>
      <c r="V93">
        <f t="shared" si="16"/>
        <v>0</v>
      </c>
      <c r="W93">
        <v>56.5</v>
      </c>
      <c r="X93" t="s">
        <v>163</v>
      </c>
      <c r="Y93">
        <v>49</v>
      </c>
      <c r="Z93">
        <f>16.35117682*1.059464^Y93</f>
        <v>277.18710418069043</v>
      </c>
      <c r="AA93">
        <f>ABS(Y93-Y92)</f>
        <v>0</v>
      </c>
      <c r="AB93">
        <v>69.5</v>
      </c>
      <c r="AC93" t="s">
        <v>223</v>
      </c>
      <c r="AD93">
        <v>50</v>
      </c>
      <c r="AE93">
        <f t="shared" si="11"/>
        <v>293.66975814369101</v>
      </c>
      <c r="AF93">
        <f t="shared" si="17"/>
        <v>3</v>
      </c>
      <c r="AH93">
        <v>69.5</v>
      </c>
      <c r="II93">
        <v>112.5</v>
      </c>
    </row>
    <row r="94" spans="1:243" x14ac:dyDescent="0.2">
      <c r="A94">
        <f t="shared" si="12"/>
        <v>22.5</v>
      </c>
      <c r="E94">
        <f t="shared" si="13"/>
        <v>22.5</v>
      </c>
      <c r="I94">
        <f t="shared" si="14"/>
        <v>22.5</v>
      </c>
      <c r="J94" t="s">
        <v>28</v>
      </c>
      <c r="K94">
        <v>38</v>
      </c>
      <c r="L94">
        <f>16.35117682*1.059464^K94</f>
        <v>146.83337288738056</v>
      </c>
      <c r="M94">
        <f t="shared" si="15"/>
        <v>22.5</v>
      </c>
      <c r="R94">
        <v>57.5</v>
      </c>
      <c r="S94" t="s">
        <v>244</v>
      </c>
      <c r="T94">
        <v>59</v>
      </c>
      <c r="U94">
        <f t="shared" si="10"/>
        <v>493.89549345236594</v>
      </c>
      <c r="V94">
        <f t="shared" si="16"/>
        <v>5</v>
      </c>
      <c r="W94">
        <v>57.5</v>
      </c>
      <c r="AB94">
        <v>70</v>
      </c>
      <c r="AC94" t="s">
        <v>390</v>
      </c>
      <c r="AD94">
        <v>53</v>
      </c>
      <c r="AE94">
        <f t="shared" si="11"/>
        <v>349.23506143398839</v>
      </c>
      <c r="AF94">
        <f t="shared" si="17"/>
        <v>3</v>
      </c>
      <c r="AH94">
        <v>70</v>
      </c>
      <c r="II94">
        <v>113.5</v>
      </c>
    </row>
    <row r="95" spans="1:243" x14ac:dyDescent="0.2">
      <c r="A95">
        <f t="shared" si="12"/>
        <v>22.75</v>
      </c>
      <c r="E95">
        <f t="shared" si="13"/>
        <v>22.75</v>
      </c>
      <c r="I95">
        <f t="shared" si="14"/>
        <v>22.75</v>
      </c>
      <c r="M95">
        <f t="shared" si="15"/>
        <v>22.75</v>
      </c>
      <c r="R95">
        <v>58</v>
      </c>
      <c r="S95" t="s">
        <v>240</v>
      </c>
      <c r="T95">
        <v>60</v>
      </c>
      <c r="U95">
        <f t="shared" si="10"/>
        <v>523.26449507501752</v>
      </c>
      <c r="V95">
        <f t="shared" si="16"/>
        <v>1</v>
      </c>
      <c r="W95">
        <v>58</v>
      </c>
      <c r="X95" t="s">
        <v>242</v>
      </c>
      <c r="Y95">
        <v>62</v>
      </c>
      <c r="Z95">
        <f>16.35117682*1.059464^Y95</f>
        <v>587.34554108704231</v>
      </c>
      <c r="AA95">
        <f>ABS(Y95-T94)</f>
        <v>3</v>
      </c>
      <c r="AB95">
        <v>70.5</v>
      </c>
      <c r="AC95" t="s">
        <v>223</v>
      </c>
      <c r="AD95">
        <v>50</v>
      </c>
      <c r="AE95">
        <f t="shared" si="11"/>
        <v>293.66975814369101</v>
      </c>
      <c r="AF95">
        <f t="shared" si="17"/>
        <v>3</v>
      </c>
      <c r="AH95">
        <v>70.5</v>
      </c>
      <c r="II95">
        <v>114.5</v>
      </c>
    </row>
    <row r="96" spans="1:243" x14ac:dyDescent="0.2">
      <c r="A96">
        <f t="shared" si="12"/>
        <v>23</v>
      </c>
      <c r="E96">
        <f t="shared" si="13"/>
        <v>23</v>
      </c>
      <c r="I96">
        <f t="shared" si="14"/>
        <v>23</v>
      </c>
      <c r="J96" t="s">
        <v>388</v>
      </c>
      <c r="K96">
        <v>29</v>
      </c>
      <c r="L96">
        <f>16.35117682*1.059464^K96</f>
        <v>87.306974197808145</v>
      </c>
      <c r="M96">
        <f t="shared" si="15"/>
        <v>23</v>
      </c>
      <c r="R96">
        <v>58.5</v>
      </c>
      <c r="S96" t="s">
        <v>411</v>
      </c>
      <c r="T96">
        <v>58</v>
      </c>
      <c r="U96">
        <f t="shared" si="10"/>
        <v>466.17487092753117</v>
      </c>
      <c r="V96">
        <f t="shared" si="16"/>
        <v>2</v>
      </c>
      <c r="W96">
        <v>58.5</v>
      </c>
      <c r="X96" t="s">
        <v>481</v>
      </c>
      <c r="Y96">
        <v>52</v>
      </c>
      <c r="Z96">
        <f>16.35117682*1.059464^Y96</f>
        <v>329.63372180082422</v>
      </c>
      <c r="AA96">
        <f>ABS(Y96-Y95)</f>
        <v>10</v>
      </c>
      <c r="AB96">
        <v>71</v>
      </c>
      <c r="AC96" t="s">
        <v>308</v>
      </c>
      <c r="AD96">
        <v>53</v>
      </c>
      <c r="AE96">
        <f t="shared" si="11"/>
        <v>349.23506143398839</v>
      </c>
      <c r="AF96">
        <f t="shared" si="17"/>
        <v>3</v>
      </c>
      <c r="AH96">
        <v>71</v>
      </c>
      <c r="II96">
        <v>120.5</v>
      </c>
    </row>
    <row r="97" spans="1:243" x14ac:dyDescent="0.2">
      <c r="A97">
        <f t="shared" si="12"/>
        <v>23.25</v>
      </c>
      <c r="E97">
        <f t="shared" si="13"/>
        <v>23.25</v>
      </c>
      <c r="I97">
        <f t="shared" si="14"/>
        <v>23.25</v>
      </c>
      <c r="M97">
        <f t="shared" si="15"/>
        <v>23.25</v>
      </c>
      <c r="R97">
        <v>59.5</v>
      </c>
      <c r="S97" t="s">
        <v>243</v>
      </c>
      <c r="T97">
        <v>57</v>
      </c>
      <c r="U97">
        <f t="shared" si="10"/>
        <v>440.01010976071973</v>
      </c>
      <c r="V97">
        <f t="shared" si="16"/>
        <v>1</v>
      </c>
      <c r="W97">
        <v>59.5</v>
      </c>
      <c r="AB97">
        <v>71.5</v>
      </c>
      <c r="AC97" t="s">
        <v>222</v>
      </c>
      <c r="AD97">
        <v>51</v>
      </c>
      <c r="AE97">
        <f t="shared" si="11"/>
        <v>311.13253664194741</v>
      </c>
      <c r="AF97">
        <f t="shared" si="17"/>
        <v>2</v>
      </c>
      <c r="AH97">
        <v>71.5</v>
      </c>
      <c r="II97">
        <v>121.5</v>
      </c>
    </row>
    <row r="98" spans="1:243" x14ac:dyDescent="0.2">
      <c r="A98">
        <f t="shared" si="12"/>
        <v>23.5</v>
      </c>
      <c r="E98">
        <f t="shared" si="13"/>
        <v>23.5</v>
      </c>
      <c r="I98">
        <f t="shared" si="14"/>
        <v>23.5</v>
      </c>
      <c r="J98" t="s">
        <v>30</v>
      </c>
      <c r="K98">
        <v>41</v>
      </c>
      <c r="L98">
        <f>16.35117682*1.059464^K98</f>
        <v>174.61573954711864</v>
      </c>
      <c r="M98">
        <f t="shared" si="15"/>
        <v>23.5</v>
      </c>
      <c r="R98">
        <v>60</v>
      </c>
      <c r="S98" t="s">
        <v>482</v>
      </c>
      <c r="T98">
        <v>53</v>
      </c>
      <c r="U98">
        <f t="shared" si="10"/>
        <v>349.23506143398839</v>
      </c>
      <c r="V98">
        <f t="shared" si="16"/>
        <v>4</v>
      </c>
      <c r="W98">
        <v>60</v>
      </c>
      <c r="AB98">
        <v>72</v>
      </c>
      <c r="AC98" t="s">
        <v>390</v>
      </c>
      <c r="AD98">
        <v>53</v>
      </c>
      <c r="AE98">
        <f t="shared" si="11"/>
        <v>349.23506143398839</v>
      </c>
      <c r="AF98">
        <f t="shared" si="17"/>
        <v>2</v>
      </c>
      <c r="AH98">
        <v>72</v>
      </c>
      <c r="II98">
        <v>122.5</v>
      </c>
    </row>
    <row r="99" spans="1:243" x14ac:dyDescent="0.2">
      <c r="A99">
        <f t="shared" si="12"/>
        <v>23.75</v>
      </c>
      <c r="E99">
        <f t="shared" si="13"/>
        <v>23.75</v>
      </c>
      <c r="I99">
        <f t="shared" si="14"/>
        <v>23.75</v>
      </c>
      <c r="M99">
        <f t="shared" si="15"/>
        <v>23.75</v>
      </c>
      <c r="R99">
        <v>60.5</v>
      </c>
      <c r="S99" t="s">
        <v>243</v>
      </c>
      <c r="T99">
        <v>57</v>
      </c>
      <c r="U99">
        <f t="shared" si="10"/>
        <v>440.01010976071973</v>
      </c>
      <c r="V99">
        <f t="shared" si="16"/>
        <v>4</v>
      </c>
      <c r="W99">
        <v>60.5</v>
      </c>
      <c r="X99" t="s">
        <v>479</v>
      </c>
      <c r="Y99">
        <v>48</v>
      </c>
      <c r="Z99">
        <f>16.35117682*1.059464^Y99</f>
        <v>261.62956379894968</v>
      </c>
      <c r="AA99">
        <f>ABS(Y99-T98)</f>
        <v>5</v>
      </c>
      <c r="AB99">
        <v>72.5</v>
      </c>
      <c r="AC99" t="s">
        <v>222</v>
      </c>
      <c r="AD99">
        <v>51</v>
      </c>
      <c r="AE99">
        <f t="shared" si="11"/>
        <v>311.13253664194741</v>
      </c>
      <c r="AF99">
        <f t="shared" si="17"/>
        <v>2</v>
      </c>
      <c r="AH99">
        <v>72.5</v>
      </c>
      <c r="II99">
        <v>124</v>
      </c>
    </row>
    <row r="100" spans="1:243" x14ac:dyDescent="0.2">
      <c r="A100">
        <f t="shared" si="12"/>
        <v>24</v>
      </c>
      <c r="E100">
        <f t="shared" si="13"/>
        <v>24</v>
      </c>
      <c r="I100">
        <f t="shared" si="14"/>
        <v>24</v>
      </c>
      <c r="J100" t="s">
        <v>45</v>
      </c>
      <c r="K100">
        <v>31</v>
      </c>
      <c r="L100">
        <f>16.35117682*1.059464^K100</f>
        <v>97.998932630681253</v>
      </c>
      <c r="M100">
        <f t="shared" si="15"/>
        <v>24</v>
      </c>
      <c r="R100">
        <v>61.5</v>
      </c>
      <c r="S100" t="s">
        <v>480</v>
      </c>
      <c r="T100">
        <v>50</v>
      </c>
      <c r="U100">
        <f t="shared" si="10"/>
        <v>293.66975814369101</v>
      </c>
      <c r="V100">
        <f t="shared" si="16"/>
        <v>7</v>
      </c>
      <c r="W100">
        <v>61.5</v>
      </c>
      <c r="AB100">
        <v>73</v>
      </c>
      <c r="AC100" t="s">
        <v>390</v>
      </c>
      <c r="AD100">
        <v>53</v>
      </c>
      <c r="AE100">
        <f t="shared" si="11"/>
        <v>349.23506143398839</v>
      </c>
      <c r="AF100">
        <f t="shared" si="17"/>
        <v>2</v>
      </c>
      <c r="AH100">
        <v>73</v>
      </c>
      <c r="II100">
        <v>124.5</v>
      </c>
    </row>
    <row r="101" spans="1:243" x14ac:dyDescent="0.2">
      <c r="A101">
        <f t="shared" si="12"/>
        <v>24.25</v>
      </c>
      <c r="E101">
        <f t="shared" si="13"/>
        <v>24.25</v>
      </c>
      <c r="I101">
        <f t="shared" si="14"/>
        <v>24.25</v>
      </c>
      <c r="J101" t="s">
        <v>414</v>
      </c>
      <c r="K101">
        <v>33</v>
      </c>
      <c r="L101">
        <f>16.35117682*1.059464^K101</f>
        <v>110.00027071140791</v>
      </c>
      <c r="M101">
        <f t="shared" si="15"/>
        <v>24.25</v>
      </c>
      <c r="R101">
        <v>62</v>
      </c>
      <c r="S101" t="s">
        <v>481</v>
      </c>
      <c r="T101">
        <v>52</v>
      </c>
      <c r="U101">
        <f t="shared" si="10"/>
        <v>329.63372180082422</v>
      </c>
      <c r="V101">
        <f t="shared" si="16"/>
        <v>2</v>
      </c>
      <c r="W101">
        <v>62</v>
      </c>
      <c r="X101" t="s">
        <v>482</v>
      </c>
      <c r="Y101">
        <v>53</v>
      </c>
      <c r="Z101">
        <f>16.35117682*1.059464^Y101</f>
        <v>349.23506143398839</v>
      </c>
      <c r="AA101">
        <f>ABS(Y101-T100)</f>
        <v>3</v>
      </c>
      <c r="AB101">
        <v>73.5</v>
      </c>
      <c r="AC101" t="s">
        <v>222</v>
      </c>
      <c r="AD101">
        <v>51</v>
      </c>
      <c r="AE101">
        <f t="shared" si="11"/>
        <v>311.13253664194741</v>
      </c>
      <c r="AF101">
        <f t="shared" si="17"/>
        <v>2</v>
      </c>
      <c r="AH101">
        <v>73.5</v>
      </c>
      <c r="II101">
        <v>126.5</v>
      </c>
    </row>
    <row r="102" spans="1:243" x14ac:dyDescent="0.2">
      <c r="A102">
        <f t="shared" si="12"/>
        <v>24.5</v>
      </c>
      <c r="E102">
        <f t="shared" si="13"/>
        <v>24.5</v>
      </c>
      <c r="I102">
        <f t="shared" si="14"/>
        <v>24.5</v>
      </c>
      <c r="M102">
        <f t="shared" si="15"/>
        <v>24.5</v>
      </c>
      <c r="R102">
        <v>62.5</v>
      </c>
      <c r="S102" t="s">
        <v>239</v>
      </c>
      <c r="T102">
        <v>54</v>
      </c>
      <c r="U102">
        <f t="shared" si="10"/>
        <v>370.00197512709912</v>
      </c>
      <c r="V102">
        <f t="shared" si="16"/>
        <v>2</v>
      </c>
      <c r="W102">
        <v>62.5</v>
      </c>
      <c r="X102" t="s">
        <v>47</v>
      </c>
      <c r="Y102">
        <v>47</v>
      </c>
      <c r="Z102">
        <f>16.35117682*1.059464^Y102</f>
        <v>246.94521361646048</v>
      </c>
      <c r="AB102">
        <v>74</v>
      </c>
      <c r="AC102" t="s">
        <v>391</v>
      </c>
      <c r="AD102">
        <v>54</v>
      </c>
      <c r="AE102">
        <f t="shared" si="11"/>
        <v>370.00197512709912</v>
      </c>
      <c r="AF102">
        <f t="shared" si="17"/>
        <v>3</v>
      </c>
      <c r="AH102">
        <v>74</v>
      </c>
      <c r="II102">
        <v>128</v>
      </c>
    </row>
    <row r="103" spans="1:243" x14ac:dyDescent="0.2">
      <c r="A103">
        <f t="shared" si="12"/>
        <v>24.75</v>
      </c>
      <c r="E103">
        <f t="shared" si="13"/>
        <v>24.75</v>
      </c>
      <c r="I103">
        <f t="shared" si="14"/>
        <v>24.75</v>
      </c>
      <c r="J103" t="s">
        <v>27</v>
      </c>
      <c r="K103">
        <v>36</v>
      </c>
      <c r="L103">
        <f>16.35117682*1.059464^K103</f>
        <v>130.81344004395982</v>
      </c>
      <c r="M103">
        <f t="shared" si="15"/>
        <v>24.75</v>
      </c>
      <c r="R103">
        <v>63</v>
      </c>
      <c r="S103" t="s">
        <v>480</v>
      </c>
      <c r="T103">
        <v>50</v>
      </c>
      <c r="U103">
        <f t="shared" si="10"/>
        <v>293.66975814369101</v>
      </c>
      <c r="V103">
        <f t="shared" si="16"/>
        <v>4</v>
      </c>
      <c r="W103">
        <v>63</v>
      </c>
      <c r="AB103">
        <v>74.5</v>
      </c>
      <c r="AC103" t="s">
        <v>222</v>
      </c>
      <c r="AD103">
        <v>51</v>
      </c>
      <c r="AE103">
        <f t="shared" si="11"/>
        <v>311.13253664194741</v>
      </c>
      <c r="AF103">
        <f t="shared" si="17"/>
        <v>3</v>
      </c>
      <c r="AH103">
        <v>74.5</v>
      </c>
      <c r="II103">
        <v>128.5</v>
      </c>
    </row>
    <row r="104" spans="1:243" x14ac:dyDescent="0.2">
      <c r="A104">
        <f t="shared" si="12"/>
        <v>25</v>
      </c>
      <c r="B104" t="s">
        <v>28</v>
      </c>
      <c r="C104">
        <v>38</v>
      </c>
      <c r="D104">
        <f>16.35117682*1.059464^C104</f>
        <v>146.83337288738056</v>
      </c>
      <c r="E104">
        <f t="shared" si="13"/>
        <v>25</v>
      </c>
      <c r="I104">
        <f t="shared" si="14"/>
        <v>25</v>
      </c>
      <c r="M104">
        <f t="shared" si="15"/>
        <v>25</v>
      </c>
      <c r="R104">
        <v>63.5</v>
      </c>
      <c r="S104" t="s">
        <v>239</v>
      </c>
      <c r="T104">
        <v>54</v>
      </c>
      <c r="U104">
        <f t="shared" si="10"/>
        <v>370.00197512709912</v>
      </c>
      <c r="V104">
        <f t="shared" si="16"/>
        <v>4</v>
      </c>
      <c r="W104">
        <v>63.5</v>
      </c>
      <c r="X104" t="s">
        <v>482</v>
      </c>
      <c r="Y104">
        <v>53</v>
      </c>
      <c r="Z104">
        <f>16.35117682*1.059464^Y104</f>
        <v>349.23506143398839</v>
      </c>
      <c r="AA104">
        <f>ABS(Y104-T103)</f>
        <v>3</v>
      </c>
      <c r="AB104">
        <v>75</v>
      </c>
      <c r="AC104" t="s">
        <v>18</v>
      </c>
      <c r="AD104">
        <v>54</v>
      </c>
      <c r="AE104">
        <f t="shared" si="11"/>
        <v>370.00197512709912</v>
      </c>
      <c r="AF104">
        <f t="shared" si="17"/>
        <v>3</v>
      </c>
      <c r="AH104">
        <v>75</v>
      </c>
      <c r="II104">
        <v>129.5</v>
      </c>
    </row>
    <row r="105" spans="1:243" x14ac:dyDescent="0.2">
      <c r="A105">
        <f t="shared" si="12"/>
        <v>25.25</v>
      </c>
      <c r="E105">
        <f t="shared" si="13"/>
        <v>25.25</v>
      </c>
      <c r="I105">
        <f t="shared" si="14"/>
        <v>25.25</v>
      </c>
      <c r="M105">
        <f t="shared" si="15"/>
        <v>25.25</v>
      </c>
      <c r="R105">
        <v>64</v>
      </c>
      <c r="S105" t="s">
        <v>479</v>
      </c>
      <c r="T105">
        <v>48</v>
      </c>
      <c r="U105">
        <f t="shared" si="10"/>
        <v>261.62956379894968</v>
      </c>
      <c r="V105">
        <f t="shared" si="16"/>
        <v>6</v>
      </c>
      <c r="W105">
        <v>64</v>
      </c>
      <c r="AB105">
        <v>75.5</v>
      </c>
      <c r="AC105" t="s">
        <v>19</v>
      </c>
      <c r="AD105">
        <v>59</v>
      </c>
      <c r="AE105">
        <f t="shared" si="11"/>
        <v>493.89549345236594</v>
      </c>
      <c r="AF105">
        <f t="shared" si="17"/>
        <v>5</v>
      </c>
      <c r="AH105">
        <v>75.5</v>
      </c>
      <c r="II105">
        <v>130.5</v>
      </c>
    </row>
    <row r="106" spans="1:243" x14ac:dyDescent="0.2">
      <c r="A106">
        <f t="shared" si="12"/>
        <v>25.5</v>
      </c>
      <c r="B106" t="s">
        <v>29</v>
      </c>
      <c r="C106">
        <v>40</v>
      </c>
      <c r="D106">
        <f>16.35117682*1.059464^C106</f>
        <v>164.8151702626221</v>
      </c>
      <c r="E106">
        <f t="shared" si="13"/>
        <v>25.5</v>
      </c>
      <c r="I106">
        <f t="shared" si="14"/>
        <v>25.5</v>
      </c>
      <c r="M106">
        <f t="shared" si="15"/>
        <v>25.5</v>
      </c>
      <c r="R106">
        <v>64.5</v>
      </c>
      <c r="S106" t="s">
        <v>481</v>
      </c>
      <c r="T106">
        <v>52</v>
      </c>
      <c r="U106">
        <f t="shared" si="10"/>
        <v>329.63372180082422</v>
      </c>
      <c r="V106">
        <f t="shared" si="16"/>
        <v>4</v>
      </c>
      <c r="W106">
        <v>64.5</v>
      </c>
      <c r="X106" t="s">
        <v>239</v>
      </c>
      <c r="Y106">
        <v>55</v>
      </c>
      <c r="Z106">
        <f>16.35117682*1.059464^Y106</f>
        <v>392.00377257605692</v>
      </c>
      <c r="AA106">
        <f>ABS(Y106-T105)</f>
        <v>7</v>
      </c>
      <c r="AB106">
        <v>76</v>
      </c>
      <c r="AC106" t="s">
        <v>20</v>
      </c>
      <c r="AD106">
        <v>60</v>
      </c>
      <c r="AE106">
        <f t="shared" si="11"/>
        <v>523.26449507501752</v>
      </c>
      <c r="AF106">
        <f t="shared" si="17"/>
        <v>1</v>
      </c>
      <c r="AH106">
        <v>76</v>
      </c>
      <c r="II106">
        <v>172</v>
      </c>
    </row>
    <row r="107" spans="1:243" x14ac:dyDescent="0.2">
      <c r="A107">
        <f t="shared" si="12"/>
        <v>25.75</v>
      </c>
      <c r="E107">
        <f t="shared" si="13"/>
        <v>25.75</v>
      </c>
      <c r="I107">
        <f t="shared" si="14"/>
        <v>25.75</v>
      </c>
      <c r="M107">
        <f t="shared" si="15"/>
        <v>25.75</v>
      </c>
      <c r="R107">
        <v>65.5</v>
      </c>
      <c r="S107" t="s">
        <v>46</v>
      </c>
      <c r="T107">
        <v>45</v>
      </c>
      <c r="U107">
        <f t="shared" si="10"/>
        <v>220.00279814001337</v>
      </c>
      <c r="V107">
        <f t="shared" si="16"/>
        <v>7</v>
      </c>
      <c r="W107">
        <v>65.5</v>
      </c>
      <c r="AB107">
        <v>77</v>
      </c>
      <c r="AC107" t="s">
        <v>19</v>
      </c>
      <c r="AD107">
        <v>59</v>
      </c>
      <c r="AE107">
        <f t="shared" si="11"/>
        <v>493.89549345236594</v>
      </c>
      <c r="AF107">
        <f t="shared" si="17"/>
        <v>1</v>
      </c>
      <c r="AH107">
        <v>77</v>
      </c>
      <c r="II107">
        <v>173</v>
      </c>
    </row>
    <row r="108" spans="1:243" x14ac:dyDescent="0.2">
      <c r="A108">
        <f t="shared" si="12"/>
        <v>26</v>
      </c>
      <c r="E108">
        <f t="shared" si="13"/>
        <v>26</v>
      </c>
      <c r="I108">
        <f t="shared" si="14"/>
        <v>26</v>
      </c>
      <c r="J108" t="s">
        <v>44</v>
      </c>
      <c r="K108">
        <v>43</v>
      </c>
      <c r="L108">
        <f>16.35117682*1.059464^K108</f>
        <v>195.99987576438383</v>
      </c>
      <c r="M108">
        <f t="shared" si="15"/>
        <v>26</v>
      </c>
      <c r="R108">
        <v>66</v>
      </c>
      <c r="S108" t="s">
        <v>292</v>
      </c>
      <c r="T108">
        <v>46</v>
      </c>
      <c r="U108">
        <f t="shared" si="10"/>
        <v>233.08504452861115</v>
      </c>
      <c r="V108">
        <f t="shared" si="16"/>
        <v>1</v>
      </c>
      <c r="W108">
        <v>66</v>
      </c>
      <c r="AB108">
        <v>78</v>
      </c>
      <c r="AC108" t="s">
        <v>22</v>
      </c>
      <c r="AD108">
        <v>57</v>
      </c>
      <c r="AE108">
        <f t="shared" si="11"/>
        <v>440.01010976071973</v>
      </c>
      <c r="AF108">
        <f t="shared" si="17"/>
        <v>2</v>
      </c>
      <c r="AH108">
        <v>78</v>
      </c>
    </row>
    <row r="109" spans="1:243" x14ac:dyDescent="0.2">
      <c r="A109">
        <f t="shared" si="12"/>
        <v>26.25</v>
      </c>
      <c r="E109">
        <f t="shared" si="13"/>
        <v>26.25</v>
      </c>
      <c r="I109">
        <f t="shared" si="14"/>
        <v>26.25</v>
      </c>
      <c r="J109" t="s">
        <v>46</v>
      </c>
      <c r="K109">
        <v>45</v>
      </c>
      <c r="L109">
        <f>16.35117682*1.059464^K109</f>
        <v>220.00279814001337</v>
      </c>
      <c r="M109">
        <f t="shared" si="15"/>
        <v>26.25</v>
      </c>
      <c r="R109">
        <v>66.5</v>
      </c>
      <c r="S109" t="s">
        <v>480</v>
      </c>
      <c r="T109">
        <v>50</v>
      </c>
      <c r="U109">
        <f t="shared" si="10"/>
        <v>293.66975814369101</v>
      </c>
      <c r="V109">
        <f t="shared" si="16"/>
        <v>4</v>
      </c>
      <c r="W109">
        <v>66.5</v>
      </c>
      <c r="AB109">
        <v>79</v>
      </c>
      <c r="AC109" t="s">
        <v>400</v>
      </c>
      <c r="AD109">
        <v>55</v>
      </c>
      <c r="AE109">
        <f t="shared" si="11"/>
        <v>392.00377257605692</v>
      </c>
      <c r="AF109">
        <f t="shared" si="17"/>
        <v>2</v>
      </c>
      <c r="AH109">
        <v>79</v>
      </c>
    </row>
    <row r="110" spans="1:243" x14ac:dyDescent="0.2">
      <c r="A110">
        <f t="shared" si="12"/>
        <v>26.5</v>
      </c>
      <c r="E110">
        <f t="shared" si="13"/>
        <v>26.5</v>
      </c>
      <c r="I110">
        <f t="shared" si="14"/>
        <v>26.5</v>
      </c>
      <c r="M110">
        <f t="shared" si="15"/>
        <v>26.5</v>
      </c>
      <c r="R110">
        <v>67</v>
      </c>
      <c r="S110" t="s">
        <v>482</v>
      </c>
      <c r="T110">
        <v>53</v>
      </c>
      <c r="U110">
        <f t="shared" si="10"/>
        <v>349.23506143398839</v>
      </c>
      <c r="V110">
        <f t="shared" si="16"/>
        <v>3</v>
      </c>
      <c r="W110">
        <v>67</v>
      </c>
      <c r="AB110">
        <v>80</v>
      </c>
      <c r="AC110" t="s">
        <v>480</v>
      </c>
      <c r="AD110">
        <v>50</v>
      </c>
      <c r="AE110">
        <f t="shared" si="11"/>
        <v>293.66975814369101</v>
      </c>
      <c r="AF110">
        <f t="shared" si="17"/>
        <v>5</v>
      </c>
      <c r="AH110">
        <v>80</v>
      </c>
      <c r="AI110" t="s">
        <v>390</v>
      </c>
      <c r="AJ110">
        <v>53</v>
      </c>
      <c r="AK110">
        <f t="shared" ref="AK110:AK130" si="18">16.35117682*1.059464^AJ110</f>
        <v>349.23506143398839</v>
      </c>
      <c r="AL110">
        <f>ABS(AJ110-AD109)</f>
        <v>2</v>
      </c>
    </row>
    <row r="111" spans="1:243" x14ac:dyDescent="0.2">
      <c r="A111">
        <f t="shared" si="12"/>
        <v>26.75</v>
      </c>
      <c r="E111">
        <f t="shared" si="13"/>
        <v>26.75</v>
      </c>
      <c r="I111">
        <f t="shared" si="14"/>
        <v>26.75</v>
      </c>
      <c r="J111" t="s">
        <v>479</v>
      </c>
      <c r="K111">
        <v>48</v>
      </c>
      <c r="L111">
        <f>16.35117682*1.059464^K111</f>
        <v>261.62956379894968</v>
      </c>
      <c r="M111">
        <f t="shared" si="15"/>
        <v>26.75</v>
      </c>
      <c r="R111">
        <v>67.5</v>
      </c>
      <c r="S111" t="s">
        <v>239</v>
      </c>
      <c r="T111">
        <v>55</v>
      </c>
      <c r="U111">
        <f t="shared" si="10"/>
        <v>392.00377257605692</v>
      </c>
      <c r="V111">
        <f t="shared" si="16"/>
        <v>2</v>
      </c>
      <c r="W111">
        <v>67.5</v>
      </c>
      <c r="AB111">
        <v>80.5</v>
      </c>
      <c r="AC111" t="s">
        <v>167</v>
      </c>
      <c r="AD111">
        <v>51</v>
      </c>
      <c r="AE111">
        <f t="shared" si="11"/>
        <v>311.13253664194741</v>
      </c>
      <c r="AF111">
        <f t="shared" si="17"/>
        <v>1</v>
      </c>
      <c r="AH111">
        <v>80.5</v>
      </c>
      <c r="AI111" t="s">
        <v>391</v>
      </c>
      <c r="AJ111">
        <v>54</v>
      </c>
      <c r="AK111">
        <f t="shared" si="18"/>
        <v>370.00197512709912</v>
      </c>
      <c r="AL111">
        <f t="shared" ref="AL111:AL130" si="19">ABS(AJ111-AJ110)</f>
        <v>1</v>
      </c>
    </row>
    <row r="112" spans="1:243" x14ac:dyDescent="0.2">
      <c r="A112">
        <f t="shared" si="12"/>
        <v>27</v>
      </c>
      <c r="B112" t="s">
        <v>480</v>
      </c>
      <c r="C112">
        <v>50</v>
      </c>
      <c r="D112">
        <f>16.35117682*1.059464^C112</f>
        <v>293.66975814369101</v>
      </c>
      <c r="E112">
        <f t="shared" si="13"/>
        <v>27</v>
      </c>
      <c r="I112">
        <f t="shared" si="14"/>
        <v>27</v>
      </c>
      <c r="M112">
        <f t="shared" si="15"/>
        <v>27</v>
      </c>
      <c r="R112">
        <v>68</v>
      </c>
      <c r="S112" t="s">
        <v>411</v>
      </c>
      <c r="T112">
        <v>58</v>
      </c>
      <c r="U112">
        <f t="shared" si="10"/>
        <v>466.17487092753117</v>
      </c>
      <c r="V112">
        <f t="shared" si="16"/>
        <v>3</v>
      </c>
      <c r="W112">
        <v>68</v>
      </c>
      <c r="AB112">
        <v>81</v>
      </c>
      <c r="AC112" t="s">
        <v>481</v>
      </c>
      <c r="AD112">
        <v>52</v>
      </c>
      <c r="AE112">
        <f t="shared" si="11"/>
        <v>329.63372180082422</v>
      </c>
      <c r="AF112">
        <f t="shared" si="17"/>
        <v>1</v>
      </c>
      <c r="AH112">
        <v>81</v>
      </c>
      <c r="AI112" t="s">
        <v>392</v>
      </c>
      <c r="AJ112">
        <v>55</v>
      </c>
      <c r="AK112">
        <f t="shared" si="18"/>
        <v>392.00377257605692</v>
      </c>
      <c r="AL112">
        <f t="shared" si="19"/>
        <v>1</v>
      </c>
    </row>
    <row r="113" spans="1:38" x14ac:dyDescent="0.2">
      <c r="A113">
        <f t="shared" si="12"/>
        <v>27.25</v>
      </c>
      <c r="E113">
        <f t="shared" si="13"/>
        <v>27.25</v>
      </c>
      <c r="I113">
        <f t="shared" si="14"/>
        <v>27.25</v>
      </c>
      <c r="M113">
        <f t="shared" si="15"/>
        <v>27.25</v>
      </c>
      <c r="R113">
        <v>68.5</v>
      </c>
      <c r="S113" t="s">
        <v>242</v>
      </c>
      <c r="T113">
        <v>62</v>
      </c>
      <c r="U113">
        <f t="shared" si="10"/>
        <v>587.34554108704231</v>
      </c>
      <c r="V113">
        <f t="shared" si="16"/>
        <v>4</v>
      </c>
      <c r="W113">
        <v>68.5</v>
      </c>
      <c r="AB113">
        <v>81.5</v>
      </c>
      <c r="AC113" t="s">
        <v>164</v>
      </c>
      <c r="AD113">
        <v>51</v>
      </c>
      <c r="AE113">
        <f t="shared" si="11"/>
        <v>311.13253664194741</v>
      </c>
      <c r="AF113">
        <f t="shared" si="17"/>
        <v>1</v>
      </c>
      <c r="AH113">
        <v>81.5</v>
      </c>
      <c r="AI113" t="s">
        <v>393</v>
      </c>
      <c r="AJ113">
        <v>54</v>
      </c>
      <c r="AK113">
        <f t="shared" si="18"/>
        <v>370.00197512709912</v>
      </c>
      <c r="AL113">
        <f t="shared" si="19"/>
        <v>1</v>
      </c>
    </row>
    <row r="114" spans="1:38" x14ac:dyDescent="0.2">
      <c r="A114">
        <f t="shared" si="12"/>
        <v>27.5</v>
      </c>
      <c r="B114" t="s">
        <v>481</v>
      </c>
      <c r="C114">
        <v>52</v>
      </c>
      <c r="D114">
        <f>16.35117682*1.059464^C114</f>
        <v>329.63372180082422</v>
      </c>
      <c r="E114">
        <f t="shared" si="13"/>
        <v>27.5</v>
      </c>
      <c r="I114">
        <f t="shared" si="14"/>
        <v>27.5</v>
      </c>
      <c r="M114">
        <f t="shared" si="15"/>
        <v>27.5</v>
      </c>
      <c r="R114">
        <v>69</v>
      </c>
      <c r="S114" t="s">
        <v>246</v>
      </c>
      <c r="T114">
        <v>65</v>
      </c>
      <c r="U114">
        <f t="shared" si="10"/>
        <v>698.47728762097279</v>
      </c>
      <c r="V114">
        <f t="shared" si="16"/>
        <v>3</v>
      </c>
      <c r="W114">
        <v>69</v>
      </c>
      <c r="AB114">
        <v>82</v>
      </c>
      <c r="AC114" t="s">
        <v>480</v>
      </c>
      <c r="AD114">
        <v>50</v>
      </c>
      <c r="AE114">
        <f t="shared" si="11"/>
        <v>293.66975814369101</v>
      </c>
      <c r="AF114">
        <f t="shared" si="17"/>
        <v>1</v>
      </c>
      <c r="AH114">
        <v>82</v>
      </c>
      <c r="AI114" t="s">
        <v>390</v>
      </c>
      <c r="AJ114">
        <v>53</v>
      </c>
      <c r="AK114">
        <f t="shared" si="18"/>
        <v>349.23506143398839</v>
      </c>
      <c r="AL114">
        <f t="shared" si="19"/>
        <v>1</v>
      </c>
    </row>
    <row r="115" spans="1:38" x14ac:dyDescent="0.2">
      <c r="A115">
        <f t="shared" si="12"/>
        <v>27.75</v>
      </c>
      <c r="B115" t="s">
        <v>239</v>
      </c>
      <c r="C115">
        <v>54</v>
      </c>
      <c r="D115">
        <f>16.35117682*1.059464^C115</f>
        <v>370.00197512709912</v>
      </c>
      <c r="E115">
        <f t="shared" si="13"/>
        <v>27.75</v>
      </c>
      <c r="I115">
        <f t="shared" si="14"/>
        <v>27.75</v>
      </c>
      <c r="M115">
        <f t="shared" si="15"/>
        <v>27.75</v>
      </c>
      <c r="R115">
        <v>69.5</v>
      </c>
      <c r="S115" t="s">
        <v>242</v>
      </c>
      <c r="T115">
        <v>62</v>
      </c>
      <c r="U115">
        <f t="shared" si="10"/>
        <v>587.34554108704231</v>
      </c>
      <c r="V115">
        <f t="shared" si="16"/>
        <v>3</v>
      </c>
      <c r="W115">
        <v>69.5</v>
      </c>
      <c r="AB115">
        <v>82.5</v>
      </c>
      <c r="AC115" t="s">
        <v>164</v>
      </c>
      <c r="AD115">
        <v>51</v>
      </c>
      <c r="AE115">
        <f t="shared" si="11"/>
        <v>311.13253664194741</v>
      </c>
      <c r="AF115">
        <f t="shared" si="17"/>
        <v>1</v>
      </c>
      <c r="AH115">
        <v>82.5</v>
      </c>
      <c r="AI115" t="s">
        <v>393</v>
      </c>
      <c r="AJ115">
        <v>54</v>
      </c>
      <c r="AK115">
        <f t="shared" si="18"/>
        <v>370.00197512709912</v>
      </c>
      <c r="AL115">
        <f t="shared" si="19"/>
        <v>1</v>
      </c>
    </row>
    <row r="116" spans="1:38" x14ac:dyDescent="0.2">
      <c r="A116">
        <f t="shared" si="12"/>
        <v>28</v>
      </c>
      <c r="E116">
        <f t="shared" si="13"/>
        <v>28</v>
      </c>
      <c r="I116">
        <f t="shared" si="14"/>
        <v>28</v>
      </c>
      <c r="J116" t="s">
        <v>243</v>
      </c>
      <c r="K116">
        <v>57</v>
      </c>
      <c r="L116">
        <f>16.35117682*1.059464^K116</f>
        <v>440.01010976071973</v>
      </c>
      <c r="M116">
        <f t="shared" si="15"/>
        <v>28</v>
      </c>
      <c r="R116">
        <v>70</v>
      </c>
      <c r="S116" t="s">
        <v>246</v>
      </c>
      <c r="T116">
        <v>65</v>
      </c>
      <c r="U116">
        <f t="shared" si="10"/>
        <v>698.47728762097279</v>
      </c>
      <c r="V116">
        <f t="shared" si="16"/>
        <v>3</v>
      </c>
      <c r="W116">
        <v>70</v>
      </c>
      <c r="AB116">
        <v>83</v>
      </c>
      <c r="AC116" t="s">
        <v>480</v>
      </c>
      <c r="AD116">
        <v>50</v>
      </c>
      <c r="AE116">
        <f t="shared" si="11"/>
        <v>293.66975814369101</v>
      </c>
      <c r="AF116">
        <f t="shared" si="17"/>
        <v>1</v>
      </c>
      <c r="AH116">
        <v>83</v>
      </c>
      <c r="AI116" t="s">
        <v>390</v>
      </c>
      <c r="AJ116">
        <v>53</v>
      </c>
      <c r="AK116">
        <f t="shared" si="18"/>
        <v>349.23506143398839</v>
      </c>
      <c r="AL116">
        <f t="shared" si="19"/>
        <v>1</v>
      </c>
    </row>
    <row r="117" spans="1:38" x14ac:dyDescent="0.2">
      <c r="A117">
        <f t="shared" si="12"/>
        <v>28.25</v>
      </c>
      <c r="E117">
        <f t="shared" si="13"/>
        <v>28.25</v>
      </c>
      <c r="I117">
        <f t="shared" si="14"/>
        <v>28.25</v>
      </c>
      <c r="J117" t="s">
        <v>240</v>
      </c>
      <c r="K117">
        <v>60</v>
      </c>
      <c r="L117">
        <f>16.35117682*1.059464^K117</f>
        <v>523.26449507501752</v>
      </c>
      <c r="M117">
        <f t="shared" si="15"/>
        <v>28.25</v>
      </c>
      <c r="R117">
        <v>70.5</v>
      </c>
      <c r="S117" t="s">
        <v>242</v>
      </c>
      <c r="T117">
        <v>62</v>
      </c>
      <c r="U117">
        <f t="shared" si="10"/>
        <v>587.34554108704231</v>
      </c>
      <c r="V117">
        <f t="shared" si="16"/>
        <v>3</v>
      </c>
      <c r="W117">
        <v>70.5</v>
      </c>
      <c r="AB117">
        <v>83.5</v>
      </c>
      <c r="AC117" t="s">
        <v>291</v>
      </c>
      <c r="AD117">
        <v>49</v>
      </c>
      <c r="AE117">
        <f t="shared" si="11"/>
        <v>277.18710418069043</v>
      </c>
      <c r="AF117">
        <f t="shared" si="17"/>
        <v>1</v>
      </c>
      <c r="AH117">
        <v>83.5</v>
      </c>
      <c r="AI117" t="s">
        <v>394</v>
      </c>
      <c r="AJ117">
        <v>52</v>
      </c>
      <c r="AK117">
        <f t="shared" si="18"/>
        <v>329.63372180082422</v>
      </c>
      <c r="AL117">
        <f t="shared" si="19"/>
        <v>1</v>
      </c>
    </row>
    <row r="118" spans="1:38" x14ac:dyDescent="0.2">
      <c r="A118">
        <f t="shared" si="12"/>
        <v>28.5</v>
      </c>
      <c r="E118">
        <f t="shared" si="13"/>
        <v>28.5</v>
      </c>
      <c r="I118">
        <f t="shared" si="14"/>
        <v>28.5</v>
      </c>
      <c r="M118">
        <f t="shared" si="15"/>
        <v>28.5</v>
      </c>
      <c r="R118">
        <v>71</v>
      </c>
      <c r="S118" t="s">
        <v>246</v>
      </c>
      <c r="T118">
        <v>65</v>
      </c>
      <c r="U118">
        <f t="shared" si="10"/>
        <v>698.47728762097279</v>
      </c>
      <c r="V118">
        <f t="shared" si="16"/>
        <v>3</v>
      </c>
      <c r="W118">
        <v>71</v>
      </c>
      <c r="AB118">
        <v>84</v>
      </c>
      <c r="AC118" t="s">
        <v>479</v>
      </c>
      <c r="AD118">
        <v>48</v>
      </c>
      <c r="AE118">
        <f t="shared" si="11"/>
        <v>261.62956379894968</v>
      </c>
      <c r="AF118">
        <f t="shared" si="17"/>
        <v>1</v>
      </c>
      <c r="AH118">
        <v>84</v>
      </c>
      <c r="AI118" t="s">
        <v>222</v>
      </c>
      <c r="AJ118">
        <v>51</v>
      </c>
      <c r="AK118">
        <f t="shared" si="18"/>
        <v>311.13253664194741</v>
      </c>
      <c r="AL118">
        <f t="shared" si="19"/>
        <v>1</v>
      </c>
    </row>
    <row r="119" spans="1:38" x14ac:dyDescent="0.2">
      <c r="A119">
        <f t="shared" si="12"/>
        <v>28.75</v>
      </c>
      <c r="E119">
        <f t="shared" si="13"/>
        <v>28.75</v>
      </c>
      <c r="I119">
        <f t="shared" si="14"/>
        <v>28.75</v>
      </c>
      <c r="J119" t="s">
        <v>242</v>
      </c>
      <c r="K119">
        <v>62</v>
      </c>
      <c r="L119">
        <f>16.35117682*1.059464^K119</f>
        <v>587.34554108704231</v>
      </c>
      <c r="M119">
        <f t="shared" si="15"/>
        <v>28.75</v>
      </c>
      <c r="R119">
        <v>71.5</v>
      </c>
      <c r="S119" t="s">
        <v>165</v>
      </c>
      <c r="T119">
        <v>63</v>
      </c>
      <c r="U119">
        <f t="shared" si="10"/>
        <v>622.27145634224212</v>
      </c>
      <c r="V119">
        <f t="shared" si="16"/>
        <v>2</v>
      </c>
      <c r="W119">
        <v>71.5</v>
      </c>
      <c r="AB119">
        <v>84.5</v>
      </c>
      <c r="AC119" t="s">
        <v>47</v>
      </c>
      <c r="AD119">
        <v>47</v>
      </c>
      <c r="AE119">
        <f t="shared" si="11"/>
        <v>246.94521361646048</v>
      </c>
      <c r="AF119">
        <f t="shared" si="17"/>
        <v>1</v>
      </c>
      <c r="AH119">
        <v>84.5</v>
      </c>
      <c r="AI119" t="s">
        <v>223</v>
      </c>
      <c r="AJ119">
        <v>50</v>
      </c>
      <c r="AK119">
        <f t="shared" si="18"/>
        <v>293.66975814369101</v>
      </c>
      <c r="AL119">
        <f t="shared" si="19"/>
        <v>1</v>
      </c>
    </row>
    <row r="120" spans="1:38" x14ac:dyDescent="0.2">
      <c r="A120">
        <f t="shared" si="12"/>
        <v>29</v>
      </c>
      <c r="B120" t="s">
        <v>255</v>
      </c>
      <c r="C120">
        <v>64</v>
      </c>
      <c r="D120">
        <f>16.35117682*1.059464^C120</f>
        <v>659.27420622217721</v>
      </c>
      <c r="E120">
        <f t="shared" si="13"/>
        <v>29</v>
      </c>
      <c r="I120">
        <f t="shared" si="14"/>
        <v>29</v>
      </c>
      <c r="M120">
        <f t="shared" si="15"/>
        <v>29</v>
      </c>
      <c r="R120">
        <v>72</v>
      </c>
      <c r="S120" t="s">
        <v>246</v>
      </c>
      <c r="T120">
        <v>65</v>
      </c>
      <c r="U120">
        <f t="shared" si="10"/>
        <v>698.47728762097279</v>
      </c>
      <c r="V120">
        <f t="shared" si="16"/>
        <v>2</v>
      </c>
      <c r="W120">
        <v>72</v>
      </c>
      <c r="AB120">
        <v>85</v>
      </c>
      <c r="AC120" t="s">
        <v>292</v>
      </c>
      <c r="AD120">
        <v>46</v>
      </c>
      <c r="AE120">
        <f t="shared" si="11"/>
        <v>233.08504452861115</v>
      </c>
      <c r="AF120">
        <f t="shared" si="17"/>
        <v>1</v>
      </c>
      <c r="AH120">
        <v>85</v>
      </c>
      <c r="AI120" t="s">
        <v>223</v>
      </c>
      <c r="AJ120">
        <v>49</v>
      </c>
      <c r="AK120">
        <f t="shared" si="18"/>
        <v>277.18710418069043</v>
      </c>
      <c r="AL120">
        <f t="shared" si="19"/>
        <v>1</v>
      </c>
    </row>
    <row r="121" spans="1:38" x14ac:dyDescent="0.2">
      <c r="A121">
        <f t="shared" si="12"/>
        <v>29.25</v>
      </c>
      <c r="E121">
        <f t="shared" si="13"/>
        <v>29.25</v>
      </c>
      <c r="I121">
        <f t="shared" si="14"/>
        <v>29.25</v>
      </c>
      <c r="M121">
        <f t="shared" si="15"/>
        <v>29.25</v>
      </c>
      <c r="R121">
        <v>72.5</v>
      </c>
      <c r="S121" t="s">
        <v>165</v>
      </c>
      <c r="T121">
        <v>63</v>
      </c>
      <c r="U121">
        <f t="shared" si="10"/>
        <v>622.27145634224212</v>
      </c>
      <c r="V121">
        <f t="shared" si="16"/>
        <v>2</v>
      </c>
      <c r="W121">
        <v>72.5</v>
      </c>
      <c r="AB121">
        <v>85.5</v>
      </c>
      <c r="AC121" t="s">
        <v>46</v>
      </c>
      <c r="AD121">
        <v>45</v>
      </c>
      <c r="AE121">
        <f t="shared" si="11"/>
        <v>220.00279814001337</v>
      </c>
      <c r="AF121">
        <f t="shared" si="17"/>
        <v>1</v>
      </c>
      <c r="AH121">
        <v>85.5</v>
      </c>
      <c r="AI121" t="s">
        <v>323</v>
      </c>
      <c r="AJ121">
        <v>48</v>
      </c>
      <c r="AK121">
        <f t="shared" si="18"/>
        <v>261.62956379894968</v>
      </c>
      <c r="AL121">
        <f t="shared" si="19"/>
        <v>1</v>
      </c>
    </row>
    <row r="122" spans="1:38" x14ac:dyDescent="0.2">
      <c r="A122">
        <f t="shared" si="12"/>
        <v>29.5</v>
      </c>
      <c r="B122" t="s">
        <v>245</v>
      </c>
      <c r="C122">
        <v>67</v>
      </c>
      <c r="D122">
        <f>16.35117682*1.059464^C122</f>
        <v>784.01558732918636</v>
      </c>
      <c r="E122">
        <f t="shared" si="13"/>
        <v>29.5</v>
      </c>
      <c r="I122">
        <f t="shared" si="14"/>
        <v>29.5</v>
      </c>
      <c r="J122" t="s">
        <v>242</v>
      </c>
      <c r="K122">
        <v>62</v>
      </c>
      <c r="L122">
        <f>16.35117682*1.059464^K122</f>
        <v>587.34554108704231</v>
      </c>
      <c r="M122">
        <f t="shared" si="15"/>
        <v>29.5</v>
      </c>
      <c r="N122" t="s">
        <v>246</v>
      </c>
      <c r="O122">
        <v>65</v>
      </c>
      <c r="P122">
        <f>16.35117682*1.059464^O122</f>
        <v>698.47728762097279</v>
      </c>
      <c r="R122">
        <v>73</v>
      </c>
      <c r="S122" t="s">
        <v>246</v>
      </c>
      <c r="T122">
        <v>65</v>
      </c>
      <c r="U122">
        <f t="shared" si="10"/>
        <v>698.47728762097279</v>
      </c>
      <c r="V122">
        <f t="shared" si="16"/>
        <v>2</v>
      </c>
      <c r="W122">
        <v>73</v>
      </c>
      <c r="AB122">
        <v>86</v>
      </c>
      <c r="AC122" t="s">
        <v>168</v>
      </c>
      <c r="AD122">
        <v>44</v>
      </c>
      <c r="AE122">
        <f t="shared" si="11"/>
        <v>207.65481237683719</v>
      </c>
      <c r="AF122">
        <f t="shared" si="17"/>
        <v>1</v>
      </c>
      <c r="AH122">
        <v>86</v>
      </c>
      <c r="AI122" t="s">
        <v>307</v>
      </c>
      <c r="AJ122">
        <v>47</v>
      </c>
      <c r="AK122">
        <f t="shared" si="18"/>
        <v>246.94521361646048</v>
      </c>
      <c r="AL122">
        <f t="shared" si="19"/>
        <v>1</v>
      </c>
    </row>
    <row r="123" spans="1:38" x14ac:dyDescent="0.2">
      <c r="A123">
        <f t="shared" si="12"/>
        <v>29.75</v>
      </c>
      <c r="B123" t="s">
        <v>256</v>
      </c>
      <c r="C123">
        <v>69</v>
      </c>
      <c r="D123">
        <f>16.35117682*1.059464^C123</f>
        <v>880.02924657542201</v>
      </c>
      <c r="E123">
        <f t="shared" si="13"/>
        <v>29.75</v>
      </c>
      <c r="I123">
        <f t="shared" si="14"/>
        <v>29.75</v>
      </c>
      <c r="M123">
        <f t="shared" si="15"/>
        <v>29.75</v>
      </c>
      <c r="R123">
        <v>73.5</v>
      </c>
      <c r="S123" t="s">
        <v>165</v>
      </c>
      <c r="T123">
        <v>63</v>
      </c>
      <c r="U123">
        <f t="shared" si="10"/>
        <v>622.27145634224212</v>
      </c>
      <c r="V123">
        <f t="shared" si="16"/>
        <v>2</v>
      </c>
      <c r="W123">
        <v>73.5</v>
      </c>
      <c r="AB123">
        <v>86.5</v>
      </c>
      <c r="AC123" t="s">
        <v>44</v>
      </c>
      <c r="AD123">
        <v>43</v>
      </c>
      <c r="AE123">
        <f t="shared" si="11"/>
        <v>195.99987576438383</v>
      </c>
      <c r="AF123">
        <f t="shared" si="17"/>
        <v>1</v>
      </c>
      <c r="AH123">
        <v>86.5</v>
      </c>
      <c r="AI123" t="s">
        <v>325</v>
      </c>
      <c r="AJ123">
        <v>46</v>
      </c>
      <c r="AK123">
        <f t="shared" si="18"/>
        <v>233.08504452861115</v>
      </c>
      <c r="AL123">
        <f t="shared" si="19"/>
        <v>1</v>
      </c>
    </row>
    <row r="124" spans="1:38" x14ac:dyDescent="0.2">
      <c r="A124">
        <f t="shared" si="12"/>
        <v>30</v>
      </c>
      <c r="B124" t="s">
        <v>410</v>
      </c>
      <c r="C124">
        <v>72</v>
      </c>
      <c r="D124">
        <f>16.35117682*1.059464^C124</f>
        <v>1046.5397252143878</v>
      </c>
      <c r="E124">
        <f t="shared" si="13"/>
        <v>30</v>
      </c>
      <c r="F124" t="s">
        <v>245</v>
      </c>
      <c r="G124">
        <v>67</v>
      </c>
      <c r="H124">
        <f>16.35117682*1.059464^G124</f>
        <v>784.01558732918636</v>
      </c>
      <c r="I124">
        <f t="shared" si="14"/>
        <v>30</v>
      </c>
      <c r="J124" t="s">
        <v>240</v>
      </c>
      <c r="K124">
        <v>60</v>
      </c>
      <c r="L124">
        <f>16.35117682*1.059464^K124</f>
        <v>523.26449507501752</v>
      </c>
      <c r="M124">
        <f t="shared" si="15"/>
        <v>30</v>
      </c>
      <c r="N124" t="s">
        <v>255</v>
      </c>
      <c r="O124">
        <v>64</v>
      </c>
      <c r="P124">
        <f>16.35117682*1.059464^O124</f>
        <v>659.27420622217721</v>
      </c>
      <c r="R124">
        <v>74</v>
      </c>
      <c r="S124" t="s">
        <v>166</v>
      </c>
      <c r="T124">
        <v>66</v>
      </c>
      <c r="U124">
        <f t="shared" si="10"/>
        <v>740.01154105206626</v>
      </c>
      <c r="V124">
        <f t="shared" si="16"/>
        <v>3</v>
      </c>
      <c r="W124">
        <v>74</v>
      </c>
      <c r="AB124">
        <v>87</v>
      </c>
      <c r="AC124" t="s">
        <v>169</v>
      </c>
      <c r="AD124">
        <v>42</v>
      </c>
      <c r="AE124">
        <f t="shared" si="11"/>
        <v>184.99908988354849</v>
      </c>
      <c r="AF124">
        <f t="shared" si="17"/>
        <v>1</v>
      </c>
      <c r="AH124">
        <v>87</v>
      </c>
      <c r="AI124" t="s">
        <v>487</v>
      </c>
      <c r="AJ124">
        <v>45</v>
      </c>
      <c r="AK124">
        <f t="shared" si="18"/>
        <v>220.00279814001337</v>
      </c>
      <c r="AL124">
        <f t="shared" si="19"/>
        <v>1</v>
      </c>
    </row>
    <row r="125" spans="1:38" x14ac:dyDescent="0.2">
      <c r="A125">
        <f t="shared" si="12"/>
        <v>30.25</v>
      </c>
      <c r="E125">
        <f t="shared" si="13"/>
        <v>30.25</v>
      </c>
      <c r="I125">
        <f t="shared" si="14"/>
        <v>30.25</v>
      </c>
      <c r="M125">
        <f t="shared" si="15"/>
        <v>30.25</v>
      </c>
      <c r="R125">
        <v>74.5</v>
      </c>
      <c r="S125" t="s">
        <v>165</v>
      </c>
      <c r="T125">
        <v>63</v>
      </c>
      <c r="U125">
        <f t="shared" si="10"/>
        <v>622.27145634224212</v>
      </c>
      <c r="V125">
        <f t="shared" si="16"/>
        <v>3</v>
      </c>
      <c r="W125">
        <v>74.5</v>
      </c>
      <c r="AB125">
        <v>87.5</v>
      </c>
      <c r="AC125" t="s">
        <v>30</v>
      </c>
      <c r="AD125">
        <v>41</v>
      </c>
      <c r="AE125">
        <f t="shared" si="11"/>
        <v>174.61573954711864</v>
      </c>
      <c r="AF125">
        <f t="shared" si="17"/>
        <v>1</v>
      </c>
      <c r="AH125">
        <v>87.5</v>
      </c>
      <c r="AI125" t="s">
        <v>327</v>
      </c>
      <c r="AJ125">
        <v>44</v>
      </c>
      <c r="AK125">
        <f t="shared" si="18"/>
        <v>207.65481237683719</v>
      </c>
      <c r="AL125">
        <f t="shared" si="19"/>
        <v>1</v>
      </c>
    </row>
    <row r="126" spans="1:38" x14ac:dyDescent="0.2">
      <c r="A126">
        <f t="shared" si="12"/>
        <v>30.5</v>
      </c>
      <c r="E126">
        <f t="shared" si="13"/>
        <v>30.5</v>
      </c>
      <c r="I126">
        <f t="shared" si="14"/>
        <v>30.5</v>
      </c>
      <c r="M126">
        <f t="shared" si="15"/>
        <v>30.5</v>
      </c>
      <c r="R126">
        <v>75</v>
      </c>
      <c r="S126" t="s">
        <v>166</v>
      </c>
      <c r="T126">
        <v>66</v>
      </c>
      <c r="U126">
        <f t="shared" si="10"/>
        <v>740.01154105206626</v>
      </c>
      <c r="V126">
        <f t="shared" si="16"/>
        <v>3</v>
      </c>
      <c r="W126">
        <v>75</v>
      </c>
      <c r="AB126">
        <v>88</v>
      </c>
      <c r="AC126" t="s">
        <v>29</v>
      </c>
      <c r="AD126">
        <v>40</v>
      </c>
      <c r="AE126">
        <f t="shared" si="11"/>
        <v>164.8151702626221</v>
      </c>
      <c r="AF126">
        <f t="shared" si="17"/>
        <v>1</v>
      </c>
      <c r="AH126">
        <v>88</v>
      </c>
      <c r="AI126" t="s">
        <v>444</v>
      </c>
      <c r="AJ126">
        <v>43</v>
      </c>
      <c r="AK126">
        <f t="shared" si="18"/>
        <v>195.99987576438383</v>
      </c>
      <c r="AL126">
        <f t="shared" si="19"/>
        <v>1</v>
      </c>
    </row>
    <row r="127" spans="1:38" x14ac:dyDescent="0.2">
      <c r="A127">
        <f t="shared" si="12"/>
        <v>30.75</v>
      </c>
      <c r="E127">
        <f t="shared" si="13"/>
        <v>30.75</v>
      </c>
      <c r="I127">
        <f t="shared" si="14"/>
        <v>30.75</v>
      </c>
      <c r="M127">
        <f t="shared" si="15"/>
        <v>30.75</v>
      </c>
      <c r="R127">
        <v>76</v>
      </c>
      <c r="S127" t="s">
        <v>255</v>
      </c>
      <c r="T127">
        <v>64</v>
      </c>
      <c r="U127">
        <f t="shared" si="10"/>
        <v>659.27420622217721</v>
      </c>
      <c r="V127">
        <f t="shared" si="16"/>
        <v>2</v>
      </c>
      <c r="W127">
        <v>76</v>
      </c>
      <c r="AB127">
        <v>88.5</v>
      </c>
      <c r="AC127" t="s">
        <v>170</v>
      </c>
      <c r="AD127">
        <v>39</v>
      </c>
      <c r="AE127">
        <f t="shared" si="11"/>
        <v>155.56467257275574</v>
      </c>
      <c r="AF127">
        <f t="shared" si="17"/>
        <v>1</v>
      </c>
      <c r="AH127">
        <v>88.5</v>
      </c>
      <c r="AI127" t="s">
        <v>329</v>
      </c>
      <c r="AJ127">
        <v>42</v>
      </c>
      <c r="AK127">
        <f t="shared" si="18"/>
        <v>184.99908988354849</v>
      </c>
      <c r="AL127">
        <f t="shared" si="19"/>
        <v>1</v>
      </c>
    </row>
    <row r="128" spans="1:38" x14ac:dyDescent="0.2">
      <c r="A128">
        <f t="shared" si="12"/>
        <v>31</v>
      </c>
      <c r="E128">
        <f t="shared" si="13"/>
        <v>31</v>
      </c>
      <c r="I128">
        <f t="shared" si="14"/>
        <v>31</v>
      </c>
      <c r="M128">
        <f t="shared" si="15"/>
        <v>31</v>
      </c>
      <c r="R128">
        <v>76.25</v>
      </c>
      <c r="S128" t="s">
        <v>245</v>
      </c>
      <c r="T128">
        <v>67</v>
      </c>
      <c r="U128">
        <f t="shared" si="10"/>
        <v>784.01558732918636</v>
      </c>
      <c r="V128">
        <f t="shared" si="16"/>
        <v>3</v>
      </c>
      <c r="W128">
        <v>76.25</v>
      </c>
      <c r="AB128">
        <v>89</v>
      </c>
      <c r="AC128" t="s">
        <v>28</v>
      </c>
      <c r="AD128">
        <v>38</v>
      </c>
      <c r="AE128">
        <f t="shared" si="11"/>
        <v>146.83337288738056</v>
      </c>
      <c r="AF128">
        <f t="shared" si="17"/>
        <v>1</v>
      </c>
      <c r="AH128">
        <v>89</v>
      </c>
      <c r="AI128" t="s">
        <v>318</v>
      </c>
      <c r="AJ128">
        <v>41</v>
      </c>
      <c r="AK128">
        <f t="shared" si="18"/>
        <v>174.61573954711864</v>
      </c>
      <c r="AL128">
        <f t="shared" si="19"/>
        <v>1</v>
      </c>
    </row>
    <row r="129" spans="1:38" x14ac:dyDescent="0.2">
      <c r="A129">
        <f t="shared" si="12"/>
        <v>31.25</v>
      </c>
      <c r="E129">
        <f t="shared" si="13"/>
        <v>31.25</v>
      </c>
      <c r="I129">
        <f t="shared" si="14"/>
        <v>31.25</v>
      </c>
      <c r="M129">
        <f t="shared" si="15"/>
        <v>31.25</v>
      </c>
      <c r="R129">
        <v>76.75</v>
      </c>
      <c r="S129" t="s">
        <v>255</v>
      </c>
      <c r="T129">
        <v>64</v>
      </c>
      <c r="U129">
        <f t="shared" si="10"/>
        <v>659.27420622217721</v>
      </c>
      <c r="V129">
        <f t="shared" si="16"/>
        <v>3</v>
      </c>
      <c r="W129">
        <v>76.75</v>
      </c>
      <c r="AB129">
        <v>89.5</v>
      </c>
      <c r="AC129" t="s">
        <v>387</v>
      </c>
      <c r="AD129">
        <v>37</v>
      </c>
      <c r="AE129">
        <f t="shared" si="11"/>
        <v>138.5921304427338</v>
      </c>
      <c r="AF129">
        <f t="shared" si="17"/>
        <v>1</v>
      </c>
      <c r="AH129">
        <v>89.5</v>
      </c>
      <c r="AI129" t="s">
        <v>331</v>
      </c>
      <c r="AJ129">
        <v>42</v>
      </c>
      <c r="AK129">
        <f t="shared" si="18"/>
        <v>184.99908988354849</v>
      </c>
      <c r="AL129">
        <f t="shared" si="19"/>
        <v>1</v>
      </c>
    </row>
    <row r="130" spans="1:38" x14ac:dyDescent="0.2">
      <c r="A130">
        <f t="shared" si="12"/>
        <v>31.5</v>
      </c>
      <c r="E130">
        <f t="shared" si="13"/>
        <v>31.5</v>
      </c>
      <c r="I130">
        <f t="shared" si="14"/>
        <v>31.5</v>
      </c>
      <c r="J130" t="s">
        <v>479</v>
      </c>
      <c r="K130">
        <v>48</v>
      </c>
      <c r="L130">
        <f>16.35117682*1.059464^K130</f>
        <v>261.62956379894968</v>
      </c>
      <c r="M130">
        <f t="shared" si="15"/>
        <v>31.5</v>
      </c>
      <c r="R130">
        <v>77</v>
      </c>
      <c r="S130" t="s">
        <v>245</v>
      </c>
      <c r="T130">
        <v>67</v>
      </c>
      <c r="U130">
        <f t="shared" si="10"/>
        <v>784.01558732918636</v>
      </c>
      <c r="V130">
        <f t="shared" si="16"/>
        <v>3</v>
      </c>
      <c r="W130">
        <v>77</v>
      </c>
      <c r="AB130">
        <v>90</v>
      </c>
      <c r="AC130" t="s">
        <v>29</v>
      </c>
      <c r="AD130">
        <v>38</v>
      </c>
      <c r="AE130">
        <f t="shared" si="11"/>
        <v>146.83337288738056</v>
      </c>
      <c r="AF130">
        <f t="shared" si="17"/>
        <v>1</v>
      </c>
      <c r="AH130">
        <v>90</v>
      </c>
      <c r="AI130" t="s">
        <v>318</v>
      </c>
      <c r="AJ130">
        <v>41</v>
      </c>
      <c r="AK130">
        <f t="shared" si="18"/>
        <v>174.61573954711864</v>
      </c>
      <c r="AL130">
        <f t="shared" si="19"/>
        <v>1</v>
      </c>
    </row>
    <row r="131" spans="1:38" x14ac:dyDescent="0.2">
      <c r="A131">
        <f t="shared" si="12"/>
        <v>31.75</v>
      </c>
      <c r="E131">
        <f t="shared" si="13"/>
        <v>31.75</v>
      </c>
      <c r="I131">
        <f t="shared" si="14"/>
        <v>31.75</v>
      </c>
      <c r="M131">
        <f t="shared" si="15"/>
        <v>31.75</v>
      </c>
      <c r="R131">
        <v>77.5</v>
      </c>
      <c r="S131" t="s">
        <v>255</v>
      </c>
      <c r="T131">
        <v>64</v>
      </c>
      <c r="U131">
        <f t="shared" si="10"/>
        <v>659.27420622217721</v>
      </c>
      <c r="V131">
        <f t="shared" si="16"/>
        <v>3</v>
      </c>
      <c r="W131">
        <v>77.5</v>
      </c>
      <c r="AB131">
        <v>90.5</v>
      </c>
      <c r="AC131" t="s">
        <v>45</v>
      </c>
      <c r="AD131">
        <v>31</v>
      </c>
      <c r="AE131">
        <f t="shared" si="11"/>
        <v>97.998932630681253</v>
      </c>
      <c r="AF131">
        <f t="shared" si="17"/>
        <v>7</v>
      </c>
      <c r="AH131">
        <v>90.5</v>
      </c>
    </row>
    <row r="132" spans="1:38" x14ac:dyDescent="0.2">
      <c r="A132">
        <f t="shared" si="12"/>
        <v>32</v>
      </c>
      <c r="B132" t="s">
        <v>411</v>
      </c>
      <c r="C132">
        <v>58</v>
      </c>
      <c r="D132">
        <f>16.35117682*1.059464^C132</f>
        <v>466.17487092753117</v>
      </c>
      <c r="E132">
        <f t="shared" si="13"/>
        <v>32</v>
      </c>
      <c r="I132">
        <f t="shared" si="14"/>
        <v>32</v>
      </c>
      <c r="M132">
        <f t="shared" si="15"/>
        <v>32</v>
      </c>
      <c r="R132">
        <v>78</v>
      </c>
      <c r="S132" t="s">
        <v>240</v>
      </c>
      <c r="T132">
        <v>60</v>
      </c>
      <c r="U132">
        <f t="shared" ref="U132:U195" si="20">16.35117682*1.059464^T132</f>
        <v>523.26449507501752</v>
      </c>
      <c r="V132">
        <f t="shared" si="16"/>
        <v>4</v>
      </c>
      <c r="W132">
        <v>78</v>
      </c>
      <c r="AB132">
        <v>91</v>
      </c>
      <c r="AC132" t="s">
        <v>170</v>
      </c>
      <c r="AD132">
        <v>37</v>
      </c>
      <c r="AE132">
        <f t="shared" ref="AE132:AE195" si="21">16.35117682*1.059464^AD132</f>
        <v>138.5921304427338</v>
      </c>
      <c r="AF132">
        <f t="shared" si="17"/>
        <v>6</v>
      </c>
      <c r="AH132">
        <v>91</v>
      </c>
      <c r="AI132" t="s">
        <v>318</v>
      </c>
      <c r="AJ132">
        <v>41</v>
      </c>
      <c r="AK132">
        <f>16.35117682*1.059464^AJ132</f>
        <v>174.61573954711864</v>
      </c>
      <c r="AL132">
        <f>ABS(AJ132-AD131)</f>
        <v>10</v>
      </c>
    </row>
    <row r="133" spans="1:38" x14ac:dyDescent="0.2">
      <c r="A133">
        <f t="shared" ref="A133:A196" si="22">A132+0.25</f>
        <v>32.25</v>
      </c>
      <c r="E133">
        <f t="shared" ref="E133:E196" si="23">E132+0.25</f>
        <v>32.25</v>
      </c>
      <c r="I133">
        <f t="shared" ref="I133:I196" si="24">I132+0.25</f>
        <v>32.25</v>
      </c>
      <c r="M133">
        <f t="shared" ref="M133:M196" si="25">M132+0.25</f>
        <v>32.25</v>
      </c>
      <c r="R133">
        <v>78.25</v>
      </c>
      <c r="S133" t="s">
        <v>255</v>
      </c>
      <c r="T133">
        <v>64</v>
      </c>
      <c r="U133">
        <f t="shared" si="20"/>
        <v>659.27420622217721</v>
      </c>
      <c r="V133">
        <f t="shared" ref="V133:V196" si="26">ABS(T133-T132)</f>
        <v>4</v>
      </c>
      <c r="W133">
        <v>78.25</v>
      </c>
      <c r="AB133">
        <v>91.5</v>
      </c>
      <c r="AC133" t="s">
        <v>45</v>
      </c>
      <c r="AD133">
        <v>31</v>
      </c>
      <c r="AE133">
        <f t="shared" si="21"/>
        <v>97.998932630681253</v>
      </c>
      <c r="AF133">
        <f t="shared" ref="AF133:AF196" si="27">ABS(AD133-AD132)</f>
        <v>6</v>
      </c>
      <c r="AH133">
        <v>91.5</v>
      </c>
    </row>
    <row r="134" spans="1:38" x14ac:dyDescent="0.2">
      <c r="A134">
        <f t="shared" si="22"/>
        <v>32.5</v>
      </c>
      <c r="E134">
        <f t="shared" si="23"/>
        <v>32.5</v>
      </c>
      <c r="I134">
        <f t="shared" si="24"/>
        <v>32.5</v>
      </c>
      <c r="M134">
        <f t="shared" si="25"/>
        <v>32.5</v>
      </c>
      <c r="R134">
        <v>78.75</v>
      </c>
      <c r="S134" t="s">
        <v>240</v>
      </c>
      <c r="T134">
        <v>60</v>
      </c>
      <c r="U134">
        <f t="shared" si="20"/>
        <v>523.26449507501752</v>
      </c>
      <c r="V134">
        <f t="shared" si="26"/>
        <v>4</v>
      </c>
      <c r="W134">
        <v>78.75</v>
      </c>
      <c r="AB134">
        <v>92</v>
      </c>
      <c r="AC134" t="s">
        <v>27</v>
      </c>
      <c r="AD134">
        <v>36</v>
      </c>
      <c r="AE134">
        <f t="shared" si="21"/>
        <v>130.81344004395982</v>
      </c>
      <c r="AF134">
        <f t="shared" si="27"/>
        <v>5</v>
      </c>
      <c r="AH134">
        <v>92</v>
      </c>
    </row>
    <row r="135" spans="1:38" x14ac:dyDescent="0.2">
      <c r="A135">
        <f t="shared" si="22"/>
        <v>32.75</v>
      </c>
      <c r="E135">
        <f t="shared" si="23"/>
        <v>32.75</v>
      </c>
      <c r="I135">
        <f t="shared" si="24"/>
        <v>32.75</v>
      </c>
      <c r="M135">
        <f t="shared" si="25"/>
        <v>32.75</v>
      </c>
      <c r="R135">
        <v>79</v>
      </c>
      <c r="S135" t="s">
        <v>255</v>
      </c>
      <c r="T135">
        <v>64</v>
      </c>
      <c r="U135">
        <f t="shared" si="20"/>
        <v>659.27420622217721</v>
      </c>
      <c r="V135">
        <f t="shared" si="26"/>
        <v>4</v>
      </c>
      <c r="W135">
        <v>79</v>
      </c>
      <c r="AB135">
        <v>92.5</v>
      </c>
      <c r="AC135" t="s">
        <v>479</v>
      </c>
      <c r="AD135">
        <v>48</v>
      </c>
      <c r="AE135">
        <f t="shared" si="21"/>
        <v>261.62956379894968</v>
      </c>
      <c r="AF135">
        <f t="shared" si="27"/>
        <v>12</v>
      </c>
      <c r="AH135">
        <v>92.5</v>
      </c>
    </row>
    <row r="136" spans="1:38" x14ac:dyDescent="0.2">
      <c r="A136">
        <f t="shared" si="22"/>
        <v>33</v>
      </c>
      <c r="E136">
        <f t="shared" si="23"/>
        <v>33</v>
      </c>
      <c r="I136">
        <f t="shared" si="24"/>
        <v>33</v>
      </c>
      <c r="M136">
        <f t="shared" si="25"/>
        <v>33</v>
      </c>
      <c r="R136">
        <v>79.5</v>
      </c>
      <c r="S136" t="s">
        <v>240</v>
      </c>
      <c r="T136">
        <v>60</v>
      </c>
      <c r="U136">
        <f t="shared" si="20"/>
        <v>523.26449507501752</v>
      </c>
      <c r="V136">
        <f t="shared" si="26"/>
        <v>4</v>
      </c>
      <c r="W136">
        <v>79.5</v>
      </c>
      <c r="AB136">
        <v>93</v>
      </c>
      <c r="AC136" t="s">
        <v>412</v>
      </c>
      <c r="AD136">
        <v>35</v>
      </c>
      <c r="AE136">
        <f t="shared" si="21"/>
        <v>123.4713402663609</v>
      </c>
      <c r="AF136">
        <f t="shared" si="27"/>
        <v>13</v>
      </c>
      <c r="AH136">
        <v>93</v>
      </c>
    </row>
    <row r="137" spans="1:38" x14ac:dyDescent="0.2">
      <c r="A137">
        <f t="shared" si="22"/>
        <v>33.25</v>
      </c>
      <c r="E137">
        <f t="shared" si="23"/>
        <v>33.25</v>
      </c>
      <c r="I137">
        <f t="shared" si="24"/>
        <v>33.25</v>
      </c>
      <c r="M137">
        <f t="shared" si="25"/>
        <v>33.25</v>
      </c>
      <c r="R137">
        <v>80</v>
      </c>
      <c r="S137" t="s">
        <v>243</v>
      </c>
      <c r="T137">
        <v>57</v>
      </c>
      <c r="U137">
        <f t="shared" si="20"/>
        <v>440.01010976071973</v>
      </c>
      <c r="V137">
        <f t="shared" si="26"/>
        <v>3</v>
      </c>
      <c r="W137">
        <v>80</v>
      </c>
      <c r="AB137">
        <v>93.5</v>
      </c>
      <c r="AC137" t="s">
        <v>47</v>
      </c>
      <c r="AD137">
        <v>47</v>
      </c>
      <c r="AE137">
        <f t="shared" si="21"/>
        <v>246.94521361646048</v>
      </c>
      <c r="AF137">
        <f t="shared" si="27"/>
        <v>12</v>
      </c>
      <c r="AH137">
        <v>93.5</v>
      </c>
    </row>
    <row r="138" spans="1:38" x14ac:dyDescent="0.2">
      <c r="A138">
        <f t="shared" si="22"/>
        <v>33.5</v>
      </c>
      <c r="E138">
        <f t="shared" si="23"/>
        <v>33.5</v>
      </c>
      <c r="I138">
        <f t="shared" si="24"/>
        <v>33.5</v>
      </c>
      <c r="M138">
        <f t="shared" si="25"/>
        <v>33.5</v>
      </c>
      <c r="N138" t="s">
        <v>480</v>
      </c>
      <c r="O138">
        <v>50</v>
      </c>
      <c r="P138">
        <f>16.35117682*1.059464^O138</f>
        <v>293.66975814369101</v>
      </c>
      <c r="R138">
        <v>80.25</v>
      </c>
      <c r="S138" t="s">
        <v>240</v>
      </c>
      <c r="T138">
        <v>60</v>
      </c>
      <c r="U138">
        <f t="shared" si="20"/>
        <v>523.26449507501752</v>
      </c>
      <c r="V138">
        <f t="shared" si="26"/>
        <v>3</v>
      </c>
      <c r="W138">
        <v>80.25</v>
      </c>
      <c r="AB138">
        <v>94</v>
      </c>
      <c r="AC138" t="s">
        <v>414</v>
      </c>
      <c r="AD138">
        <v>33</v>
      </c>
      <c r="AE138">
        <f t="shared" si="21"/>
        <v>110.00027071140791</v>
      </c>
      <c r="AF138">
        <f t="shared" si="27"/>
        <v>14</v>
      </c>
      <c r="AH138">
        <v>94</v>
      </c>
    </row>
    <row r="139" spans="1:38" x14ac:dyDescent="0.2">
      <c r="A139">
        <f t="shared" si="22"/>
        <v>33.75</v>
      </c>
      <c r="E139">
        <f t="shared" si="23"/>
        <v>33.75</v>
      </c>
      <c r="I139">
        <f t="shared" si="24"/>
        <v>33.75</v>
      </c>
      <c r="M139">
        <f t="shared" si="25"/>
        <v>33.75</v>
      </c>
      <c r="R139">
        <v>80.75</v>
      </c>
      <c r="S139" t="s">
        <v>243</v>
      </c>
      <c r="T139">
        <v>57</v>
      </c>
      <c r="U139">
        <f t="shared" si="20"/>
        <v>440.01010976071973</v>
      </c>
      <c r="V139">
        <f t="shared" si="26"/>
        <v>3</v>
      </c>
      <c r="W139">
        <v>80.75</v>
      </c>
      <c r="AB139">
        <v>94.5</v>
      </c>
      <c r="AC139" t="s">
        <v>46</v>
      </c>
      <c r="AD139">
        <v>45</v>
      </c>
      <c r="AE139">
        <f t="shared" si="21"/>
        <v>220.00279814001337</v>
      </c>
      <c r="AF139">
        <f t="shared" si="27"/>
        <v>12</v>
      </c>
      <c r="AH139">
        <v>94.5</v>
      </c>
    </row>
    <row r="140" spans="1:38" x14ac:dyDescent="0.2">
      <c r="A140">
        <f t="shared" si="22"/>
        <v>34</v>
      </c>
      <c r="B140" t="s">
        <v>411</v>
      </c>
      <c r="C140">
        <v>58</v>
      </c>
      <c r="D140">
        <f>16.35117682*1.059464^C140</f>
        <v>466.17487092753117</v>
      </c>
      <c r="E140">
        <f t="shared" si="23"/>
        <v>34</v>
      </c>
      <c r="I140">
        <f t="shared" si="24"/>
        <v>34</v>
      </c>
      <c r="M140">
        <f t="shared" si="25"/>
        <v>34</v>
      </c>
      <c r="R140">
        <v>81</v>
      </c>
      <c r="S140" t="s">
        <v>240</v>
      </c>
      <c r="T140">
        <v>60</v>
      </c>
      <c r="U140">
        <f t="shared" si="20"/>
        <v>523.26449507501752</v>
      </c>
      <c r="V140">
        <f t="shared" si="26"/>
        <v>3</v>
      </c>
      <c r="W140">
        <v>81</v>
      </c>
      <c r="AB140">
        <v>95</v>
      </c>
      <c r="AC140" t="s">
        <v>45</v>
      </c>
      <c r="AD140">
        <v>31</v>
      </c>
      <c r="AE140">
        <f t="shared" si="21"/>
        <v>97.998932630681253</v>
      </c>
      <c r="AF140">
        <f t="shared" si="27"/>
        <v>14</v>
      </c>
      <c r="AH140">
        <v>95</v>
      </c>
    </row>
    <row r="141" spans="1:38" x14ac:dyDescent="0.2">
      <c r="A141">
        <f t="shared" si="22"/>
        <v>34.25</v>
      </c>
      <c r="E141">
        <f t="shared" si="23"/>
        <v>34.25</v>
      </c>
      <c r="I141">
        <f t="shared" si="24"/>
        <v>34.25</v>
      </c>
      <c r="M141">
        <f t="shared" si="25"/>
        <v>34.25</v>
      </c>
      <c r="R141">
        <v>81.5</v>
      </c>
      <c r="S141" t="s">
        <v>243</v>
      </c>
      <c r="T141">
        <v>57</v>
      </c>
      <c r="U141">
        <f t="shared" si="20"/>
        <v>440.01010976071973</v>
      </c>
      <c r="V141">
        <f t="shared" si="26"/>
        <v>3</v>
      </c>
      <c r="W141">
        <v>81.5</v>
      </c>
      <c r="AB141">
        <v>95.5</v>
      </c>
      <c r="AC141" t="s">
        <v>44</v>
      </c>
      <c r="AD141">
        <v>43</v>
      </c>
      <c r="AE141">
        <f t="shared" si="21"/>
        <v>195.99987576438383</v>
      </c>
      <c r="AF141">
        <f t="shared" si="27"/>
        <v>12</v>
      </c>
      <c r="AH141">
        <v>95.5</v>
      </c>
    </row>
    <row r="142" spans="1:38" x14ac:dyDescent="0.2">
      <c r="A142">
        <f t="shared" si="22"/>
        <v>34.5</v>
      </c>
      <c r="E142">
        <f t="shared" si="23"/>
        <v>34.5</v>
      </c>
      <c r="I142">
        <f t="shared" si="24"/>
        <v>34.5</v>
      </c>
      <c r="M142">
        <f t="shared" si="25"/>
        <v>34.5</v>
      </c>
      <c r="R142">
        <v>81.75</v>
      </c>
      <c r="S142" t="s">
        <v>240</v>
      </c>
      <c r="T142">
        <v>60</v>
      </c>
      <c r="U142">
        <f t="shared" si="20"/>
        <v>523.26449507501752</v>
      </c>
      <c r="V142">
        <f t="shared" si="26"/>
        <v>3</v>
      </c>
      <c r="W142">
        <v>81.75</v>
      </c>
      <c r="AB142">
        <v>96</v>
      </c>
      <c r="AC142" t="s">
        <v>388</v>
      </c>
      <c r="AD142">
        <v>29</v>
      </c>
      <c r="AE142">
        <f t="shared" si="21"/>
        <v>87.306974197808145</v>
      </c>
      <c r="AF142">
        <f t="shared" si="27"/>
        <v>14</v>
      </c>
      <c r="AH142">
        <v>96</v>
      </c>
    </row>
    <row r="143" spans="1:38" x14ac:dyDescent="0.2">
      <c r="A143">
        <f t="shared" si="22"/>
        <v>34.75</v>
      </c>
      <c r="E143">
        <f t="shared" si="23"/>
        <v>34.75</v>
      </c>
      <c r="I143">
        <f t="shared" si="24"/>
        <v>34.75</v>
      </c>
      <c r="M143">
        <f t="shared" si="25"/>
        <v>34.75</v>
      </c>
      <c r="R143">
        <v>82</v>
      </c>
      <c r="S143" t="s">
        <v>243</v>
      </c>
      <c r="T143">
        <v>57</v>
      </c>
      <c r="U143">
        <f t="shared" si="20"/>
        <v>440.01010976071973</v>
      </c>
      <c r="V143">
        <f t="shared" si="26"/>
        <v>3</v>
      </c>
      <c r="W143">
        <v>82</v>
      </c>
      <c r="AB143">
        <v>96.5</v>
      </c>
      <c r="AC143" t="s">
        <v>30</v>
      </c>
      <c r="AD143">
        <v>41</v>
      </c>
      <c r="AE143">
        <f t="shared" si="21"/>
        <v>174.61573954711864</v>
      </c>
      <c r="AF143">
        <f t="shared" si="27"/>
        <v>12</v>
      </c>
      <c r="AH143">
        <v>96.5</v>
      </c>
    </row>
    <row r="144" spans="1:38" x14ac:dyDescent="0.2">
      <c r="A144">
        <f t="shared" si="22"/>
        <v>35</v>
      </c>
      <c r="E144">
        <f t="shared" si="23"/>
        <v>35</v>
      </c>
      <c r="I144">
        <f t="shared" si="24"/>
        <v>35</v>
      </c>
      <c r="M144">
        <f t="shared" si="25"/>
        <v>35</v>
      </c>
      <c r="R144">
        <v>84</v>
      </c>
      <c r="S144" t="s">
        <v>239</v>
      </c>
      <c r="T144">
        <v>55</v>
      </c>
      <c r="U144">
        <f t="shared" si="20"/>
        <v>392.00377257605692</v>
      </c>
      <c r="V144">
        <f t="shared" si="26"/>
        <v>2</v>
      </c>
      <c r="W144">
        <v>84</v>
      </c>
      <c r="AB144">
        <v>97</v>
      </c>
      <c r="AC144" t="s">
        <v>389</v>
      </c>
      <c r="AD144">
        <v>28</v>
      </c>
      <c r="AE144">
        <f t="shared" si="21"/>
        <v>82.406739821087044</v>
      </c>
      <c r="AF144">
        <f t="shared" si="27"/>
        <v>13</v>
      </c>
      <c r="AH144">
        <v>97</v>
      </c>
    </row>
    <row r="145" spans="1:34" x14ac:dyDescent="0.2">
      <c r="A145">
        <f t="shared" si="22"/>
        <v>35.25</v>
      </c>
      <c r="E145">
        <f t="shared" si="23"/>
        <v>35.25</v>
      </c>
      <c r="I145">
        <f t="shared" si="24"/>
        <v>35.25</v>
      </c>
      <c r="M145">
        <f t="shared" si="25"/>
        <v>35.25</v>
      </c>
      <c r="R145">
        <v>84.25</v>
      </c>
      <c r="S145" t="s">
        <v>243</v>
      </c>
      <c r="T145">
        <v>57</v>
      </c>
      <c r="U145">
        <f t="shared" si="20"/>
        <v>440.01010976071973</v>
      </c>
      <c r="V145">
        <f t="shared" si="26"/>
        <v>2</v>
      </c>
      <c r="W145">
        <v>84.25</v>
      </c>
      <c r="AB145">
        <v>97.5</v>
      </c>
      <c r="AC145" t="s">
        <v>29</v>
      </c>
      <c r="AD145">
        <v>40</v>
      </c>
      <c r="AE145">
        <f t="shared" si="21"/>
        <v>164.8151702626221</v>
      </c>
      <c r="AF145">
        <f t="shared" si="27"/>
        <v>12</v>
      </c>
      <c r="AH145">
        <v>97.5</v>
      </c>
    </row>
    <row r="146" spans="1:34" x14ac:dyDescent="0.2">
      <c r="A146">
        <f t="shared" si="22"/>
        <v>35.5</v>
      </c>
      <c r="E146">
        <f t="shared" si="23"/>
        <v>35.5</v>
      </c>
      <c r="I146">
        <f t="shared" si="24"/>
        <v>35.5</v>
      </c>
      <c r="J146" t="s">
        <v>480</v>
      </c>
      <c r="K146">
        <v>50</v>
      </c>
      <c r="L146">
        <f>16.35117682*1.059464^K146</f>
        <v>293.66975814369101</v>
      </c>
      <c r="M146">
        <f t="shared" si="25"/>
        <v>35.5</v>
      </c>
      <c r="N146" t="s">
        <v>482</v>
      </c>
      <c r="O146">
        <v>53</v>
      </c>
      <c r="P146">
        <f>16.35117682*1.059464^O146</f>
        <v>349.23506143398839</v>
      </c>
      <c r="R146">
        <v>84.75</v>
      </c>
      <c r="S146" t="s">
        <v>239</v>
      </c>
      <c r="T146">
        <v>55</v>
      </c>
      <c r="U146">
        <f t="shared" si="20"/>
        <v>392.00377257605692</v>
      </c>
      <c r="V146">
        <f t="shared" si="26"/>
        <v>2</v>
      </c>
      <c r="W146">
        <v>84.75</v>
      </c>
      <c r="AB146">
        <v>98</v>
      </c>
      <c r="AC146" t="s">
        <v>413</v>
      </c>
      <c r="AD146">
        <v>26</v>
      </c>
      <c r="AE146">
        <f t="shared" si="21"/>
        <v>73.415933359182759</v>
      </c>
      <c r="AF146">
        <f t="shared" si="27"/>
        <v>14</v>
      </c>
      <c r="AH146">
        <v>98</v>
      </c>
    </row>
    <row r="147" spans="1:34" x14ac:dyDescent="0.2">
      <c r="A147">
        <f t="shared" si="22"/>
        <v>35.75</v>
      </c>
      <c r="E147">
        <f t="shared" si="23"/>
        <v>35.75</v>
      </c>
      <c r="I147">
        <f t="shared" si="24"/>
        <v>35.75</v>
      </c>
      <c r="M147">
        <f t="shared" si="25"/>
        <v>35.75</v>
      </c>
      <c r="R147">
        <v>85</v>
      </c>
      <c r="S147" t="s">
        <v>481</v>
      </c>
      <c r="T147">
        <v>52</v>
      </c>
      <c r="U147">
        <f t="shared" si="20"/>
        <v>329.63372180082422</v>
      </c>
      <c r="V147">
        <f t="shared" si="26"/>
        <v>3</v>
      </c>
      <c r="W147">
        <v>85</v>
      </c>
      <c r="AB147">
        <v>98.5</v>
      </c>
      <c r="AC147" t="s">
        <v>28</v>
      </c>
      <c r="AD147">
        <v>38</v>
      </c>
      <c r="AE147">
        <f t="shared" si="21"/>
        <v>146.83337288738056</v>
      </c>
      <c r="AF147">
        <f t="shared" si="27"/>
        <v>12</v>
      </c>
      <c r="AH147">
        <v>98.5</v>
      </c>
    </row>
    <row r="148" spans="1:34" x14ac:dyDescent="0.2">
      <c r="A148">
        <f t="shared" si="22"/>
        <v>36</v>
      </c>
      <c r="B148" t="s">
        <v>411</v>
      </c>
      <c r="C148">
        <v>58</v>
      </c>
      <c r="D148">
        <f>16.35117682*1.059464^C148</f>
        <v>466.17487092753117</v>
      </c>
      <c r="E148">
        <f t="shared" si="23"/>
        <v>36</v>
      </c>
      <c r="I148">
        <f t="shared" si="24"/>
        <v>36</v>
      </c>
      <c r="M148">
        <f t="shared" si="25"/>
        <v>36</v>
      </c>
      <c r="R148">
        <v>85.5</v>
      </c>
      <c r="S148" t="s">
        <v>239</v>
      </c>
      <c r="T148">
        <v>55</v>
      </c>
      <c r="U148">
        <f t="shared" si="20"/>
        <v>392.00377257605692</v>
      </c>
      <c r="V148">
        <f t="shared" si="26"/>
        <v>3</v>
      </c>
      <c r="W148">
        <v>85.5</v>
      </c>
      <c r="AB148">
        <v>99</v>
      </c>
      <c r="AC148" t="s">
        <v>388</v>
      </c>
      <c r="AD148">
        <v>29</v>
      </c>
      <c r="AE148">
        <f t="shared" si="21"/>
        <v>87.306974197808145</v>
      </c>
      <c r="AF148">
        <f t="shared" si="27"/>
        <v>9</v>
      </c>
      <c r="AH148">
        <v>99</v>
      </c>
    </row>
    <row r="149" spans="1:34" x14ac:dyDescent="0.2">
      <c r="A149">
        <f t="shared" si="22"/>
        <v>36.25</v>
      </c>
      <c r="E149">
        <f t="shared" si="23"/>
        <v>36.25</v>
      </c>
      <c r="I149">
        <f t="shared" si="24"/>
        <v>36.25</v>
      </c>
      <c r="M149">
        <f t="shared" si="25"/>
        <v>36.25</v>
      </c>
      <c r="R149">
        <v>86</v>
      </c>
      <c r="S149" t="s">
        <v>481</v>
      </c>
      <c r="T149">
        <v>52</v>
      </c>
      <c r="U149">
        <f t="shared" si="20"/>
        <v>329.63372180082422</v>
      </c>
      <c r="V149">
        <f t="shared" si="26"/>
        <v>3</v>
      </c>
      <c r="W149">
        <v>86</v>
      </c>
      <c r="AB149">
        <v>99.5</v>
      </c>
      <c r="AC149" t="s">
        <v>30</v>
      </c>
      <c r="AD149">
        <v>41</v>
      </c>
      <c r="AE149">
        <f t="shared" si="21"/>
        <v>174.61573954711864</v>
      </c>
      <c r="AF149">
        <f t="shared" si="27"/>
        <v>12</v>
      </c>
      <c r="AH149">
        <v>99.5</v>
      </c>
    </row>
    <row r="150" spans="1:34" x14ac:dyDescent="0.2">
      <c r="A150">
        <f t="shared" si="22"/>
        <v>36.5</v>
      </c>
      <c r="E150">
        <f t="shared" si="23"/>
        <v>36.5</v>
      </c>
      <c r="I150">
        <f t="shared" si="24"/>
        <v>36.5</v>
      </c>
      <c r="M150">
        <f t="shared" si="25"/>
        <v>36.5</v>
      </c>
      <c r="R150">
        <v>86.25</v>
      </c>
      <c r="S150" t="s">
        <v>482</v>
      </c>
      <c r="T150">
        <v>53</v>
      </c>
      <c r="U150">
        <f t="shared" si="20"/>
        <v>349.23506143398839</v>
      </c>
      <c r="V150">
        <f t="shared" si="26"/>
        <v>1</v>
      </c>
      <c r="W150">
        <v>86.25</v>
      </c>
      <c r="AB150">
        <v>100</v>
      </c>
      <c r="AC150" t="s">
        <v>45</v>
      </c>
      <c r="AD150">
        <v>31</v>
      </c>
      <c r="AE150">
        <f t="shared" si="21"/>
        <v>97.998932630681253</v>
      </c>
      <c r="AF150">
        <f t="shared" si="27"/>
        <v>10</v>
      </c>
      <c r="AH150">
        <v>100</v>
      </c>
    </row>
    <row r="151" spans="1:34" x14ac:dyDescent="0.2">
      <c r="A151">
        <f t="shared" si="22"/>
        <v>36.75</v>
      </c>
      <c r="E151">
        <f t="shared" si="23"/>
        <v>36.75</v>
      </c>
      <c r="I151">
        <f t="shared" si="24"/>
        <v>36.75</v>
      </c>
      <c r="M151">
        <f t="shared" si="25"/>
        <v>36.75</v>
      </c>
      <c r="R151">
        <v>86.75</v>
      </c>
      <c r="S151" t="s">
        <v>481</v>
      </c>
      <c r="T151">
        <v>52</v>
      </c>
      <c r="U151">
        <f t="shared" si="20"/>
        <v>329.63372180082422</v>
      </c>
      <c r="V151">
        <f t="shared" si="26"/>
        <v>1</v>
      </c>
      <c r="W151">
        <v>86.75</v>
      </c>
      <c r="AB151">
        <v>100.25</v>
      </c>
      <c r="AC151" t="s">
        <v>414</v>
      </c>
      <c r="AD151">
        <v>33</v>
      </c>
      <c r="AE151">
        <f t="shared" si="21"/>
        <v>110.00027071140791</v>
      </c>
      <c r="AF151">
        <f t="shared" si="27"/>
        <v>2</v>
      </c>
      <c r="AH151">
        <v>100.25</v>
      </c>
    </row>
    <row r="152" spans="1:34" x14ac:dyDescent="0.2">
      <c r="A152">
        <f t="shared" si="22"/>
        <v>37</v>
      </c>
      <c r="E152">
        <f t="shared" si="23"/>
        <v>37</v>
      </c>
      <c r="I152">
        <f t="shared" si="24"/>
        <v>37</v>
      </c>
      <c r="M152">
        <f t="shared" si="25"/>
        <v>37</v>
      </c>
      <c r="R152">
        <v>87</v>
      </c>
      <c r="S152" t="s">
        <v>479</v>
      </c>
      <c r="T152">
        <v>48</v>
      </c>
      <c r="U152">
        <f t="shared" si="20"/>
        <v>261.62956379894968</v>
      </c>
      <c r="V152">
        <f t="shared" si="26"/>
        <v>4</v>
      </c>
      <c r="W152">
        <v>87</v>
      </c>
      <c r="AB152">
        <v>100.75</v>
      </c>
      <c r="AC152" t="s">
        <v>27</v>
      </c>
      <c r="AD152">
        <v>36</v>
      </c>
      <c r="AE152">
        <f t="shared" si="21"/>
        <v>130.81344004395982</v>
      </c>
      <c r="AF152">
        <f t="shared" si="27"/>
        <v>3</v>
      </c>
      <c r="AH152">
        <v>100.75</v>
      </c>
    </row>
    <row r="153" spans="1:34" x14ac:dyDescent="0.2">
      <c r="A153">
        <f t="shared" si="22"/>
        <v>37.25</v>
      </c>
      <c r="E153">
        <f t="shared" si="23"/>
        <v>37.25</v>
      </c>
      <c r="I153">
        <f t="shared" si="24"/>
        <v>37.25</v>
      </c>
      <c r="M153">
        <f t="shared" si="25"/>
        <v>37.25</v>
      </c>
      <c r="R153">
        <v>88</v>
      </c>
      <c r="S153" t="s">
        <v>479</v>
      </c>
      <c r="T153">
        <v>48</v>
      </c>
      <c r="U153">
        <f t="shared" si="20"/>
        <v>261.62956379894968</v>
      </c>
      <c r="V153">
        <f t="shared" si="26"/>
        <v>0</v>
      </c>
      <c r="W153">
        <v>88</v>
      </c>
      <c r="AB153">
        <v>102</v>
      </c>
      <c r="AC153" t="s">
        <v>44</v>
      </c>
      <c r="AD153">
        <v>43</v>
      </c>
      <c r="AE153">
        <f t="shared" si="21"/>
        <v>195.99987576438383</v>
      </c>
      <c r="AF153">
        <f t="shared" si="27"/>
        <v>7</v>
      </c>
      <c r="AH153">
        <v>102</v>
      </c>
    </row>
    <row r="154" spans="1:34" x14ac:dyDescent="0.2">
      <c r="A154">
        <f t="shared" si="22"/>
        <v>37.5</v>
      </c>
      <c r="B154" t="s">
        <v>239</v>
      </c>
      <c r="C154">
        <v>55</v>
      </c>
      <c r="D154">
        <f>16.35117682*1.059464^C154</f>
        <v>392.00377257605692</v>
      </c>
      <c r="E154">
        <f t="shared" si="23"/>
        <v>37.5</v>
      </c>
      <c r="I154">
        <f t="shared" si="24"/>
        <v>37.5</v>
      </c>
      <c r="M154">
        <f t="shared" si="25"/>
        <v>37.5</v>
      </c>
      <c r="R154">
        <v>88.25</v>
      </c>
      <c r="S154" t="s">
        <v>480</v>
      </c>
      <c r="T154">
        <v>50</v>
      </c>
      <c r="U154">
        <f t="shared" si="20"/>
        <v>293.66975814369101</v>
      </c>
      <c r="V154">
        <f t="shared" si="26"/>
        <v>2</v>
      </c>
      <c r="W154">
        <v>88.25</v>
      </c>
      <c r="AB154">
        <v>102.25</v>
      </c>
      <c r="AC154" t="s">
        <v>46</v>
      </c>
      <c r="AD154">
        <v>45</v>
      </c>
      <c r="AE154">
        <f t="shared" si="21"/>
        <v>220.00279814001337</v>
      </c>
      <c r="AF154">
        <f t="shared" si="27"/>
        <v>2</v>
      </c>
      <c r="AH154">
        <v>102.25</v>
      </c>
    </row>
    <row r="155" spans="1:34" x14ac:dyDescent="0.2">
      <c r="A155">
        <f t="shared" si="22"/>
        <v>37.75</v>
      </c>
      <c r="E155">
        <f t="shared" si="23"/>
        <v>37.75</v>
      </c>
      <c r="I155">
        <f t="shared" si="24"/>
        <v>37.75</v>
      </c>
      <c r="M155">
        <f t="shared" si="25"/>
        <v>37.75</v>
      </c>
      <c r="R155">
        <v>88.75</v>
      </c>
      <c r="S155" t="s">
        <v>479</v>
      </c>
      <c r="T155">
        <v>48</v>
      </c>
      <c r="U155">
        <f t="shared" si="20"/>
        <v>261.62956379894968</v>
      </c>
      <c r="V155">
        <f t="shared" si="26"/>
        <v>2</v>
      </c>
      <c r="W155">
        <v>88.75</v>
      </c>
      <c r="AB155">
        <v>102.75</v>
      </c>
      <c r="AC155" t="s">
        <v>479</v>
      </c>
      <c r="AD155">
        <v>48</v>
      </c>
      <c r="AE155">
        <f t="shared" si="21"/>
        <v>261.62956379894968</v>
      </c>
      <c r="AF155">
        <f t="shared" si="27"/>
        <v>3</v>
      </c>
      <c r="AH155">
        <v>102.75</v>
      </c>
    </row>
    <row r="156" spans="1:34" x14ac:dyDescent="0.2">
      <c r="A156">
        <f t="shared" si="22"/>
        <v>38</v>
      </c>
      <c r="B156" t="s">
        <v>411</v>
      </c>
      <c r="C156">
        <v>58</v>
      </c>
      <c r="D156">
        <f>16.35117682*1.059464^C156</f>
        <v>466.17487092753117</v>
      </c>
      <c r="E156">
        <f t="shared" si="23"/>
        <v>38</v>
      </c>
      <c r="F156" t="s">
        <v>239</v>
      </c>
      <c r="G156">
        <v>55</v>
      </c>
      <c r="H156">
        <f>16.35117682*1.059464^G156</f>
        <v>392.00377257605692</v>
      </c>
      <c r="I156">
        <f t="shared" si="24"/>
        <v>38</v>
      </c>
      <c r="M156">
        <f t="shared" si="25"/>
        <v>38</v>
      </c>
      <c r="R156">
        <v>89</v>
      </c>
      <c r="S156" t="s">
        <v>44</v>
      </c>
      <c r="T156">
        <v>43</v>
      </c>
      <c r="U156">
        <f t="shared" si="20"/>
        <v>195.99987576438383</v>
      </c>
      <c r="V156">
        <f t="shared" si="26"/>
        <v>5</v>
      </c>
      <c r="W156">
        <v>89</v>
      </c>
      <c r="AB156">
        <v>104</v>
      </c>
      <c r="AC156" t="s">
        <v>243</v>
      </c>
      <c r="AD156">
        <v>57</v>
      </c>
      <c r="AE156">
        <f t="shared" si="21"/>
        <v>440.01010976071973</v>
      </c>
      <c r="AF156">
        <f t="shared" si="27"/>
        <v>9</v>
      </c>
      <c r="AH156">
        <v>104</v>
      </c>
    </row>
    <row r="157" spans="1:34" x14ac:dyDescent="0.2">
      <c r="A157">
        <f t="shared" si="22"/>
        <v>38.25</v>
      </c>
      <c r="E157">
        <f t="shared" si="23"/>
        <v>38.25</v>
      </c>
      <c r="I157">
        <f t="shared" si="24"/>
        <v>38.25</v>
      </c>
      <c r="M157">
        <f t="shared" si="25"/>
        <v>38.25</v>
      </c>
      <c r="R157">
        <v>89.5</v>
      </c>
      <c r="S157" t="s">
        <v>44</v>
      </c>
      <c r="T157">
        <v>43</v>
      </c>
      <c r="U157">
        <f t="shared" si="20"/>
        <v>195.99987576438383</v>
      </c>
      <c r="V157">
        <f t="shared" si="26"/>
        <v>0</v>
      </c>
      <c r="W157">
        <v>89.5</v>
      </c>
      <c r="AB157">
        <v>104.25</v>
      </c>
      <c r="AC157" t="s">
        <v>240</v>
      </c>
      <c r="AD157">
        <v>60</v>
      </c>
      <c r="AE157">
        <f t="shared" si="21"/>
        <v>523.26449507501752</v>
      </c>
      <c r="AF157">
        <f t="shared" si="27"/>
        <v>3</v>
      </c>
      <c r="AH157">
        <v>104.25</v>
      </c>
    </row>
    <row r="158" spans="1:34" x14ac:dyDescent="0.2">
      <c r="A158">
        <f t="shared" si="22"/>
        <v>38.5</v>
      </c>
      <c r="E158">
        <f t="shared" si="23"/>
        <v>38.5</v>
      </c>
      <c r="I158">
        <f t="shared" si="24"/>
        <v>38.5</v>
      </c>
      <c r="M158">
        <f t="shared" si="25"/>
        <v>38.5</v>
      </c>
      <c r="R158">
        <v>89.75</v>
      </c>
      <c r="S158" t="s">
        <v>47</v>
      </c>
      <c r="T158">
        <v>47</v>
      </c>
      <c r="U158">
        <f t="shared" si="20"/>
        <v>246.94521361646048</v>
      </c>
      <c r="V158">
        <f t="shared" si="26"/>
        <v>4</v>
      </c>
      <c r="W158">
        <v>89.75</v>
      </c>
      <c r="AB158">
        <v>104.75</v>
      </c>
      <c r="AC158" t="s">
        <v>242</v>
      </c>
      <c r="AD158">
        <v>62</v>
      </c>
      <c r="AE158">
        <f t="shared" si="21"/>
        <v>587.34554108704231</v>
      </c>
      <c r="AF158">
        <f t="shared" si="27"/>
        <v>2</v>
      </c>
      <c r="AH158">
        <v>104.75</v>
      </c>
    </row>
    <row r="159" spans="1:34" x14ac:dyDescent="0.2">
      <c r="A159">
        <f t="shared" si="22"/>
        <v>38.75</v>
      </c>
      <c r="E159">
        <f t="shared" si="23"/>
        <v>38.75</v>
      </c>
      <c r="I159">
        <f t="shared" si="24"/>
        <v>38.75</v>
      </c>
      <c r="M159">
        <f t="shared" si="25"/>
        <v>38.75</v>
      </c>
      <c r="R159">
        <v>90</v>
      </c>
      <c r="S159" t="s">
        <v>44</v>
      </c>
      <c r="T159">
        <v>43</v>
      </c>
      <c r="U159">
        <f t="shared" si="20"/>
        <v>195.99987576438383</v>
      </c>
      <c r="V159">
        <f t="shared" si="26"/>
        <v>4</v>
      </c>
      <c r="W159">
        <v>90</v>
      </c>
      <c r="AB159">
        <v>105.5</v>
      </c>
      <c r="AC159" t="s">
        <v>242</v>
      </c>
      <c r="AD159">
        <v>62</v>
      </c>
      <c r="AE159">
        <f t="shared" si="21"/>
        <v>587.34554108704231</v>
      </c>
      <c r="AF159">
        <f t="shared" si="27"/>
        <v>0</v>
      </c>
      <c r="AH159">
        <v>105.5</v>
      </c>
    </row>
    <row r="160" spans="1:34" x14ac:dyDescent="0.2">
      <c r="A160">
        <f t="shared" si="22"/>
        <v>39</v>
      </c>
      <c r="E160">
        <f t="shared" si="23"/>
        <v>39</v>
      </c>
      <c r="I160">
        <f t="shared" si="24"/>
        <v>39</v>
      </c>
      <c r="M160">
        <f t="shared" si="25"/>
        <v>39</v>
      </c>
      <c r="R160">
        <v>92</v>
      </c>
      <c r="S160" t="s">
        <v>29</v>
      </c>
      <c r="T160">
        <v>40</v>
      </c>
      <c r="U160">
        <f t="shared" si="20"/>
        <v>164.8151702626221</v>
      </c>
      <c r="V160">
        <f t="shared" si="26"/>
        <v>3</v>
      </c>
      <c r="W160">
        <v>92</v>
      </c>
      <c r="AB160">
        <v>106</v>
      </c>
      <c r="AC160" t="s">
        <v>240</v>
      </c>
      <c r="AD160">
        <v>60</v>
      </c>
      <c r="AE160">
        <f t="shared" si="21"/>
        <v>523.26449507501752</v>
      </c>
      <c r="AF160">
        <f t="shared" si="27"/>
        <v>2</v>
      </c>
      <c r="AH160">
        <v>106</v>
      </c>
    </row>
    <row r="161" spans="1:34" x14ac:dyDescent="0.2">
      <c r="A161">
        <f t="shared" si="22"/>
        <v>39.25</v>
      </c>
      <c r="E161">
        <f t="shared" si="23"/>
        <v>39.25</v>
      </c>
      <c r="I161">
        <f t="shared" si="24"/>
        <v>39.25</v>
      </c>
      <c r="M161">
        <f t="shared" si="25"/>
        <v>39.25</v>
      </c>
      <c r="R161">
        <v>92.25</v>
      </c>
      <c r="S161" t="s">
        <v>44</v>
      </c>
      <c r="T161">
        <v>43</v>
      </c>
      <c r="U161">
        <f t="shared" si="20"/>
        <v>195.99987576438383</v>
      </c>
      <c r="V161">
        <f t="shared" si="26"/>
        <v>3</v>
      </c>
      <c r="W161">
        <v>92.25</v>
      </c>
      <c r="AB161">
        <v>107.5</v>
      </c>
      <c r="AC161" t="s">
        <v>47</v>
      </c>
      <c r="AD161">
        <v>47</v>
      </c>
      <c r="AE161">
        <f t="shared" si="21"/>
        <v>246.94521361646048</v>
      </c>
      <c r="AF161">
        <f t="shared" si="27"/>
        <v>13</v>
      </c>
      <c r="AH161">
        <v>107.5</v>
      </c>
    </row>
    <row r="162" spans="1:34" x14ac:dyDescent="0.2">
      <c r="A162">
        <f t="shared" si="22"/>
        <v>39.5</v>
      </c>
      <c r="E162">
        <f t="shared" si="23"/>
        <v>39.5</v>
      </c>
      <c r="I162">
        <f t="shared" si="24"/>
        <v>39.5</v>
      </c>
      <c r="M162">
        <f t="shared" si="25"/>
        <v>39.5</v>
      </c>
      <c r="R162">
        <v>92.75</v>
      </c>
      <c r="S162" t="s">
        <v>29</v>
      </c>
      <c r="T162">
        <v>40</v>
      </c>
      <c r="U162">
        <f t="shared" si="20"/>
        <v>164.8151702626221</v>
      </c>
      <c r="V162">
        <f t="shared" si="26"/>
        <v>3</v>
      </c>
      <c r="W162">
        <v>92.75</v>
      </c>
      <c r="AB162">
        <v>108</v>
      </c>
      <c r="AC162" t="s">
        <v>479</v>
      </c>
      <c r="AD162">
        <v>48</v>
      </c>
      <c r="AE162">
        <f t="shared" si="21"/>
        <v>261.62956379894968</v>
      </c>
      <c r="AF162">
        <f t="shared" si="27"/>
        <v>1</v>
      </c>
      <c r="AH162">
        <v>108</v>
      </c>
    </row>
    <row r="163" spans="1:34" x14ac:dyDescent="0.2">
      <c r="A163">
        <f t="shared" si="22"/>
        <v>39.75</v>
      </c>
      <c r="E163">
        <f t="shared" si="23"/>
        <v>39.75</v>
      </c>
      <c r="I163">
        <f t="shared" si="24"/>
        <v>39.75</v>
      </c>
      <c r="M163">
        <f t="shared" si="25"/>
        <v>39.75</v>
      </c>
      <c r="R163">
        <v>93</v>
      </c>
      <c r="S163" t="s">
        <v>44</v>
      </c>
      <c r="T163">
        <v>43</v>
      </c>
      <c r="U163">
        <f t="shared" si="20"/>
        <v>195.99987576438383</v>
      </c>
      <c r="V163">
        <f t="shared" si="26"/>
        <v>3</v>
      </c>
      <c r="W163">
        <v>93</v>
      </c>
      <c r="AB163">
        <v>109.5</v>
      </c>
      <c r="AC163" t="s">
        <v>487</v>
      </c>
      <c r="AD163">
        <v>45</v>
      </c>
      <c r="AE163">
        <f t="shared" si="21"/>
        <v>220.00279814001337</v>
      </c>
      <c r="AF163">
        <f t="shared" si="27"/>
        <v>3</v>
      </c>
      <c r="AH163">
        <v>109.5</v>
      </c>
    </row>
    <row r="164" spans="1:34" x14ac:dyDescent="0.2">
      <c r="A164">
        <f t="shared" si="22"/>
        <v>40</v>
      </c>
      <c r="E164">
        <f t="shared" si="23"/>
        <v>40</v>
      </c>
      <c r="I164">
        <f t="shared" si="24"/>
        <v>40</v>
      </c>
      <c r="M164">
        <f t="shared" si="25"/>
        <v>40</v>
      </c>
      <c r="R164">
        <v>93.5</v>
      </c>
      <c r="S164" t="s">
        <v>29</v>
      </c>
      <c r="T164">
        <v>40</v>
      </c>
      <c r="U164">
        <f t="shared" si="20"/>
        <v>164.8151702626221</v>
      </c>
      <c r="V164">
        <f t="shared" si="26"/>
        <v>3</v>
      </c>
      <c r="W164">
        <v>93.5</v>
      </c>
      <c r="AB164">
        <v>110</v>
      </c>
      <c r="AC164" t="s">
        <v>318</v>
      </c>
      <c r="AD164">
        <v>41</v>
      </c>
      <c r="AE164">
        <f t="shared" si="21"/>
        <v>174.61573954711864</v>
      </c>
      <c r="AF164">
        <f t="shared" si="27"/>
        <v>4</v>
      </c>
      <c r="AH164">
        <v>110</v>
      </c>
    </row>
    <row r="165" spans="1:34" x14ac:dyDescent="0.2">
      <c r="A165">
        <f t="shared" si="22"/>
        <v>40.25</v>
      </c>
      <c r="E165">
        <f t="shared" si="23"/>
        <v>40.25</v>
      </c>
      <c r="I165">
        <f t="shared" si="24"/>
        <v>40.25</v>
      </c>
      <c r="M165">
        <f t="shared" si="25"/>
        <v>40.25</v>
      </c>
      <c r="R165">
        <v>94</v>
      </c>
      <c r="S165" t="s">
        <v>27</v>
      </c>
      <c r="T165">
        <v>36</v>
      </c>
      <c r="U165">
        <f t="shared" si="20"/>
        <v>130.81344004395982</v>
      </c>
      <c r="V165">
        <f t="shared" si="26"/>
        <v>4</v>
      </c>
      <c r="W165">
        <v>94</v>
      </c>
      <c r="AB165">
        <v>111.5</v>
      </c>
      <c r="AC165" t="s">
        <v>82</v>
      </c>
      <c r="AD165">
        <v>38</v>
      </c>
      <c r="AE165">
        <f t="shared" si="21"/>
        <v>146.83337288738056</v>
      </c>
      <c r="AF165">
        <f t="shared" si="27"/>
        <v>3</v>
      </c>
      <c r="AH165">
        <v>111.5</v>
      </c>
    </row>
    <row r="166" spans="1:34" x14ac:dyDescent="0.2">
      <c r="A166">
        <f t="shared" si="22"/>
        <v>40.5</v>
      </c>
      <c r="E166">
        <f t="shared" si="23"/>
        <v>40.5</v>
      </c>
      <c r="I166">
        <f t="shared" si="24"/>
        <v>40.5</v>
      </c>
      <c r="M166">
        <f t="shared" si="25"/>
        <v>40.5</v>
      </c>
      <c r="R166">
        <v>94.25</v>
      </c>
      <c r="S166" t="s">
        <v>29</v>
      </c>
      <c r="T166">
        <v>40</v>
      </c>
      <c r="U166">
        <f t="shared" si="20"/>
        <v>164.8151702626221</v>
      </c>
      <c r="V166">
        <f t="shared" si="26"/>
        <v>4</v>
      </c>
      <c r="W166">
        <v>94.25</v>
      </c>
      <c r="AB166">
        <v>112</v>
      </c>
      <c r="AC166" t="s">
        <v>333</v>
      </c>
      <c r="AD166">
        <v>40</v>
      </c>
      <c r="AE166">
        <f t="shared" si="21"/>
        <v>164.8151702626221</v>
      </c>
      <c r="AF166">
        <f t="shared" si="27"/>
        <v>2</v>
      </c>
      <c r="AH166">
        <v>112</v>
      </c>
    </row>
    <row r="167" spans="1:34" x14ac:dyDescent="0.2">
      <c r="A167">
        <f t="shared" si="22"/>
        <v>40.75</v>
      </c>
      <c r="E167">
        <f t="shared" si="23"/>
        <v>40.75</v>
      </c>
      <c r="I167">
        <f t="shared" si="24"/>
        <v>40.75</v>
      </c>
      <c r="M167">
        <f t="shared" si="25"/>
        <v>40.75</v>
      </c>
      <c r="R167">
        <v>94.75</v>
      </c>
      <c r="S167" t="s">
        <v>27</v>
      </c>
      <c r="T167">
        <v>36</v>
      </c>
      <c r="U167">
        <f t="shared" si="20"/>
        <v>130.81344004395982</v>
      </c>
      <c r="V167">
        <f t="shared" si="26"/>
        <v>4</v>
      </c>
      <c r="W167">
        <v>94.75</v>
      </c>
      <c r="AB167">
        <v>113</v>
      </c>
      <c r="AC167" t="s">
        <v>28</v>
      </c>
      <c r="AD167">
        <v>38</v>
      </c>
      <c r="AE167">
        <f t="shared" si="21"/>
        <v>146.83337288738056</v>
      </c>
      <c r="AF167">
        <f t="shared" si="27"/>
        <v>2</v>
      </c>
      <c r="AH167">
        <v>113</v>
      </c>
    </row>
    <row r="168" spans="1:34" x14ac:dyDescent="0.2">
      <c r="A168">
        <f t="shared" si="22"/>
        <v>41</v>
      </c>
      <c r="E168">
        <f t="shared" si="23"/>
        <v>41</v>
      </c>
      <c r="I168">
        <f t="shared" si="24"/>
        <v>41</v>
      </c>
      <c r="M168">
        <f t="shared" si="25"/>
        <v>41</v>
      </c>
      <c r="R168">
        <v>95</v>
      </c>
      <c r="S168" t="s">
        <v>29</v>
      </c>
      <c r="T168">
        <v>40</v>
      </c>
      <c r="U168">
        <f t="shared" si="20"/>
        <v>164.8151702626221</v>
      </c>
      <c r="V168">
        <f t="shared" si="26"/>
        <v>4</v>
      </c>
      <c r="W168">
        <v>95</v>
      </c>
      <c r="AB168">
        <v>113.5</v>
      </c>
      <c r="AC168" t="s">
        <v>47</v>
      </c>
      <c r="AD168">
        <v>47</v>
      </c>
      <c r="AE168">
        <f t="shared" si="21"/>
        <v>246.94521361646048</v>
      </c>
      <c r="AF168">
        <f t="shared" si="27"/>
        <v>9</v>
      </c>
      <c r="AH168">
        <v>113.5</v>
      </c>
    </row>
    <row r="169" spans="1:34" x14ac:dyDescent="0.2">
      <c r="A169">
        <f t="shared" si="22"/>
        <v>41.25</v>
      </c>
      <c r="E169">
        <f t="shared" si="23"/>
        <v>41.25</v>
      </c>
      <c r="I169">
        <f t="shared" si="24"/>
        <v>41.25</v>
      </c>
      <c r="M169">
        <f t="shared" si="25"/>
        <v>41.25</v>
      </c>
      <c r="R169">
        <v>95.5</v>
      </c>
      <c r="S169" t="s">
        <v>27</v>
      </c>
      <c r="T169">
        <v>36</v>
      </c>
      <c r="U169">
        <f t="shared" si="20"/>
        <v>130.81344004395982</v>
      </c>
      <c r="V169">
        <f t="shared" si="26"/>
        <v>4</v>
      </c>
      <c r="W169">
        <v>95.5</v>
      </c>
      <c r="AB169">
        <v>114</v>
      </c>
      <c r="AC169" t="s">
        <v>488</v>
      </c>
      <c r="AD169">
        <v>36</v>
      </c>
      <c r="AE169">
        <f t="shared" si="21"/>
        <v>130.81344004395982</v>
      </c>
      <c r="AF169">
        <f t="shared" si="27"/>
        <v>11</v>
      </c>
      <c r="AH169">
        <v>114</v>
      </c>
    </row>
    <row r="170" spans="1:34" x14ac:dyDescent="0.2">
      <c r="A170">
        <f t="shared" si="22"/>
        <v>41.5</v>
      </c>
      <c r="B170" s="1" t="s">
        <v>244</v>
      </c>
      <c r="C170">
        <v>59</v>
      </c>
      <c r="D170">
        <f>16.35117682*1.059464^C170</f>
        <v>493.89549345236594</v>
      </c>
      <c r="E170">
        <f t="shared" si="23"/>
        <v>41.5</v>
      </c>
      <c r="I170">
        <f t="shared" si="24"/>
        <v>41.5</v>
      </c>
      <c r="J170" t="s">
        <v>47</v>
      </c>
      <c r="K170">
        <v>47</v>
      </c>
      <c r="L170">
        <f>16.35117682*1.059464^K170</f>
        <v>246.94521361646048</v>
      </c>
      <c r="M170">
        <f t="shared" si="25"/>
        <v>41.5</v>
      </c>
      <c r="R170">
        <v>96</v>
      </c>
      <c r="S170" t="s">
        <v>414</v>
      </c>
      <c r="T170">
        <v>33</v>
      </c>
      <c r="U170">
        <f t="shared" si="20"/>
        <v>110.00027071140791</v>
      </c>
      <c r="V170">
        <f t="shared" si="26"/>
        <v>3</v>
      </c>
      <c r="W170">
        <v>96</v>
      </c>
      <c r="AB170">
        <v>115.5</v>
      </c>
      <c r="AC170" t="s">
        <v>67</v>
      </c>
      <c r="AD170">
        <v>33</v>
      </c>
      <c r="AE170">
        <f t="shared" si="21"/>
        <v>110.00027071140791</v>
      </c>
      <c r="AF170">
        <f t="shared" si="27"/>
        <v>3</v>
      </c>
      <c r="AH170">
        <v>115.5</v>
      </c>
    </row>
    <row r="171" spans="1:34" x14ac:dyDescent="0.2">
      <c r="A171">
        <f t="shared" si="22"/>
        <v>41.75</v>
      </c>
      <c r="E171">
        <f t="shared" si="23"/>
        <v>41.75</v>
      </c>
      <c r="I171">
        <f t="shared" si="24"/>
        <v>41.75</v>
      </c>
      <c r="M171">
        <f t="shared" si="25"/>
        <v>41.75</v>
      </c>
      <c r="R171">
        <v>96.25</v>
      </c>
      <c r="S171" t="s">
        <v>27</v>
      </c>
      <c r="T171">
        <v>36</v>
      </c>
      <c r="U171">
        <f t="shared" si="20"/>
        <v>130.81344004395982</v>
      </c>
      <c r="V171">
        <f t="shared" si="26"/>
        <v>3</v>
      </c>
      <c r="W171">
        <v>96.25</v>
      </c>
      <c r="AB171">
        <v>116</v>
      </c>
      <c r="AC171" t="s">
        <v>81</v>
      </c>
      <c r="AD171">
        <v>34</v>
      </c>
      <c r="AE171">
        <f t="shared" si="21"/>
        <v>116.54132680899107</v>
      </c>
      <c r="AF171">
        <f t="shared" si="27"/>
        <v>1</v>
      </c>
      <c r="AH171">
        <v>116</v>
      </c>
    </row>
    <row r="172" spans="1:34" x14ac:dyDescent="0.2">
      <c r="A172">
        <f t="shared" si="22"/>
        <v>42</v>
      </c>
      <c r="B172" t="s">
        <v>240</v>
      </c>
      <c r="C172">
        <v>60</v>
      </c>
      <c r="D172">
        <f>16.35117682*1.059464^C172</f>
        <v>523.26449507501752</v>
      </c>
      <c r="E172">
        <f t="shared" si="23"/>
        <v>42</v>
      </c>
      <c r="I172">
        <f t="shared" si="24"/>
        <v>42</v>
      </c>
      <c r="J172" t="s">
        <v>479</v>
      </c>
      <c r="K172">
        <v>48</v>
      </c>
      <c r="L172">
        <f>16.35117682*1.059464^K172</f>
        <v>261.62956379894968</v>
      </c>
      <c r="M172">
        <f t="shared" si="25"/>
        <v>42</v>
      </c>
      <c r="R172">
        <v>96.75</v>
      </c>
      <c r="S172" t="s">
        <v>414</v>
      </c>
      <c r="T172">
        <v>33</v>
      </c>
      <c r="U172">
        <f t="shared" si="20"/>
        <v>110.00027071140791</v>
      </c>
      <c r="V172">
        <f t="shared" si="26"/>
        <v>3</v>
      </c>
      <c r="W172">
        <v>96.75</v>
      </c>
      <c r="AB172">
        <v>116.5</v>
      </c>
      <c r="AC172" t="s">
        <v>82</v>
      </c>
      <c r="AD172">
        <v>38</v>
      </c>
      <c r="AE172">
        <f t="shared" si="21"/>
        <v>146.83337288738056</v>
      </c>
      <c r="AF172">
        <f t="shared" si="27"/>
        <v>4</v>
      </c>
      <c r="AH172">
        <v>116.5</v>
      </c>
    </row>
    <row r="173" spans="1:34" x14ac:dyDescent="0.2">
      <c r="A173">
        <f t="shared" si="22"/>
        <v>42.25</v>
      </c>
      <c r="E173">
        <f t="shared" si="23"/>
        <v>42.25</v>
      </c>
      <c r="I173">
        <f t="shared" si="24"/>
        <v>42.25</v>
      </c>
      <c r="M173">
        <f t="shared" si="25"/>
        <v>42.25</v>
      </c>
      <c r="R173">
        <v>97</v>
      </c>
      <c r="S173" t="s">
        <v>27</v>
      </c>
      <c r="T173">
        <v>36</v>
      </c>
      <c r="U173">
        <f t="shared" si="20"/>
        <v>130.81344004395982</v>
      </c>
      <c r="V173">
        <f t="shared" si="26"/>
        <v>3</v>
      </c>
      <c r="W173">
        <v>97</v>
      </c>
      <c r="AB173">
        <v>117</v>
      </c>
      <c r="AC173" t="s">
        <v>318</v>
      </c>
      <c r="AD173">
        <v>41</v>
      </c>
      <c r="AE173">
        <f t="shared" si="21"/>
        <v>174.61573954711864</v>
      </c>
      <c r="AF173">
        <f t="shared" si="27"/>
        <v>3</v>
      </c>
      <c r="AH173">
        <v>117</v>
      </c>
    </row>
    <row r="174" spans="1:34" x14ac:dyDescent="0.2">
      <c r="A174">
        <f t="shared" si="22"/>
        <v>42.5</v>
      </c>
      <c r="B174" t="s">
        <v>411</v>
      </c>
      <c r="C174">
        <v>58</v>
      </c>
      <c r="D174">
        <f>16.35117682*1.059464^C174</f>
        <v>466.17487092753117</v>
      </c>
      <c r="E174">
        <f t="shared" si="23"/>
        <v>42.5</v>
      </c>
      <c r="F174" t="s">
        <v>481</v>
      </c>
      <c r="G174">
        <v>52</v>
      </c>
      <c r="H174">
        <f>16.35117682*1.059464^G174</f>
        <v>329.63372180082422</v>
      </c>
      <c r="I174">
        <f t="shared" si="24"/>
        <v>42.5</v>
      </c>
      <c r="M174">
        <f t="shared" si="25"/>
        <v>42.5</v>
      </c>
      <c r="R174">
        <v>97.5</v>
      </c>
      <c r="S174" t="s">
        <v>414</v>
      </c>
      <c r="T174">
        <v>33</v>
      </c>
      <c r="U174">
        <f t="shared" si="20"/>
        <v>110.00027071140791</v>
      </c>
      <c r="V174">
        <f t="shared" si="26"/>
        <v>3</v>
      </c>
      <c r="W174">
        <v>97.5</v>
      </c>
      <c r="AB174">
        <v>117.5</v>
      </c>
      <c r="AC174" t="s">
        <v>444</v>
      </c>
      <c r="AD174">
        <v>43</v>
      </c>
      <c r="AE174">
        <f t="shared" si="21"/>
        <v>195.99987576438383</v>
      </c>
      <c r="AF174">
        <f t="shared" si="27"/>
        <v>2</v>
      </c>
      <c r="AH174">
        <v>117.5</v>
      </c>
    </row>
    <row r="175" spans="1:34" x14ac:dyDescent="0.2">
      <c r="A175">
        <f t="shared" si="22"/>
        <v>42.75</v>
      </c>
      <c r="E175">
        <f t="shared" si="23"/>
        <v>42.75</v>
      </c>
      <c r="I175">
        <f t="shared" si="24"/>
        <v>42.75</v>
      </c>
      <c r="M175">
        <f t="shared" si="25"/>
        <v>42.75</v>
      </c>
      <c r="R175">
        <v>97.75</v>
      </c>
      <c r="S175" t="s">
        <v>27</v>
      </c>
      <c r="T175">
        <v>36</v>
      </c>
      <c r="U175">
        <f t="shared" si="20"/>
        <v>130.81344004395982</v>
      </c>
      <c r="V175">
        <f t="shared" si="26"/>
        <v>3</v>
      </c>
      <c r="W175">
        <v>97.75</v>
      </c>
      <c r="AB175">
        <v>118</v>
      </c>
      <c r="AC175" t="s">
        <v>325</v>
      </c>
      <c r="AD175">
        <v>46</v>
      </c>
      <c r="AE175">
        <f t="shared" si="21"/>
        <v>233.08504452861115</v>
      </c>
      <c r="AF175">
        <f t="shared" si="27"/>
        <v>3</v>
      </c>
      <c r="AH175">
        <v>118</v>
      </c>
    </row>
    <row r="176" spans="1:34" x14ac:dyDescent="0.2">
      <c r="A176">
        <f t="shared" si="22"/>
        <v>43</v>
      </c>
      <c r="E176">
        <f t="shared" si="23"/>
        <v>43</v>
      </c>
      <c r="I176">
        <f t="shared" si="24"/>
        <v>43</v>
      </c>
      <c r="M176">
        <f t="shared" si="25"/>
        <v>43</v>
      </c>
      <c r="R176">
        <v>98</v>
      </c>
      <c r="S176" t="s">
        <v>414</v>
      </c>
      <c r="T176">
        <v>33</v>
      </c>
      <c r="U176">
        <f t="shared" si="20"/>
        <v>110.00027071140791</v>
      </c>
      <c r="V176">
        <f t="shared" si="26"/>
        <v>3</v>
      </c>
      <c r="W176">
        <v>98</v>
      </c>
      <c r="AB176">
        <v>118.5</v>
      </c>
      <c r="AC176" t="s">
        <v>223</v>
      </c>
      <c r="AD176">
        <v>50</v>
      </c>
      <c r="AE176">
        <f t="shared" si="21"/>
        <v>293.66975814369101</v>
      </c>
      <c r="AF176">
        <f t="shared" si="27"/>
        <v>4</v>
      </c>
      <c r="AH176">
        <v>118.5</v>
      </c>
    </row>
    <row r="177" spans="1:34" x14ac:dyDescent="0.2">
      <c r="A177">
        <f t="shared" si="22"/>
        <v>43.25</v>
      </c>
      <c r="E177">
        <f t="shared" si="23"/>
        <v>43.25</v>
      </c>
      <c r="I177">
        <f t="shared" si="24"/>
        <v>43.25</v>
      </c>
      <c r="M177">
        <f t="shared" si="25"/>
        <v>43.25</v>
      </c>
      <c r="R177">
        <v>101</v>
      </c>
      <c r="S177" t="s">
        <v>28</v>
      </c>
      <c r="T177">
        <v>38</v>
      </c>
      <c r="U177">
        <f t="shared" si="20"/>
        <v>146.83337288738056</v>
      </c>
      <c r="V177">
        <f t="shared" si="26"/>
        <v>5</v>
      </c>
      <c r="W177">
        <v>101</v>
      </c>
      <c r="AB177">
        <v>119</v>
      </c>
      <c r="AC177" t="s">
        <v>390</v>
      </c>
      <c r="AD177">
        <v>53</v>
      </c>
      <c r="AE177">
        <f t="shared" si="21"/>
        <v>349.23506143398839</v>
      </c>
      <c r="AF177">
        <f t="shared" si="27"/>
        <v>3</v>
      </c>
      <c r="AH177">
        <v>119</v>
      </c>
    </row>
    <row r="178" spans="1:34" x14ac:dyDescent="0.2">
      <c r="A178">
        <f t="shared" si="22"/>
        <v>43.5</v>
      </c>
      <c r="B178" t="s">
        <v>243</v>
      </c>
      <c r="C178">
        <v>57</v>
      </c>
      <c r="D178">
        <f>16.35117682*1.059464^C178</f>
        <v>440.01010976071973</v>
      </c>
      <c r="E178">
        <f t="shared" si="23"/>
        <v>43.5</v>
      </c>
      <c r="I178">
        <f t="shared" si="24"/>
        <v>43.5</v>
      </c>
      <c r="J178" t="s">
        <v>326</v>
      </c>
      <c r="K178">
        <v>45</v>
      </c>
      <c r="L178">
        <f>16.35117682*1.059464^K178</f>
        <v>220.00279814001337</v>
      </c>
      <c r="M178">
        <f t="shared" si="25"/>
        <v>43.5</v>
      </c>
      <c r="R178">
        <v>101.5</v>
      </c>
      <c r="S178" t="s">
        <v>29</v>
      </c>
      <c r="T178">
        <v>40</v>
      </c>
      <c r="U178">
        <f t="shared" si="20"/>
        <v>164.8151702626221</v>
      </c>
      <c r="V178">
        <f t="shared" si="26"/>
        <v>2</v>
      </c>
      <c r="W178">
        <v>101.5</v>
      </c>
      <c r="AB178">
        <v>119.5</v>
      </c>
      <c r="AC178" t="s">
        <v>223</v>
      </c>
      <c r="AD178">
        <v>50</v>
      </c>
      <c r="AE178">
        <f t="shared" si="21"/>
        <v>293.66975814369101</v>
      </c>
      <c r="AF178">
        <f t="shared" si="27"/>
        <v>3</v>
      </c>
      <c r="AH178">
        <v>119.5</v>
      </c>
    </row>
    <row r="179" spans="1:34" x14ac:dyDescent="0.2">
      <c r="A179">
        <f t="shared" si="22"/>
        <v>43.75</v>
      </c>
      <c r="E179">
        <f t="shared" si="23"/>
        <v>43.75</v>
      </c>
      <c r="I179">
        <f t="shared" si="24"/>
        <v>43.75</v>
      </c>
      <c r="M179">
        <f t="shared" si="25"/>
        <v>43.75</v>
      </c>
      <c r="R179">
        <v>103</v>
      </c>
      <c r="S179" t="s">
        <v>480</v>
      </c>
      <c r="T179">
        <v>50</v>
      </c>
      <c r="U179">
        <f t="shared" si="20"/>
        <v>293.66975814369101</v>
      </c>
      <c r="V179">
        <f t="shared" si="26"/>
        <v>10</v>
      </c>
      <c r="W179">
        <v>103</v>
      </c>
      <c r="AB179">
        <v>120</v>
      </c>
      <c r="AC179" t="s">
        <v>325</v>
      </c>
      <c r="AD179">
        <v>46</v>
      </c>
      <c r="AE179">
        <f t="shared" si="21"/>
        <v>233.08504452861115</v>
      </c>
      <c r="AF179">
        <f t="shared" si="27"/>
        <v>4</v>
      </c>
      <c r="AH179">
        <v>120</v>
      </c>
    </row>
    <row r="180" spans="1:34" x14ac:dyDescent="0.2">
      <c r="A180">
        <f t="shared" si="22"/>
        <v>44</v>
      </c>
      <c r="B180" t="s">
        <v>482</v>
      </c>
      <c r="C180">
        <v>53</v>
      </c>
      <c r="D180">
        <f>16.35117682*1.059464^C180</f>
        <v>349.23506143398839</v>
      </c>
      <c r="E180">
        <f t="shared" si="23"/>
        <v>44</v>
      </c>
      <c r="I180">
        <f t="shared" si="24"/>
        <v>44</v>
      </c>
      <c r="J180" t="s">
        <v>330</v>
      </c>
      <c r="K180">
        <v>41</v>
      </c>
      <c r="L180">
        <f>16.35117682*1.059464^K180</f>
        <v>174.61573954711864</v>
      </c>
      <c r="M180">
        <f t="shared" si="25"/>
        <v>44</v>
      </c>
      <c r="R180">
        <v>103.5</v>
      </c>
      <c r="S180" t="s">
        <v>481</v>
      </c>
      <c r="T180">
        <v>52</v>
      </c>
      <c r="U180">
        <f t="shared" si="20"/>
        <v>329.63372180082422</v>
      </c>
      <c r="V180">
        <f t="shared" si="26"/>
        <v>2</v>
      </c>
      <c r="W180">
        <v>103.5</v>
      </c>
      <c r="AB180">
        <v>123.5</v>
      </c>
      <c r="AC180" t="s">
        <v>307</v>
      </c>
      <c r="AD180">
        <v>47</v>
      </c>
      <c r="AE180">
        <f t="shared" si="21"/>
        <v>246.94521361646048</v>
      </c>
      <c r="AF180">
        <f t="shared" si="27"/>
        <v>1</v>
      </c>
      <c r="AH180">
        <v>123.5</v>
      </c>
    </row>
    <row r="181" spans="1:34" x14ac:dyDescent="0.2">
      <c r="A181">
        <f t="shared" si="22"/>
        <v>44.25</v>
      </c>
      <c r="E181">
        <f t="shared" si="23"/>
        <v>44.25</v>
      </c>
      <c r="I181">
        <f t="shared" si="24"/>
        <v>44.25</v>
      </c>
      <c r="M181">
        <f t="shared" si="25"/>
        <v>44.25</v>
      </c>
      <c r="R181">
        <v>103.75</v>
      </c>
      <c r="S181" t="s">
        <v>239</v>
      </c>
      <c r="T181">
        <v>55</v>
      </c>
      <c r="U181">
        <f t="shared" si="20"/>
        <v>392.00377257605692</v>
      </c>
      <c r="V181">
        <f t="shared" si="26"/>
        <v>3</v>
      </c>
      <c r="W181">
        <v>103.75</v>
      </c>
      <c r="AB181">
        <v>124</v>
      </c>
      <c r="AC181" t="s">
        <v>323</v>
      </c>
      <c r="AD181">
        <v>48</v>
      </c>
      <c r="AE181">
        <f t="shared" si="21"/>
        <v>261.62956379894968</v>
      </c>
      <c r="AF181">
        <f t="shared" si="27"/>
        <v>1</v>
      </c>
      <c r="AH181">
        <v>124</v>
      </c>
    </row>
    <row r="182" spans="1:34" x14ac:dyDescent="0.2">
      <c r="A182">
        <f t="shared" si="22"/>
        <v>44.5</v>
      </c>
      <c r="B182" t="s">
        <v>243</v>
      </c>
      <c r="C182">
        <v>57</v>
      </c>
      <c r="D182">
        <f>16.35117682*1.059464^C182</f>
        <v>440.01010976071973</v>
      </c>
      <c r="E182">
        <f t="shared" si="23"/>
        <v>44.5</v>
      </c>
      <c r="F182" t="s">
        <v>479</v>
      </c>
      <c r="G182">
        <v>48</v>
      </c>
      <c r="H182">
        <f>16.35117682*1.059464^G182</f>
        <v>261.62956379894968</v>
      </c>
      <c r="I182">
        <f t="shared" si="24"/>
        <v>44.5</v>
      </c>
      <c r="M182">
        <f t="shared" si="25"/>
        <v>44.5</v>
      </c>
      <c r="R182">
        <v>105</v>
      </c>
      <c r="S182" t="s">
        <v>255</v>
      </c>
      <c r="T182">
        <v>64</v>
      </c>
      <c r="U182">
        <f t="shared" si="20"/>
        <v>659.27420622217721</v>
      </c>
      <c r="V182">
        <f t="shared" si="26"/>
        <v>9</v>
      </c>
      <c r="W182">
        <v>105</v>
      </c>
      <c r="AB182">
        <v>125.5</v>
      </c>
      <c r="AC182" t="s">
        <v>487</v>
      </c>
      <c r="AD182">
        <v>45</v>
      </c>
      <c r="AE182">
        <f t="shared" si="21"/>
        <v>220.00279814001337</v>
      </c>
      <c r="AF182">
        <f t="shared" si="27"/>
        <v>3</v>
      </c>
      <c r="AH182">
        <v>125.5</v>
      </c>
    </row>
    <row r="183" spans="1:34" x14ac:dyDescent="0.2">
      <c r="A183">
        <f t="shared" si="22"/>
        <v>44.75</v>
      </c>
      <c r="E183">
        <f t="shared" si="23"/>
        <v>44.75</v>
      </c>
      <c r="I183">
        <f t="shared" si="24"/>
        <v>44.75</v>
      </c>
      <c r="M183">
        <f t="shared" si="25"/>
        <v>44.75</v>
      </c>
      <c r="R183">
        <v>105.5</v>
      </c>
      <c r="S183" t="s">
        <v>245</v>
      </c>
      <c r="T183">
        <v>67</v>
      </c>
      <c r="U183">
        <f t="shared" si="20"/>
        <v>784.01558732918636</v>
      </c>
      <c r="V183">
        <f t="shared" si="26"/>
        <v>3</v>
      </c>
      <c r="W183">
        <v>105.5</v>
      </c>
      <c r="AB183">
        <v>126</v>
      </c>
      <c r="AC183" t="s">
        <v>318</v>
      </c>
      <c r="AD183">
        <v>41</v>
      </c>
      <c r="AE183">
        <f t="shared" si="21"/>
        <v>174.61573954711864</v>
      </c>
      <c r="AF183">
        <f t="shared" si="27"/>
        <v>4</v>
      </c>
      <c r="AH183">
        <v>126</v>
      </c>
    </row>
    <row r="184" spans="1:34" x14ac:dyDescent="0.2">
      <c r="A184">
        <f t="shared" si="22"/>
        <v>45</v>
      </c>
      <c r="E184">
        <f t="shared" si="23"/>
        <v>45</v>
      </c>
      <c r="I184">
        <f t="shared" si="24"/>
        <v>45</v>
      </c>
      <c r="M184">
        <f t="shared" si="25"/>
        <v>45</v>
      </c>
      <c r="R184">
        <v>105.75</v>
      </c>
      <c r="S184" t="s">
        <v>256</v>
      </c>
      <c r="T184">
        <v>69</v>
      </c>
      <c r="U184">
        <f t="shared" si="20"/>
        <v>880.02924657542201</v>
      </c>
      <c r="V184">
        <f t="shared" si="26"/>
        <v>2</v>
      </c>
      <c r="W184">
        <v>105.75</v>
      </c>
      <c r="AB184">
        <v>127.5</v>
      </c>
      <c r="AC184" t="s">
        <v>82</v>
      </c>
      <c r="AD184">
        <v>38</v>
      </c>
      <c r="AE184">
        <f t="shared" si="21"/>
        <v>146.83337288738056</v>
      </c>
      <c r="AF184">
        <f t="shared" si="27"/>
        <v>3</v>
      </c>
      <c r="AH184">
        <v>127.5</v>
      </c>
    </row>
    <row r="185" spans="1:34" x14ac:dyDescent="0.2">
      <c r="A185">
        <f t="shared" si="22"/>
        <v>45.25</v>
      </c>
      <c r="E185">
        <f t="shared" si="23"/>
        <v>45.25</v>
      </c>
      <c r="I185">
        <f t="shared" si="24"/>
        <v>45.25</v>
      </c>
      <c r="M185">
        <f t="shared" si="25"/>
        <v>45.25</v>
      </c>
      <c r="R185">
        <v>106</v>
      </c>
      <c r="S185" t="s">
        <v>410</v>
      </c>
      <c r="T185">
        <v>72</v>
      </c>
      <c r="U185">
        <f t="shared" si="20"/>
        <v>1046.5397252143878</v>
      </c>
      <c r="V185">
        <f t="shared" si="26"/>
        <v>3</v>
      </c>
      <c r="W185">
        <v>106</v>
      </c>
      <c r="X185" t="s">
        <v>245</v>
      </c>
      <c r="Y185">
        <v>67</v>
      </c>
      <c r="Z185">
        <f>16.35117682*1.059464^Y185</f>
        <v>784.01558732918636</v>
      </c>
      <c r="AA185">
        <f>ABS(Y185-T184)</f>
        <v>2</v>
      </c>
      <c r="AB185">
        <v>128</v>
      </c>
      <c r="AC185" t="s">
        <v>275</v>
      </c>
      <c r="AD185">
        <v>40</v>
      </c>
      <c r="AE185">
        <f t="shared" si="21"/>
        <v>164.8151702626221</v>
      </c>
      <c r="AF185">
        <f t="shared" si="27"/>
        <v>2</v>
      </c>
      <c r="AH185">
        <v>128</v>
      </c>
    </row>
    <row r="186" spans="1:34" x14ac:dyDescent="0.2">
      <c r="A186">
        <f t="shared" si="22"/>
        <v>45.5</v>
      </c>
      <c r="B186" t="s">
        <v>480</v>
      </c>
      <c r="C186">
        <v>50</v>
      </c>
      <c r="D186">
        <f>16.35117682*1.059464^C186</f>
        <v>293.66975814369101</v>
      </c>
      <c r="E186">
        <f t="shared" si="23"/>
        <v>45.5</v>
      </c>
      <c r="I186">
        <f t="shared" si="24"/>
        <v>45.5</v>
      </c>
      <c r="J186" t="s">
        <v>332</v>
      </c>
      <c r="K186">
        <v>38</v>
      </c>
      <c r="L186">
        <f>16.35117682*1.059464^K186</f>
        <v>146.83337288738056</v>
      </c>
      <c r="M186">
        <f t="shared" si="25"/>
        <v>45.5</v>
      </c>
      <c r="R186">
        <v>107.5</v>
      </c>
      <c r="S186" s="1" t="s">
        <v>244</v>
      </c>
      <c r="T186">
        <v>59</v>
      </c>
      <c r="U186">
        <f t="shared" si="20"/>
        <v>493.89549345236594</v>
      </c>
      <c r="V186">
        <f t="shared" si="26"/>
        <v>13</v>
      </c>
      <c r="W186">
        <v>107.5</v>
      </c>
      <c r="AB186">
        <v>129</v>
      </c>
      <c r="AC186" t="s">
        <v>82</v>
      </c>
      <c r="AD186">
        <v>38</v>
      </c>
      <c r="AE186">
        <f t="shared" si="21"/>
        <v>146.83337288738056</v>
      </c>
      <c r="AF186">
        <f t="shared" si="27"/>
        <v>2</v>
      </c>
      <c r="AH186">
        <v>129</v>
      </c>
    </row>
    <row r="187" spans="1:34" x14ac:dyDescent="0.2">
      <c r="A187">
        <f t="shared" si="22"/>
        <v>45.75</v>
      </c>
      <c r="E187">
        <f t="shared" si="23"/>
        <v>45.75</v>
      </c>
      <c r="I187">
        <f t="shared" si="24"/>
        <v>45.75</v>
      </c>
      <c r="M187">
        <f t="shared" si="25"/>
        <v>45.75</v>
      </c>
      <c r="R187">
        <v>108</v>
      </c>
      <c r="S187" t="s">
        <v>240</v>
      </c>
      <c r="T187">
        <v>60</v>
      </c>
      <c r="U187">
        <f t="shared" si="20"/>
        <v>523.26449507501752</v>
      </c>
      <c r="V187">
        <f t="shared" si="26"/>
        <v>1</v>
      </c>
      <c r="W187">
        <v>108</v>
      </c>
      <c r="AB187">
        <v>129.5</v>
      </c>
      <c r="AC187" t="s">
        <v>47</v>
      </c>
      <c r="AD187">
        <v>47</v>
      </c>
      <c r="AE187">
        <f t="shared" si="21"/>
        <v>246.94521361646048</v>
      </c>
      <c r="AF187">
        <f t="shared" si="27"/>
        <v>9</v>
      </c>
      <c r="AH187">
        <v>129.5</v>
      </c>
    </row>
    <row r="188" spans="1:34" x14ac:dyDescent="0.2">
      <c r="A188">
        <f t="shared" si="22"/>
        <v>46</v>
      </c>
      <c r="B188" t="s">
        <v>481</v>
      </c>
      <c r="C188">
        <v>52</v>
      </c>
      <c r="D188">
        <f>16.35117682*1.059464^C188</f>
        <v>329.63372180082422</v>
      </c>
      <c r="E188">
        <f t="shared" si="23"/>
        <v>46</v>
      </c>
      <c r="I188">
        <f t="shared" si="24"/>
        <v>46</v>
      </c>
      <c r="J188" t="s">
        <v>333</v>
      </c>
      <c r="K188">
        <v>40</v>
      </c>
      <c r="L188">
        <f>16.35117682*1.059464^K188</f>
        <v>164.8151702626221</v>
      </c>
      <c r="M188">
        <f t="shared" si="25"/>
        <v>46</v>
      </c>
      <c r="R188">
        <v>108.5</v>
      </c>
      <c r="S188" t="s">
        <v>411</v>
      </c>
      <c r="T188">
        <v>58</v>
      </c>
      <c r="U188">
        <f t="shared" si="20"/>
        <v>466.17487092753117</v>
      </c>
      <c r="V188">
        <f t="shared" si="26"/>
        <v>2</v>
      </c>
      <c r="W188">
        <v>108.5</v>
      </c>
      <c r="X188" t="s">
        <v>481</v>
      </c>
      <c r="Y188">
        <v>52</v>
      </c>
      <c r="Z188">
        <f>16.35117682*1.059464^Y188</f>
        <v>329.63372180082422</v>
      </c>
      <c r="AA188">
        <f>ABS(Y188-T187)</f>
        <v>8</v>
      </c>
      <c r="AB188">
        <v>130</v>
      </c>
      <c r="AC188" t="s">
        <v>488</v>
      </c>
      <c r="AD188">
        <v>36</v>
      </c>
      <c r="AE188">
        <f t="shared" si="21"/>
        <v>130.81344004395982</v>
      </c>
      <c r="AF188">
        <f t="shared" si="27"/>
        <v>11</v>
      </c>
      <c r="AH188">
        <v>130</v>
      </c>
    </row>
    <row r="189" spans="1:34" x14ac:dyDescent="0.2">
      <c r="A189">
        <f t="shared" si="22"/>
        <v>46.25</v>
      </c>
      <c r="E189">
        <f t="shared" si="23"/>
        <v>46.25</v>
      </c>
      <c r="I189">
        <f t="shared" si="24"/>
        <v>46.25</v>
      </c>
      <c r="M189">
        <f t="shared" si="25"/>
        <v>46.25</v>
      </c>
      <c r="R189">
        <v>109.5</v>
      </c>
      <c r="S189" t="s">
        <v>243</v>
      </c>
      <c r="T189">
        <v>57</v>
      </c>
      <c r="U189">
        <f t="shared" si="20"/>
        <v>440.01010976071973</v>
      </c>
      <c r="V189">
        <f t="shared" si="26"/>
        <v>1</v>
      </c>
      <c r="W189">
        <v>109.5</v>
      </c>
      <c r="AB189">
        <v>131.5</v>
      </c>
      <c r="AC189" t="s">
        <v>277</v>
      </c>
      <c r="AD189">
        <v>33</v>
      </c>
      <c r="AE189">
        <f t="shared" si="21"/>
        <v>110.00027071140791</v>
      </c>
      <c r="AF189">
        <f t="shared" si="27"/>
        <v>3</v>
      </c>
      <c r="AH189">
        <v>131.5</v>
      </c>
    </row>
    <row r="190" spans="1:34" x14ac:dyDescent="0.2">
      <c r="A190">
        <f t="shared" si="22"/>
        <v>46.5</v>
      </c>
      <c r="B190" t="s">
        <v>239</v>
      </c>
      <c r="C190">
        <v>55</v>
      </c>
      <c r="D190">
        <f>16.35117682*1.059464^C190</f>
        <v>392.00377257605692</v>
      </c>
      <c r="E190">
        <f t="shared" si="23"/>
        <v>46.5</v>
      </c>
      <c r="F190" t="s">
        <v>47</v>
      </c>
      <c r="G190">
        <v>47</v>
      </c>
      <c r="H190">
        <f>16.35117682*1.059464^G190</f>
        <v>246.94521361646048</v>
      </c>
      <c r="I190">
        <f t="shared" si="24"/>
        <v>46.5</v>
      </c>
      <c r="M190">
        <f t="shared" si="25"/>
        <v>46.5</v>
      </c>
      <c r="R190">
        <v>110</v>
      </c>
      <c r="S190" t="s">
        <v>482</v>
      </c>
      <c r="T190">
        <v>53</v>
      </c>
      <c r="U190">
        <f t="shared" si="20"/>
        <v>349.23506143398839</v>
      </c>
      <c r="V190">
        <f t="shared" si="26"/>
        <v>4</v>
      </c>
      <c r="W190">
        <v>110</v>
      </c>
      <c r="AB190">
        <v>132</v>
      </c>
      <c r="AC190" t="s">
        <v>81</v>
      </c>
      <c r="AD190">
        <v>34</v>
      </c>
      <c r="AE190">
        <f t="shared" si="21"/>
        <v>116.54132680899107</v>
      </c>
      <c r="AF190">
        <f t="shared" si="27"/>
        <v>1</v>
      </c>
      <c r="AH190">
        <v>132</v>
      </c>
    </row>
    <row r="191" spans="1:34" x14ac:dyDescent="0.2">
      <c r="A191">
        <f t="shared" si="22"/>
        <v>46.75</v>
      </c>
      <c r="E191">
        <f t="shared" si="23"/>
        <v>46.75</v>
      </c>
      <c r="I191">
        <f t="shared" si="24"/>
        <v>46.75</v>
      </c>
      <c r="M191">
        <f t="shared" si="25"/>
        <v>46.75</v>
      </c>
      <c r="R191">
        <v>110.5</v>
      </c>
      <c r="S191" t="s">
        <v>243</v>
      </c>
      <c r="T191">
        <v>57</v>
      </c>
      <c r="U191">
        <f t="shared" si="20"/>
        <v>440.01010976071973</v>
      </c>
      <c r="V191">
        <f t="shared" si="26"/>
        <v>4</v>
      </c>
      <c r="W191">
        <v>110.5</v>
      </c>
      <c r="X191" t="s">
        <v>479</v>
      </c>
      <c r="Y191">
        <v>48</v>
      </c>
      <c r="Z191">
        <f>16.35117682*1.059464^Y191</f>
        <v>261.62956379894968</v>
      </c>
      <c r="AA191">
        <f>ABS(Y191-T190)</f>
        <v>5</v>
      </c>
      <c r="AB191">
        <v>132.5</v>
      </c>
      <c r="AC191" t="s">
        <v>82</v>
      </c>
      <c r="AD191">
        <v>38</v>
      </c>
      <c r="AE191">
        <f t="shared" si="21"/>
        <v>146.83337288738056</v>
      </c>
      <c r="AF191">
        <f t="shared" si="27"/>
        <v>4</v>
      </c>
      <c r="AH191">
        <v>132.5</v>
      </c>
    </row>
    <row r="192" spans="1:34" x14ac:dyDescent="0.2">
      <c r="A192">
        <f t="shared" si="22"/>
        <v>47</v>
      </c>
      <c r="B192" t="s">
        <v>480</v>
      </c>
      <c r="C192">
        <v>50</v>
      </c>
      <c r="D192">
        <f>16.35117682*1.059464^C192</f>
        <v>293.66975814369101</v>
      </c>
      <c r="E192">
        <f t="shared" si="23"/>
        <v>47</v>
      </c>
      <c r="I192">
        <f t="shared" si="24"/>
        <v>47</v>
      </c>
      <c r="J192" t="s">
        <v>28</v>
      </c>
      <c r="K192">
        <v>38</v>
      </c>
      <c r="L192">
        <f>16.35117682*1.059464^K192</f>
        <v>146.83337288738056</v>
      </c>
      <c r="M192">
        <f t="shared" si="25"/>
        <v>47</v>
      </c>
      <c r="R192">
        <v>111.5</v>
      </c>
      <c r="S192" t="s">
        <v>480</v>
      </c>
      <c r="T192">
        <v>50</v>
      </c>
      <c r="U192">
        <f t="shared" si="20"/>
        <v>293.66975814369101</v>
      </c>
      <c r="V192">
        <f t="shared" si="26"/>
        <v>7</v>
      </c>
      <c r="W192">
        <v>111.5</v>
      </c>
      <c r="AB192">
        <v>133</v>
      </c>
      <c r="AC192" t="s">
        <v>318</v>
      </c>
      <c r="AD192">
        <v>41</v>
      </c>
      <c r="AE192">
        <f t="shared" si="21"/>
        <v>174.61573954711864</v>
      </c>
      <c r="AF192">
        <f t="shared" si="27"/>
        <v>3</v>
      </c>
      <c r="AH192">
        <v>133</v>
      </c>
    </row>
    <row r="193" spans="1:34" x14ac:dyDescent="0.2">
      <c r="A193">
        <f t="shared" si="22"/>
        <v>47.25</v>
      </c>
      <c r="E193">
        <f t="shared" si="23"/>
        <v>47.25</v>
      </c>
      <c r="I193">
        <f t="shared" si="24"/>
        <v>47.25</v>
      </c>
      <c r="M193">
        <f t="shared" si="25"/>
        <v>47.25</v>
      </c>
      <c r="R193">
        <v>112</v>
      </c>
      <c r="S193" t="s">
        <v>481</v>
      </c>
      <c r="T193">
        <v>52</v>
      </c>
      <c r="U193">
        <f t="shared" si="20"/>
        <v>329.63372180082422</v>
      </c>
      <c r="V193">
        <f t="shared" si="26"/>
        <v>2</v>
      </c>
      <c r="W193">
        <v>112</v>
      </c>
      <c r="AB193">
        <v>133.5</v>
      </c>
      <c r="AC193" t="s">
        <v>444</v>
      </c>
      <c r="AD193">
        <v>43</v>
      </c>
      <c r="AE193">
        <f t="shared" si="21"/>
        <v>195.99987576438383</v>
      </c>
      <c r="AF193">
        <f t="shared" si="27"/>
        <v>2</v>
      </c>
      <c r="AH193">
        <v>133.5</v>
      </c>
    </row>
    <row r="194" spans="1:34" x14ac:dyDescent="0.2">
      <c r="A194">
        <f t="shared" si="22"/>
        <v>47.5</v>
      </c>
      <c r="B194" t="s">
        <v>239</v>
      </c>
      <c r="C194">
        <v>55</v>
      </c>
      <c r="D194">
        <f>16.35117682*1.059464^C194</f>
        <v>392.00377257605692</v>
      </c>
      <c r="E194">
        <f t="shared" si="23"/>
        <v>47.5</v>
      </c>
      <c r="F194" t="s">
        <v>482</v>
      </c>
      <c r="G194">
        <v>53</v>
      </c>
      <c r="H194">
        <f>16.35117682*1.059464^G194</f>
        <v>349.23506143398839</v>
      </c>
      <c r="I194">
        <f t="shared" si="24"/>
        <v>47.5</v>
      </c>
      <c r="J194" t="s">
        <v>47</v>
      </c>
      <c r="K194">
        <v>47</v>
      </c>
      <c r="L194">
        <f>16.35117682*1.059464^K194</f>
        <v>246.94521361646048</v>
      </c>
      <c r="M194">
        <f t="shared" si="25"/>
        <v>47.5</v>
      </c>
      <c r="R194">
        <v>112.5</v>
      </c>
      <c r="S194" t="s">
        <v>239</v>
      </c>
      <c r="T194">
        <v>55</v>
      </c>
      <c r="U194">
        <f t="shared" si="20"/>
        <v>392.00377257605692</v>
      </c>
      <c r="V194">
        <f t="shared" si="26"/>
        <v>3</v>
      </c>
      <c r="W194">
        <v>112.5</v>
      </c>
      <c r="X194" t="s">
        <v>47</v>
      </c>
      <c r="Y194">
        <v>47</v>
      </c>
      <c r="Z194">
        <f>16.35117682*1.059464^Y194</f>
        <v>246.94521361646048</v>
      </c>
      <c r="AA194">
        <f>ABS(Y194-T193)</f>
        <v>5</v>
      </c>
      <c r="AB194">
        <v>134</v>
      </c>
      <c r="AC194" t="s">
        <v>325</v>
      </c>
      <c r="AD194">
        <v>46</v>
      </c>
      <c r="AE194">
        <f t="shared" si="21"/>
        <v>233.08504452861115</v>
      </c>
      <c r="AF194">
        <f t="shared" si="27"/>
        <v>3</v>
      </c>
      <c r="AH194">
        <v>134</v>
      </c>
    </row>
    <row r="195" spans="1:34" x14ac:dyDescent="0.2">
      <c r="A195">
        <f t="shared" si="22"/>
        <v>47.75</v>
      </c>
      <c r="E195">
        <f t="shared" si="23"/>
        <v>47.75</v>
      </c>
      <c r="I195">
        <f t="shared" si="24"/>
        <v>47.75</v>
      </c>
      <c r="M195">
        <f t="shared" si="25"/>
        <v>47.75</v>
      </c>
      <c r="R195">
        <v>113</v>
      </c>
      <c r="S195" t="s">
        <v>480</v>
      </c>
      <c r="T195">
        <v>50</v>
      </c>
      <c r="U195">
        <f t="shared" si="20"/>
        <v>293.66975814369101</v>
      </c>
      <c r="V195">
        <f t="shared" si="26"/>
        <v>5</v>
      </c>
      <c r="W195">
        <v>113</v>
      </c>
      <c r="AB195">
        <v>134.5</v>
      </c>
      <c r="AC195" t="s">
        <v>223</v>
      </c>
      <c r="AD195">
        <v>50</v>
      </c>
      <c r="AE195">
        <f t="shared" si="21"/>
        <v>293.66975814369101</v>
      </c>
      <c r="AF195">
        <f t="shared" si="27"/>
        <v>4</v>
      </c>
      <c r="AH195">
        <v>134.5</v>
      </c>
    </row>
    <row r="196" spans="1:34" x14ac:dyDescent="0.2">
      <c r="A196">
        <f t="shared" si="22"/>
        <v>48</v>
      </c>
      <c r="B196" t="s">
        <v>479</v>
      </c>
      <c r="C196">
        <v>48</v>
      </c>
      <c r="D196">
        <f>16.35117682*1.059464^C196</f>
        <v>261.62956379894968</v>
      </c>
      <c r="E196">
        <f t="shared" si="23"/>
        <v>48</v>
      </c>
      <c r="I196">
        <f t="shared" si="24"/>
        <v>48</v>
      </c>
      <c r="J196" t="s">
        <v>334</v>
      </c>
      <c r="K196">
        <v>36</v>
      </c>
      <c r="L196">
        <f>16.35117682*1.059464^K196</f>
        <v>130.81344004395982</v>
      </c>
      <c r="M196">
        <f t="shared" si="25"/>
        <v>48</v>
      </c>
      <c r="R196">
        <v>113.5</v>
      </c>
      <c r="S196" t="s">
        <v>239</v>
      </c>
      <c r="T196">
        <v>55</v>
      </c>
      <c r="U196">
        <f t="shared" ref="U196:U259" si="28">16.35117682*1.059464^T196</f>
        <v>392.00377257605692</v>
      </c>
      <c r="V196">
        <f t="shared" si="26"/>
        <v>5</v>
      </c>
      <c r="W196">
        <v>113.5</v>
      </c>
      <c r="X196" t="s">
        <v>482</v>
      </c>
      <c r="Y196">
        <v>53</v>
      </c>
      <c r="Z196">
        <f>16.35117682*1.059464^Y196</f>
        <v>349.23506143398839</v>
      </c>
      <c r="AA196">
        <f>ABS(Y196-T195)</f>
        <v>3</v>
      </c>
      <c r="AB196">
        <v>135</v>
      </c>
      <c r="AC196" t="s">
        <v>308</v>
      </c>
      <c r="AD196">
        <v>53</v>
      </c>
      <c r="AE196">
        <f t="shared" ref="AE196:AE259" si="29">16.35117682*1.059464^AD196</f>
        <v>349.23506143398839</v>
      </c>
      <c r="AF196">
        <f t="shared" si="27"/>
        <v>3</v>
      </c>
      <c r="AH196">
        <v>135</v>
      </c>
    </row>
    <row r="197" spans="1:34" x14ac:dyDescent="0.2">
      <c r="A197">
        <f t="shared" ref="A197:A260" si="30">A196+0.25</f>
        <v>48.25</v>
      </c>
      <c r="E197">
        <f t="shared" ref="E197:E260" si="31">E196+0.25</f>
        <v>48.25</v>
      </c>
      <c r="I197">
        <f t="shared" ref="I197:I260" si="32">I196+0.25</f>
        <v>48.25</v>
      </c>
      <c r="M197">
        <f t="shared" ref="M197:M260" si="33">M196+0.25</f>
        <v>48.25</v>
      </c>
      <c r="R197">
        <v>114</v>
      </c>
      <c r="S197" t="s">
        <v>479</v>
      </c>
      <c r="T197">
        <v>48</v>
      </c>
      <c r="U197">
        <f t="shared" si="28"/>
        <v>261.62956379894968</v>
      </c>
      <c r="V197">
        <f t="shared" ref="V197:V260" si="34">ABS(T197-T196)</f>
        <v>7</v>
      </c>
      <c r="W197">
        <v>114</v>
      </c>
      <c r="AB197">
        <v>135.5</v>
      </c>
      <c r="AC197" t="s">
        <v>223</v>
      </c>
      <c r="AD197">
        <v>50</v>
      </c>
      <c r="AE197">
        <f t="shared" si="29"/>
        <v>293.66975814369101</v>
      </c>
      <c r="AF197">
        <f t="shared" ref="AF197:AF265" si="35">ABS(AD197-AD196)</f>
        <v>3</v>
      </c>
      <c r="AH197">
        <v>135.5</v>
      </c>
    </row>
    <row r="198" spans="1:34" x14ac:dyDescent="0.2">
      <c r="A198">
        <f t="shared" si="30"/>
        <v>48.5</v>
      </c>
      <c r="B198" t="s">
        <v>481</v>
      </c>
      <c r="C198">
        <v>52</v>
      </c>
      <c r="D198">
        <f>16.35117682*1.059464^C198</f>
        <v>329.63372180082422</v>
      </c>
      <c r="E198">
        <f t="shared" si="31"/>
        <v>48.5</v>
      </c>
      <c r="F198" t="s">
        <v>239</v>
      </c>
      <c r="G198">
        <v>55</v>
      </c>
      <c r="H198">
        <f>16.35117682*1.059464^G198</f>
        <v>392.00377257605692</v>
      </c>
      <c r="I198">
        <f t="shared" si="32"/>
        <v>48.5</v>
      </c>
      <c r="M198">
        <f t="shared" si="33"/>
        <v>48.5</v>
      </c>
      <c r="R198">
        <v>114.5</v>
      </c>
      <c r="S198" t="s">
        <v>481</v>
      </c>
      <c r="T198">
        <v>52</v>
      </c>
      <c r="U198">
        <f t="shared" si="28"/>
        <v>329.63372180082422</v>
      </c>
      <c r="V198">
        <f t="shared" si="34"/>
        <v>4</v>
      </c>
      <c r="W198">
        <v>114.5</v>
      </c>
      <c r="X198" t="s">
        <v>239</v>
      </c>
      <c r="Y198">
        <v>55</v>
      </c>
      <c r="Z198">
        <f>16.35117682*1.059464^Y198</f>
        <v>392.00377257605692</v>
      </c>
      <c r="AA198">
        <f>ABS(Y198-T197)</f>
        <v>7</v>
      </c>
      <c r="AB198">
        <v>136</v>
      </c>
      <c r="AC198" t="s">
        <v>390</v>
      </c>
      <c r="AD198">
        <v>53</v>
      </c>
      <c r="AE198">
        <f t="shared" si="29"/>
        <v>349.23506143398839</v>
      </c>
      <c r="AF198">
        <f t="shared" si="35"/>
        <v>3</v>
      </c>
      <c r="AH198">
        <v>136</v>
      </c>
    </row>
    <row r="199" spans="1:34" x14ac:dyDescent="0.2">
      <c r="A199">
        <f t="shared" si="30"/>
        <v>48.75</v>
      </c>
      <c r="E199">
        <f t="shared" si="31"/>
        <v>48.75</v>
      </c>
      <c r="I199">
        <f t="shared" si="32"/>
        <v>48.75</v>
      </c>
      <c r="M199">
        <f t="shared" si="33"/>
        <v>48.75</v>
      </c>
      <c r="R199">
        <v>115.5</v>
      </c>
      <c r="S199" t="s">
        <v>46</v>
      </c>
      <c r="T199">
        <v>45</v>
      </c>
      <c r="U199">
        <f t="shared" si="28"/>
        <v>220.00279814001337</v>
      </c>
      <c r="V199">
        <f t="shared" si="34"/>
        <v>7</v>
      </c>
      <c r="W199">
        <v>115.5</v>
      </c>
      <c r="AB199">
        <v>136.5</v>
      </c>
      <c r="AC199" t="s">
        <v>223</v>
      </c>
      <c r="AD199">
        <v>50</v>
      </c>
      <c r="AE199">
        <f t="shared" si="29"/>
        <v>293.66975814369101</v>
      </c>
      <c r="AF199">
        <f t="shared" si="35"/>
        <v>3</v>
      </c>
      <c r="AH199">
        <v>136.5</v>
      </c>
    </row>
    <row r="200" spans="1:34" x14ac:dyDescent="0.2">
      <c r="A200">
        <f t="shared" si="30"/>
        <v>49</v>
      </c>
      <c r="E200">
        <f t="shared" si="31"/>
        <v>49</v>
      </c>
      <c r="I200">
        <f t="shared" si="32"/>
        <v>49</v>
      </c>
      <c r="M200">
        <f t="shared" si="33"/>
        <v>49</v>
      </c>
      <c r="R200">
        <v>116</v>
      </c>
      <c r="S200" t="s">
        <v>292</v>
      </c>
      <c r="T200">
        <v>46</v>
      </c>
      <c r="U200">
        <f t="shared" si="28"/>
        <v>233.08504452861115</v>
      </c>
      <c r="V200">
        <f t="shared" si="34"/>
        <v>1</v>
      </c>
      <c r="W200">
        <v>116</v>
      </c>
      <c r="AB200">
        <v>137</v>
      </c>
      <c r="AC200" t="s">
        <v>308</v>
      </c>
      <c r="AD200">
        <v>53</v>
      </c>
      <c r="AE200">
        <f t="shared" si="29"/>
        <v>349.23506143398839</v>
      </c>
      <c r="AF200">
        <f t="shared" si="35"/>
        <v>3</v>
      </c>
      <c r="AH200">
        <v>137</v>
      </c>
    </row>
    <row r="201" spans="1:34" x14ac:dyDescent="0.2">
      <c r="A201">
        <f t="shared" si="30"/>
        <v>49.25</v>
      </c>
      <c r="E201">
        <f t="shared" si="31"/>
        <v>49.25</v>
      </c>
      <c r="I201">
        <f t="shared" si="32"/>
        <v>49.25</v>
      </c>
      <c r="M201">
        <f t="shared" si="33"/>
        <v>49.25</v>
      </c>
      <c r="R201">
        <v>116.5</v>
      </c>
      <c r="S201" t="s">
        <v>480</v>
      </c>
      <c r="T201">
        <v>50</v>
      </c>
      <c r="U201">
        <f t="shared" si="28"/>
        <v>293.66975814369101</v>
      </c>
      <c r="V201">
        <f t="shared" si="34"/>
        <v>4</v>
      </c>
      <c r="W201">
        <v>116.5</v>
      </c>
      <c r="AB201">
        <v>137.5</v>
      </c>
      <c r="AC201" t="s">
        <v>222</v>
      </c>
      <c r="AD201">
        <v>51</v>
      </c>
      <c r="AE201">
        <f t="shared" si="29"/>
        <v>311.13253664194741</v>
      </c>
      <c r="AF201">
        <f t="shared" si="35"/>
        <v>2</v>
      </c>
      <c r="AH201">
        <v>137.5</v>
      </c>
    </row>
    <row r="202" spans="1:34" x14ac:dyDescent="0.2">
      <c r="A202">
        <f t="shared" si="30"/>
        <v>49.5</v>
      </c>
      <c r="B202" t="s">
        <v>46</v>
      </c>
      <c r="C202">
        <v>45</v>
      </c>
      <c r="D202">
        <f>16.35117682*1.059464^C202</f>
        <v>220.00279814001337</v>
      </c>
      <c r="E202">
        <f t="shared" si="31"/>
        <v>49.5</v>
      </c>
      <c r="I202">
        <f t="shared" si="32"/>
        <v>49.5</v>
      </c>
      <c r="J202" t="s">
        <v>67</v>
      </c>
      <c r="K202">
        <v>33</v>
      </c>
      <c r="L202">
        <f>16.35117682*1.059464^K202</f>
        <v>110.00027071140791</v>
      </c>
      <c r="M202">
        <f t="shared" si="33"/>
        <v>49.5</v>
      </c>
      <c r="R202">
        <v>117</v>
      </c>
      <c r="S202" t="s">
        <v>482</v>
      </c>
      <c r="T202">
        <v>53</v>
      </c>
      <c r="U202">
        <f t="shared" si="28"/>
        <v>349.23506143398839</v>
      </c>
      <c r="V202">
        <f t="shared" si="34"/>
        <v>3</v>
      </c>
      <c r="W202">
        <v>117</v>
      </c>
      <c r="AB202">
        <v>138</v>
      </c>
      <c r="AC202" t="s">
        <v>390</v>
      </c>
      <c r="AD202">
        <v>53</v>
      </c>
      <c r="AE202">
        <f t="shared" si="29"/>
        <v>349.23506143398839</v>
      </c>
      <c r="AF202">
        <f t="shared" si="35"/>
        <v>2</v>
      </c>
      <c r="AH202">
        <v>138</v>
      </c>
    </row>
    <row r="203" spans="1:34" x14ac:dyDescent="0.2">
      <c r="A203">
        <f t="shared" si="30"/>
        <v>49.75</v>
      </c>
      <c r="E203">
        <f t="shared" si="31"/>
        <v>49.75</v>
      </c>
      <c r="I203">
        <f t="shared" si="32"/>
        <v>49.75</v>
      </c>
      <c r="M203">
        <f t="shared" si="33"/>
        <v>49.75</v>
      </c>
      <c r="R203">
        <v>117.5</v>
      </c>
      <c r="S203" t="s">
        <v>239</v>
      </c>
      <c r="T203">
        <v>55</v>
      </c>
      <c r="U203">
        <f t="shared" si="28"/>
        <v>392.00377257605692</v>
      </c>
      <c r="V203">
        <f t="shared" si="34"/>
        <v>2</v>
      </c>
      <c r="W203">
        <v>117.5</v>
      </c>
      <c r="AB203">
        <v>138.5</v>
      </c>
      <c r="AC203" t="s">
        <v>222</v>
      </c>
      <c r="AD203">
        <v>51</v>
      </c>
      <c r="AE203">
        <f t="shared" si="29"/>
        <v>311.13253664194741</v>
      </c>
      <c r="AF203">
        <f t="shared" si="35"/>
        <v>2</v>
      </c>
      <c r="AH203">
        <v>138.5</v>
      </c>
    </row>
    <row r="204" spans="1:34" x14ac:dyDescent="0.2">
      <c r="A204">
        <f t="shared" si="30"/>
        <v>50</v>
      </c>
      <c r="B204" t="s">
        <v>292</v>
      </c>
      <c r="C204">
        <v>46</v>
      </c>
      <c r="D204">
        <f>16.35117682*1.059464^C204</f>
        <v>233.08504452861115</v>
      </c>
      <c r="E204">
        <f t="shared" si="31"/>
        <v>50</v>
      </c>
      <c r="I204">
        <f t="shared" si="32"/>
        <v>50</v>
      </c>
      <c r="J204" t="s">
        <v>68</v>
      </c>
      <c r="K204">
        <v>34</v>
      </c>
      <c r="L204">
        <f>16.35117682*1.059464^K204</f>
        <v>116.54132680899107</v>
      </c>
      <c r="M204">
        <f t="shared" si="33"/>
        <v>50</v>
      </c>
      <c r="R204">
        <v>118</v>
      </c>
      <c r="S204" t="s">
        <v>411</v>
      </c>
      <c r="T204">
        <v>58</v>
      </c>
      <c r="U204">
        <f t="shared" si="28"/>
        <v>466.17487092753117</v>
      </c>
      <c r="V204">
        <f t="shared" si="34"/>
        <v>3</v>
      </c>
      <c r="W204">
        <v>118</v>
      </c>
      <c r="AB204">
        <v>139</v>
      </c>
      <c r="AC204" t="s">
        <v>390</v>
      </c>
      <c r="AD204">
        <v>53</v>
      </c>
      <c r="AE204">
        <f t="shared" si="29"/>
        <v>349.23506143398839</v>
      </c>
      <c r="AF204">
        <f t="shared" si="35"/>
        <v>2</v>
      </c>
      <c r="AH204">
        <v>139</v>
      </c>
    </row>
    <row r="205" spans="1:34" x14ac:dyDescent="0.2">
      <c r="A205">
        <f t="shared" si="30"/>
        <v>50.25</v>
      </c>
      <c r="E205">
        <f t="shared" si="31"/>
        <v>50.25</v>
      </c>
      <c r="I205">
        <f t="shared" si="32"/>
        <v>50.25</v>
      </c>
      <c r="M205">
        <f t="shared" si="33"/>
        <v>50.25</v>
      </c>
      <c r="R205">
        <v>118.5</v>
      </c>
      <c r="S205" t="s">
        <v>455</v>
      </c>
      <c r="T205">
        <v>62</v>
      </c>
      <c r="U205">
        <f t="shared" si="28"/>
        <v>587.34554108704231</v>
      </c>
      <c r="V205">
        <f t="shared" si="34"/>
        <v>4</v>
      </c>
      <c r="W205">
        <v>118.5</v>
      </c>
      <c r="AB205">
        <v>139.5</v>
      </c>
      <c r="AC205" t="s">
        <v>222</v>
      </c>
      <c r="AD205">
        <v>51</v>
      </c>
      <c r="AE205">
        <f t="shared" si="29"/>
        <v>311.13253664194741</v>
      </c>
      <c r="AF205">
        <f t="shared" si="35"/>
        <v>2</v>
      </c>
      <c r="AH205">
        <v>139.5</v>
      </c>
    </row>
    <row r="206" spans="1:34" x14ac:dyDescent="0.2">
      <c r="A206">
        <f t="shared" si="30"/>
        <v>50.5</v>
      </c>
      <c r="B206" t="s">
        <v>480</v>
      </c>
      <c r="C206">
        <v>50</v>
      </c>
      <c r="D206">
        <f>16.35117682*1.059464^C206</f>
        <v>293.66975814369101</v>
      </c>
      <c r="E206">
        <f t="shared" si="31"/>
        <v>50.5</v>
      </c>
      <c r="I206">
        <f t="shared" si="32"/>
        <v>50.5</v>
      </c>
      <c r="J206" t="s">
        <v>69</v>
      </c>
      <c r="K206">
        <v>38</v>
      </c>
      <c r="L206">
        <f>16.35117682*1.059464^K206</f>
        <v>146.83337288738056</v>
      </c>
      <c r="M206">
        <f t="shared" si="33"/>
        <v>50.5</v>
      </c>
      <c r="R206">
        <v>119</v>
      </c>
      <c r="S206" t="s">
        <v>456</v>
      </c>
      <c r="T206">
        <v>65</v>
      </c>
      <c r="U206">
        <f t="shared" si="28"/>
        <v>698.47728762097279</v>
      </c>
      <c r="V206">
        <f t="shared" si="34"/>
        <v>3</v>
      </c>
      <c r="W206">
        <v>119</v>
      </c>
      <c r="AB206">
        <v>140</v>
      </c>
      <c r="AC206" t="s">
        <v>391</v>
      </c>
      <c r="AD206">
        <v>54</v>
      </c>
      <c r="AE206">
        <f t="shared" si="29"/>
        <v>370.00197512709912</v>
      </c>
      <c r="AF206">
        <f t="shared" si="35"/>
        <v>3</v>
      </c>
      <c r="AH206">
        <v>140</v>
      </c>
    </row>
    <row r="207" spans="1:34" x14ac:dyDescent="0.2">
      <c r="A207">
        <f t="shared" si="30"/>
        <v>50.75</v>
      </c>
      <c r="E207">
        <f t="shared" si="31"/>
        <v>50.75</v>
      </c>
      <c r="I207">
        <f t="shared" si="32"/>
        <v>50.75</v>
      </c>
      <c r="M207">
        <f t="shared" si="33"/>
        <v>50.75</v>
      </c>
      <c r="R207">
        <v>119.5</v>
      </c>
      <c r="S207" t="s">
        <v>455</v>
      </c>
      <c r="T207">
        <v>62</v>
      </c>
      <c r="U207">
        <f t="shared" si="28"/>
        <v>587.34554108704231</v>
      </c>
      <c r="V207">
        <f t="shared" si="34"/>
        <v>3</v>
      </c>
      <c r="W207">
        <v>119.5</v>
      </c>
      <c r="AB207">
        <v>140.5</v>
      </c>
      <c r="AC207" t="s">
        <v>222</v>
      </c>
      <c r="AD207">
        <v>51</v>
      </c>
      <c r="AE207">
        <f t="shared" si="29"/>
        <v>311.13253664194741</v>
      </c>
      <c r="AF207">
        <f t="shared" si="35"/>
        <v>3</v>
      </c>
      <c r="AH207">
        <v>140.5</v>
      </c>
    </row>
    <row r="208" spans="1:34" x14ac:dyDescent="0.2">
      <c r="A208">
        <f t="shared" si="30"/>
        <v>51</v>
      </c>
      <c r="B208" t="s">
        <v>482</v>
      </c>
      <c r="C208">
        <v>53</v>
      </c>
      <c r="D208">
        <f>16.35117682*1.059464^C208</f>
        <v>349.23506143398839</v>
      </c>
      <c r="E208">
        <f t="shared" si="31"/>
        <v>51</v>
      </c>
      <c r="I208">
        <f t="shared" si="32"/>
        <v>51</v>
      </c>
      <c r="J208" t="s">
        <v>330</v>
      </c>
      <c r="K208">
        <v>41</v>
      </c>
      <c r="L208">
        <f>16.35117682*1.059464^K208</f>
        <v>174.61573954711864</v>
      </c>
      <c r="M208">
        <f t="shared" si="33"/>
        <v>51</v>
      </c>
      <c r="R208">
        <v>120</v>
      </c>
      <c r="S208" t="s">
        <v>411</v>
      </c>
      <c r="T208">
        <v>58</v>
      </c>
      <c r="U208">
        <f t="shared" si="28"/>
        <v>466.17487092753117</v>
      </c>
      <c r="V208">
        <f t="shared" si="34"/>
        <v>4</v>
      </c>
      <c r="W208">
        <v>120</v>
      </c>
      <c r="AB208">
        <v>141</v>
      </c>
      <c r="AC208" t="s">
        <v>18</v>
      </c>
      <c r="AD208">
        <v>54</v>
      </c>
      <c r="AE208">
        <f t="shared" si="29"/>
        <v>370.00197512709912</v>
      </c>
      <c r="AF208">
        <f t="shared" si="35"/>
        <v>3</v>
      </c>
      <c r="AH208">
        <v>141</v>
      </c>
    </row>
    <row r="209" spans="1:38" x14ac:dyDescent="0.2">
      <c r="A209">
        <f t="shared" si="30"/>
        <v>51.25</v>
      </c>
      <c r="E209">
        <f t="shared" si="31"/>
        <v>51.25</v>
      </c>
      <c r="I209">
        <f t="shared" si="32"/>
        <v>51.25</v>
      </c>
      <c r="M209">
        <f t="shared" si="33"/>
        <v>51.25</v>
      </c>
      <c r="R209">
        <v>120.5</v>
      </c>
      <c r="S209" t="s">
        <v>162</v>
      </c>
      <c r="T209">
        <v>54</v>
      </c>
      <c r="U209">
        <f t="shared" si="28"/>
        <v>370.00197512709912</v>
      </c>
      <c r="V209">
        <f t="shared" si="34"/>
        <v>4</v>
      </c>
      <c r="W209">
        <v>120.5</v>
      </c>
      <c r="X209" t="s">
        <v>163</v>
      </c>
      <c r="Y209">
        <v>49</v>
      </c>
      <c r="Z209">
        <f>16.35117682*1.059464^Y209</f>
        <v>277.18710418069043</v>
      </c>
      <c r="AA209">
        <f>ABS(Y209-T208)</f>
        <v>9</v>
      </c>
      <c r="AB209">
        <v>141.5</v>
      </c>
      <c r="AC209" t="s">
        <v>19</v>
      </c>
      <c r="AD209">
        <v>59</v>
      </c>
      <c r="AE209">
        <f t="shared" si="29"/>
        <v>493.89549345236594</v>
      </c>
      <c r="AF209">
        <f t="shared" si="35"/>
        <v>5</v>
      </c>
      <c r="AH209">
        <v>141.5</v>
      </c>
    </row>
    <row r="210" spans="1:38" x14ac:dyDescent="0.2">
      <c r="A210">
        <f t="shared" si="30"/>
        <v>51.5</v>
      </c>
      <c r="B210" t="s">
        <v>239</v>
      </c>
      <c r="C210">
        <v>55</v>
      </c>
      <c r="D210">
        <f>16.35117682*1.059464^C210</f>
        <v>392.00377257605692</v>
      </c>
      <c r="E210">
        <f t="shared" si="31"/>
        <v>51.5</v>
      </c>
      <c r="I210">
        <f t="shared" si="32"/>
        <v>51.5</v>
      </c>
      <c r="J210" t="s">
        <v>328</v>
      </c>
      <c r="K210">
        <v>43</v>
      </c>
      <c r="L210">
        <f>16.35117682*1.059464^K210</f>
        <v>195.99987576438383</v>
      </c>
      <c r="M210">
        <f t="shared" si="33"/>
        <v>51.5</v>
      </c>
      <c r="R210">
        <v>121.5</v>
      </c>
      <c r="S210" t="s">
        <v>162</v>
      </c>
      <c r="T210">
        <v>54</v>
      </c>
      <c r="U210">
        <f t="shared" si="28"/>
        <v>370.00197512709912</v>
      </c>
      <c r="V210">
        <f t="shared" si="34"/>
        <v>0</v>
      </c>
      <c r="W210">
        <v>121.5</v>
      </c>
      <c r="X210" t="s">
        <v>163</v>
      </c>
      <c r="Y210">
        <v>49</v>
      </c>
      <c r="Z210">
        <f>16.35117682*1.059464^Y210</f>
        <v>277.18710418069043</v>
      </c>
      <c r="AA210">
        <f>ABS(Y210-Y209)</f>
        <v>0</v>
      </c>
      <c r="AB210">
        <v>142</v>
      </c>
      <c r="AC210" t="s">
        <v>20</v>
      </c>
      <c r="AD210">
        <v>60</v>
      </c>
      <c r="AE210">
        <f t="shared" si="29"/>
        <v>523.26449507501752</v>
      </c>
      <c r="AF210">
        <f t="shared" si="35"/>
        <v>1</v>
      </c>
      <c r="AH210">
        <v>142</v>
      </c>
    </row>
    <row r="211" spans="1:38" x14ac:dyDescent="0.2">
      <c r="A211">
        <f t="shared" si="30"/>
        <v>51.75</v>
      </c>
      <c r="E211">
        <f t="shared" si="31"/>
        <v>51.75</v>
      </c>
      <c r="I211">
        <f t="shared" si="32"/>
        <v>51.75</v>
      </c>
      <c r="M211">
        <f t="shared" si="33"/>
        <v>51.75</v>
      </c>
      <c r="R211">
        <v>122.5</v>
      </c>
      <c r="S211" t="s">
        <v>162</v>
      </c>
      <c r="T211">
        <v>54</v>
      </c>
      <c r="U211">
        <f t="shared" si="28"/>
        <v>370.00197512709912</v>
      </c>
      <c r="V211">
        <f t="shared" si="34"/>
        <v>0</v>
      </c>
      <c r="W211">
        <v>122.5</v>
      </c>
      <c r="X211" t="s">
        <v>163</v>
      </c>
      <c r="Y211">
        <v>49</v>
      </c>
      <c r="Z211">
        <f>16.35117682*1.059464^Y211</f>
        <v>277.18710418069043</v>
      </c>
      <c r="AA211">
        <f>ABS(Y211-Y210)</f>
        <v>0</v>
      </c>
      <c r="AB211">
        <v>143</v>
      </c>
      <c r="AC211" t="s">
        <v>19</v>
      </c>
      <c r="AD211">
        <v>59</v>
      </c>
      <c r="AE211">
        <f t="shared" si="29"/>
        <v>493.89549345236594</v>
      </c>
      <c r="AF211">
        <f t="shared" si="35"/>
        <v>1</v>
      </c>
      <c r="AH211">
        <v>143</v>
      </c>
    </row>
    <row r="212" spans="1:38" x14ac:dyDescent="0.2">
      <c r="A212">
        <f t="shared" si="30"/>
        <v>52</v>
      </c>
      <c r="B212" t="s">
        <v>411</v>
      </c>
      <c r="C212">
        <v>58</v>
      </c>
      <c r="D212">
        <f>16.35117682*1.059464^C212</f>
        <v>466.17487092753117</v>
      </c>
      <c r="E212">
        <f t="shared" si="31"/>
        <v>52</v>
      </c>
      <c r="I212">
        <f t="shared" si="32"/>
        <v>52</v>
      </c>
      <c r="J212" t="s">
        <v>325</v>
      </c>
      <c r="K212">
        <v>46</v>
      </c>
      <c r="L212">
        <f>16.35117682*1.059464^K212</f>
        <v>233.08504452861115</v>
      </c>
      <c r="M212">
        <f t="shared" si="33"/>
        <v>52</v>
      </c>
      <c r="R212">
        <v>123.5</v>
      </c>
      <c r="S212" t="s">
        <v>244</v>
      </c>
      <c r="T212">
        <v>59</v>
      </c>
      <c r="U212">
        <f t="shared" si="28"/>
        <v>493.89549345236594</v>
      </c>
      <c r="V212">
        <f t="shared" si="34"/>
        <v>5</v>
      </c>
      <c r="W212">
        <v>123.5</v>
      </c>
      <c r="AB212">
        <v>144</v>
      </c>
      <c r="AC212" t="s">
        <v>22</v>
      </c>
      <c r="AD212">
        <v>57</v>
      </c>
      <c r="AE212">
        <f t="shared" si="29"/>
        <v>440.01010976071973</v>
      </c>
      <c r="AF212">
        <f t="shared" si="35"/>
        <v>2</v>
      </c>
      <c r="AH212">
        <v>144</v>
      </c>
    </row>
    <row r="213" spans="1:38" x14ac:dyDescent="0.2">
      <c r="A213">
        <f t="shared" si="30"/>
        <v>52.25</v>
      </c>
      <c r="E213">
        <f t="shared" si="31"/>
        <v>52.25</v>
      </c>
      <c r="I213">
        <f t="shared" si="32"/>
        <v>52.25</v>
      </c>
      <c r="M213">
        <f t="shared" si="33"/>
        <v>52.25</v>
      </c>
      <c r="R213">
        <v>124</v>
      </c>
      <c r="S213" t="s">
        <v>240</v>
      </c>
      <c r="T213">
        <v>60</v>
      </c>
      <c r="U213">
        <f t="shared" si="28"/>
        <v>523.26449507501752</v>
      </c>
      <c r="V213">
        <f t="shared" si="34"/>
        <v>1</v>
      </c>
      <c r="W213">
        <v>124</v>
      </c>
      <c r="X213" t="s">
        <v>242</v>
      </c>
      <c r="Y213">
        <v>50</v>
      </c>
      <c r="Z213">
        <f>16.35117682*1.059464^Y213</f>
        <v>293.66975814369101</v>
      </c>
      <c r="AA213">
        <f>ABS(Y213-T212)</f>
        <v>9</v>
      </c>
      <c r="AB213">
        <v>145</v>
      </c>
      <c r="AC213" t="s">
        <v>23</v>
      </c>
      <c r="AD213">
        <v>55</v>
      </c>
      <c r="AE213">
        <f t="shared" si="29"/>
        <v>392.00377257605692</v>
      </c>
      <c r="AF213">
        <f t="shared" si="35"/>
        <v>2</v>
      </c>
      <c r="AH213">
        <v>145</v>
      </c>
    </row>
    <row r="214" spans="1:38" x14ac:dyDescent="0.2">
      <c r="A214">
        <f t="shared" si="30"/>
        <v>52.5</v>
      </c>
      <c r="B214" t="s">
        <v>455</v>
      </c>
      <c r="C214">
        <v>62</v>
      </c>
      <c r="D214">
        <f>16.35117682*1.059464^C214</f>
        <v>587.34554108704231</v>
      </c>
      <c r="E214">
        <f t="shared" si="31"/>
        <v>52.5</v>
      </c>
      <c r="I214">
        <f t="shared" si="32"/>
        <v>52.5</v>
      </c>
      <c r="J214" t="s">
        <v>70</v>
      </c>
      <c r="K214">
        <v>50</v>
      </c>
      <c r="L214">
        <f>16.35117682*1.059464^K214</f>
        <v>293.66975814369101</v>
      </c>
      <c r="M214">
        <f t="shared" si="33"/>
        <v>52.5</v>
      </c>
      <c r="R214">
        <v>124.5</v>
      </c>
      <c r="S214" t="s">
        <v>411</v>
      </c>
      <c r="T214">
        <v>58</v>
      </c>
      <c r="U214">
        <f t="shared" si="28"/>
        <v>466.17487092753117</v>
      </c>
      <c r="V214">
        <f t="shared" si="34"/>
        <v>2</v>
      </c>
      <c r="W214">
        <v>124.5</v>
      </c>
      <c r="X214" t="s">
        <v>481</v>
      </c>
      <c r="Y214">
        <v>52</v>
      </c>
      <c r="Z214">
        <f>16.35117682*1.059464^Y214</f>
        <v>329.63372180082422</v>
      </c>
      <c r="AA214">
        <f>ABS(Y214-Y213)</f>
        <v>2</v>
      </c>
      <c r="AB214">
        <v>146</v>
      </c>
      <c r="AC214" t="s">
        <v>480</v>
      </c>
      <c r="AD214">
        <v>50</v>
      </c>
      <c r="AE214">
        <f t="shared" si="29"/>
        <v>293.66975814369101</v>
      </c>
      <c r="AF214">
        <f t="shared" si="35"/>
        <v>5</v>
      </c>
      <c r="AH214">
        <v>146</v>
      </c>
      <c r="AI214" t="s">
        <v>390</v>
      </c>
      <c r="AJ214">
        <v>53</v>
      </c>
      <c r="AK214">
        <f t="shared" ref="AK214:AK234" si="36">16.35117682*1.059464^AJ214</f>
        <v>349.23506143398839</v>
      </c>
      <c r="AL214">
        <f>ABS(AJ214-AD213)</f>
        <v>2</v>
      </c>
    </row>
    <row r="215" spans="1:38" x14ac:dyDescent="0.2">
      <c r="A215">
        <f t="shared" si="30"/>
        <v>52.75</v>
      </c>
      <c r="E215">
        <f t="shared" si="31"/>
        <v>52.75</v>
      </c>
      <c r="I215">
        <f t="shared" si="32"/>
        <v>52.75</v>
      </c>
      <c r="M215">
        <f t="shared" si="33"/>
        <v>52.75</v>
      </c>
      <c r="R215">
        <v>125.5</v>
      </c>
      <c r="S215" t="s">
        <v>243</v>
      </c>
      <c r="T215">
        <v>57</v>
      </c>
      <c r="U215">
        <f t="shared" si="28"/>
        <v>440.01010976071973</v>
      </c>
      <c r="V215">
        <f t="shared" si="34"/>
        <v>1</v>
      </c>
      <c r="W215">
        <v>125.5</v>
      </c>
      <c r="AB215">
        <v>146.5</v>
      </c>
      <c r="AC215" t="s">
        <v>167</v>
      </c>
      <c r="AD215">
        <v>51</v>
      </c>
      <c r="AE215">
        <f t="shared" si="29"/>
        <v>311.13253664194741</v>
      </c>
      <c r="AF215">
        <f t="shared" si="35"/>
        <v>1</v>
      </c>
      <c r="AH215">
        <v>146.5</v>
      </c>
      <c r="AI215" t="s">
        <v>391</v>
      </c>
      <c r="AJ215">
        <v>54</v>
      </c>
      <c r="AK215">
        <f t="shared" si="36"/>
        <v>370.00197512709912</v>
      </c>
      <c r="AL215">
        <f t="shared" ref="AL215:AL234" si="37">ABS(AJ215-AJ214)</f>
        <v>1</v>
      </c>
    </row>
    <row r="216" spans="1:38" x14ac:dyDescent="0.2">
      <c r="A216">
        <f t="shared" si="30"/>
        <v>53</v>
      </c>
      <c r="B216" t="s">
        <v>456</v>
      </c>
      <c r="C216">
        <v>65</v>
      </c>
      <c r="D216">
        <f>16.35117682*1.059464^C216</f>
        <v>698.47728762097279</v>
      </c>
      <c r="E216">
        <f t="shared" si="31"/>
        <v>53</v>
      </c>
      <c r="I216">
        <f t="shared" si="32"/>
        <v>53</v>
      </c>
      <c r="J216" t="s">
        <v>390</v>
      </c>
      <c r="K216">
        <v>53</v>
      </c>
      <c r="L216">
        <f>16.35117682*1.059464^K216</f>
        <v>349.23506143398839</v>
      </c>
      <c r="M216">
        <f t="shared" si="33"/>
        <v>53</v>
      </c>
      <c r="R216">
        <v>126</v>
      </c>
      <c r="S216" t="s">
        <v>482</v>
      </c>
      <c r="T216">
        <v>53</v>
      </c>
      <c r="U216">
        <f t="shared" si="28"/>
        <v>349.23506143398839</v>
      </c>
      <c r="V216">
        <f t="shared" si="34"/>
        <v>4</v>
      </c>
      <c r="W216">
        <v>126</v>
      </c>
      <c r="AB216">
        <v>147</v>
      </c>
      <c r="AC216" t="s">
        <v>481</v>
      </c>
      <c r="AD216">
        <v>52</v>
      </c>
      <c r="AE216">
        <f t="shared" si="29"/>
        <v>329.63372180082422</v>
      </c>
      <c r="AF216">
        <f t="shared" si="35"/>
        <v>1</v>
      </c>
      <c r="AH216">
        <v>147</v>
      </c>
      <c r="AI216" t="s">
        <v>392</v>
      </c>
      <c r="AJ216">
        <v>55</v>
      </c>
      <c r="AK216">
        <f t="shared" si="36"/>
        <v>392.00377257605692</v>
      </c>
      <c r="AL216">
        <f t="shared" si="37"/>
        <v>1</v>
      </c>
    </row>
    <row r="217" spans="1:38" x14ac:dyDescent="0.2">
      <c r="A217">
        <f t="shared" si="30"/>
        <v>53.25</v>
      </c>
      <c r="E217">
        <f t="shared" si="31"/>
        <v>53.25</v>
      </c>
      <c r="I217">
        <f t="shared" si="32"/>
        <v>53.25</v>
      </c>
      <c r="M217">
        <f t="shared" si="33"/>
        <v>53.25</v>
      </c>
      <c r="R217">
        <v>126.5</v>
      </c>
      <c r="S217" t="s">
        <v>243</v>
      </c>
      <c r="T217">
        <v>57</v>
      </c>
      <c r="U217">
        <f t="shared" si="28"/>
        <v>440.01010976071973</v>
      </c>
      <c r="V217">
        <f t="shared" si="34"/>
        <v>4</v>
      </c>
      <c r="W217">
        <v>126.5</v>
      </c>
      <c r="X217" t="s">
        <v>479</v>
      </c>
      <c r="Y217">
        <v>48</v>
      </c>
      <c r="Z217">
        <f>16.35117682*1.059464^Y217</f>
        <v>261.62956379894968</v>
      </c>
      <c r="AA217">
        <f>ABS(Y217-T216)</f>
        <v>5</v>
      </c>
      <c r="AB217">
        <v>147.5</v>
      </c>
      <c r="AC217" t="s">
        <v>164</v>
      </c>
      <c r="AD217">
        <v>51</v>
      </c>
      <c r="AE217">
        <f t="shared" si="29"/>
        <v>311.13253664194741</v>
      </c>
      <c r="AF217">
        <f t="shared" si="35"/>
        <v>1</v>
      </c>
      <c r="AH217">
        <v>147.5</v>
      </c>
      <c r="AI217" t="s">
        <v>393</v>
      </c>
      <c r="AJ217">
        <v>54</v>
      </c>
      <c r="AK217">
        <f t="shared" si="36"/>
        <v>370.00197512709912</v>
      </c>
      <c r="AL217">
        <f t="shared" si="37"/>
        <v>1</v>
      </c>
    </row>
    <row r="218" spans="1:38" x14ac:dyDescent="0.2">
      <c r="A218">
        <f t="shared" si="30"/>
        <v>53.5</v>
      </c>
      <c r="B218" t="s">
        <v>455</v>
      </c>
      <c r="C218">
        <v>62</v>
      </c>
      <c r="D218">
        <f>16.35117682*1.059464^C218</f>
        <v>587.34554108704231</v>
      </c>
      <c r="E218">
        <f t="shared" si="31"/>
        <v>53.5</v>
      </c>
      <c r="I218">
        <f t="shared" si="32"/>
        <v>53.5</v>
      </c>
      <c r="J218" t="s">
        <v>70</v>
      </c>
      <c r="K218">
        <v>50</v>
      </c>
      <c r="L218">
        <f>16.35117682*1.059464^K218</f>
        <v>293.66975814369101</v>
      </c>
      <c r="M218">
        <f t="shared" si="33"/>
        <v>53.5</v>
      </c>
      <c r="R218">
        <v>127.5</v>
      </c>
      <c r="S218" t="s">
        <v>480</v>
      </c>
      <c r="T218">
        <v>50</v>
      </c>
      <c r="U218">
        <f t="shared" si="28"/>
        <v>293.66975814369101</v>
      </c>
      <c r="V218">
        <f t="shared" si="34"/>
        <v>7</v>
      </c>
      <c r="W218">
        <v>127.5</v>
      </c>
      <c r="AB218">
        <v>148</v>
      </c>
      <c r="AC218" t="s">
        <v>480</v>
      </c>
      <c r="AD218">
        <v>50</v>
      </c>
      <c r="AE218">
        <f t="shared" si="29"/>
        <v>293.66975814369101</v>
      </c>
      <c r="AF218">
        <f t="shared" si="35"/>
        <v>1</v>
      </c>
      <c r="AH218">
        <v>148</v>
      </c>
      <c r="AI218" t="s">
        <v>390</v>
      </c>
      <c r="AJ218">
        <v>53</v>
      </c>
      <c r="AK218">
        <f t="shared" si="36"/>
        <v>349.23506143398839</v>
      </c>
      <c r="AL218">
        <f t="shared" si="37"/>
        <v>1</v>
      </c>
    </row>
    <row r="219" spans="1:38" x14ac:dyDescent="0.2">
      <c r="A219">
        <f t="shared" si="30"/>
        <v>53.75</v>
      </c>
      <c r="E219">
        <f t="shared" si="31"/>
        <v>53.75</v>
      </c>
      <c r="I219">
        <f t="shared" si="32"/>
        <v>53.75</v>
      </c>
      <c r="M219">
        <f t="shared" si="33"/>
        <v>53.75</v>
      </c>
      <c r="R219">
        <v>128</v>
      </c>
      <c r="S219" t="s">
        <v>481</v>
      </c>
      <c r="T219">
        <v>52</v>
      </c>
      <c r="U219">
        <f t="shared" si="28"/>
        <v>329.63372180082422</v>
      </c>
      <c r="V219">
        <f t="shared" si="34"/>
        <v>2</v>
      </c>
      <c r="W219">
        <v>128</v>
      </c>
      <c r="X219" t="s">
        <v>482</v>
      </c>
      <c r="Y219">
        <v>53</v>
      </c>
      <c r="Z219">
        <f>16.35117682*1.059464^Y219</f>
        <v>349.23506143398839</v>
      </c>
      <c r="AA219">
        <f>ABS(Y219-T218)</f>
        <v>3</v>
      </c>
      <c r="AB219">
        <v>148.5</v>
      </c>
      <c r="AC219" t="s">
        <v>164</v>
      </c>
      <c r="AD219">
        <v>51</v>
      </c>
      <c r="AE219">
        <f t="shared" si="29"/>
        <v>311.13253664194741</v>
      </c>
      <c r="AF219">
        <f t="shared" si="35"/>
        <v>1</v>
      </c>
      <c r="AH219">
        <v>148.5</v>
      </c>
      <c r="AI219" t="s">
        <v>393</v>
      </c>
      <c r="AJ219">
        <v>54</v>
      </c>
      <c r="AK219">
        <f t="shared" si="36"/>
        <v>370.00197512709912</v>
      </c>
      <c r="AL219">
        <f t="shared" si="37"/>
        <v>1</v>
      </c>
    </row>
    <row r="220" spans="1:38" x14ac:dyDescent="0.2">
      <c r="A220">
        <f t="shared" si="30"/>
        <v>54</v>
      </c>
      <c r="B220" t="s">
        <v>457</v>
      </c>
      <c r="C220">
        <v>58</v>
      </c>
      <c r="D220">
        <f>16.35117682*1.059464^C220</f>
        <v>466.17487092753117</v>
      </c>
      <c r="E220">
        <f t="shared" si="31"/>
        <v>54</v>
      </c>
      <c r="I220">
        <f t="shared" si="32"/>
        <v>54</v>
      </c>
      <c r="J220" t="s">
        <v>325</v>
      </c>
      <c r="K220">
        <v>46</v>
      </c>
      <c r="L220">
        <f>16.35117682*1.059464^K220</f>
        <v>233.08504452861115</v>
      </c>
      <c r="M220">
        <f t="shared" si="33"/>
        <v>54</v>
      </c>
      <c r="R220">
        <v>128.5</v>
      </c>
      <c r="S220" t="s">
        <v>239</v>
      </c>
      <c r="T220">
        <v>54</v>
      </c>
      <c r="U220">
        <f t="shared" si="28"/>
        <v>370.00197512709912</v>
      </c>
      <c r="V220">
        <f t="shared" si="34"/>
        <v>2</v>
      </c>
      <c r="W220">
        <v>128.5</v>
      </c>
      <c r="X220" t="s">
        <v>47</v>
      </c>
      <c r="Y220">
        <v>47</v>
      </c>
      <c r="Z220">
        <f>16.35117682*1.059464^Y220</f>
        <v>246.94521361646048</v>
      </c>
      <c r="AA220">
        <f>ABS(Y220-Y219)</f>
        <v>6</v>
      </c>
      <c r="AB220">
        <v>149</v>
      </c>
      <c r="AC220" t="s">
        <v>480</v>
      </c>
      <c r="AD220">
        <v>50</v>
      </c>
      <c r="AE220">
        <f t="shared" si="29"/>
        <v>293.66975814369101</v>
      </c>
      <c r="AF220">
        <f t="shared" si="35"/>
        <v>1</v>
      </c>
      <c r="AH220">
        <v>149</v>
      </c>
      <c r="AI220" t="s">
        <v>390</v>
      </c>
      <c r="AJ220">
        <v>53</v>
      </c>
      <c r="AK220">
        <f t="shared" si="36"/>
        <v>349.23506143398839</v>
      </c>
      <c r="AL220">
        <f t="shared" si="37"/>
        <v>1</v>
      </c>
    </row>
    <row r="221" spans="1:38" x14ac:dyDescent="0.2">
      <c r="A221">
        <f t="shared" si="30"/>
        <v>54.25</v>
      </c>
      <c r="E221">
        <f t="shared" si="31"/>
        <v>54.25</v>
      </c>
      <c r="I221">
        <f t="shared" si="32"/>
        <v>54.25</v>
      </c>
      <c r="M221">
        <f t="shared" si="33"/>
        <v>54.25</v>
      </c>
      <c r="R221">
        <v>129</v>
      </c>
      <c r="S221" t="s">
        <v>480</v>
      </c>
      <c r="T221">
        <v>50</v>
      </c>
      <c r="U221">
        <f t="shared" si="28"/>
        <v>293.66975814369101</v>
      </c>
      <c r="V221">
        <f t="shared" si="34"/>
        <v>4</v>
      </c>
      <c r="W221">
        <v>129</v>
      </c>
      <c r="AB221">
        <v>149.5</v>
      </c>
      <c r="AC221" t="s">
        <v>291</v>
      </c>
      <c r="AD221">
        <v>49</v>
      </c>
      <c r="AE221">
        <f t="shared" si="29"/>
        <v>277.18710418069043</v>
      </c>
      <c r="AF221">
        <f t="shared" si="35"/>
        <v>1</v>
      </c>
      <c r="AH221">
        <v>149.5</v>
      </c>
      <c r="AI221" t="s">
        <v>394</v>
      </c>
      <c r="AJ221">
        <v>52</v>
      </c>
      <c r="AK221">
        <f t="shared" si="36"/>
        <v>329.63372180082422</v>
      </c>
      <c r="AL221">
        <f t="shared" si="37"/>
        <v>1</v>
      </c>
    </row>
    <row r="222" spans="1:38" x14ac:dyDescent="0.2">
      <c r="A222">
        <f t="shared" si="30"/>
        <v>54.5</v>
      </c>
      <c r="B222" t="s">
        <v>458</v>
      </c>
      <c r="C222">
        <v>54</v>
      </c>
      <c r="D222">
        <f>16.35117682*1.059464^C222</f>
        <v>370.00197512709912</v>
      </c>
      <c r="E222">
        <f t="shared" si="31"/>
        <v>54.5</v>
      </c>
      <c r="F222" t="s">
        <v>163</v>
      </c>
      <c r="G222">
        <v>49</v>
      </c>
      <c r="H222">
        <f>16.35117682*1.059464^G222</f>
        <v>277.18710418069043</v>
      </c>
      <c r="I222">
        <f t="shared" si="32"/>
        <v>54.5</v>
      </c>
      <c r="M222">
        <f t="shared" si="33"/>
        <v>54.5</v>
      </c>
      <c r="R222">
        <v>129.5</v>
      </c>
      <c r="S222" t="s">
        <v>239</v>
      </c>
      <c r="T222">
        <v>54</v>
      </c>
      <c r="U222">
        <f t="shared" si="28"/>
        <v>370.00197512709912</v>
      </c>
      <c r="V222">
        <f t="shared" si="34"/>
        <v>4</v>
      </c>
      <c r="W222">
        <v>129.5</v>
      </c>
      <c r="X222" t="s">
        <v>482</v>
      </c>
      <c r="Y222">
        <v>53</v>
      </c>
      <c r="Z222">
        <f>16.35117682*1.059464^Y222</f>
        <v>349.23506143398839</v>
      </c>
      <c r="AA222">
        <f>ABS(Y222-T221)</f>
        <v>3</v>
      </c>
      <c r="AB222">
        <v>150</v>
      </c>
      <c r="AC222" t="s">
        <v>479</v>
      </c>
      <c r="AD222">
        <v>48</v>
      </c>
      <c r="AE222">
        <f t="shared" si="29"/>
        <v>261.62956379894968</v>
      </c>
      <c r="AF222">
        <f t="shared" si="35"/>
        <v>1</v>
      </c>
      <c r="AH222">
        <v>150</v>
      </c>
      <c r="AI222" t="s">
        <v>222</v>
      </c>
      <c r="AJ222">
        <v>51</v>
      </c>
      <c r="AK222">
        <f t="shared" si="36"/>
        <v>311.13253664194741</v>
      </c>
      <c r="AL222">
        <f t="shared" si="37"/>
        <v>1</v>
      </c>
    </row>
    <row r="223" spans="1:38" x14ac:dyDescent="0.2">
      <c r="A223">
        <f t="shared" si="30"/>
        <v>54.75</v>
      </c>
      <c r="E223">
        <f t="shared" si="31"/>
        <v>54.75</v>
      </c>
      <c r="I223">
        <f t="shared" si="32"/>
        <v>54.75</v>
      </c>
      <c r="M223">
        <f t="shared" si="33"/>
        <v>54.75</v>
      </c>
      <c r="R223">
        <v>130</v>
      </c>
      <c r="S223" t="s">
        <v>479</v>
      </c>
      <c r="T223">
        <v>48</v>
      </c>
      <c r="U223">
        <f t="shared" si="28"/>
        <v>261.62956379894968</v>
      </c>
      <c r="V223">
        <f t="shared" si="34"/>
        <v>6</v>
      </c>
      <c r="W223">
        <v>130</v>
      </c>
      <c r="AB223">
        <v>150.5</v>
      </c>
      <c r="AC223" t="s">
        <v>47</v>
      </c>
      <c r="AD223">
        <v>47</v>
      </c>
      <c r="AE223">
        <f t="shared" si="29"/>
        <v>246.94521361646048</v>
      </c>
      <c r="AF223">
        <f t="shared" si="35"/>
        <v>1</v>
      </c>
      <c r="AH223">
        <v>150.5</v>
      </c>
      <c r="AI223" t="s">
        <v>223</v>
      </c>
      <c r="AJ223">
        <v>50</v>
      </c>
      <c r="AK223">
        <f t="shared" si="36"/>
        <v>293.66975814369101</v>
      </c>
      <c r="AL223">
        <f t="shared" si="37"/>
        <v>1</v>
      </c>
    </row>
    <row r="224" spans="1:38" x14ac:dyDescent="0.2">
      <c r="A224">
        <f t="shared" si="30"/>
        <v>55</v>
      </c>
      <c r="E224">
        <f t="shared" si="31"/>
        <v>55</v>
      </c>
      <c r="I224">
        <f t="shared" si="32"/>
        <v>55</v>
      </c>
      <c r="M224">
        <f t="shared" si="33"/>
        <v>55</v>
      </c>
      <c r="R224">
        <v>130.5</v>
      </c>
      <c r="S224" t="s">
        <v>481</v>
      </c>
      <c r="T224">
        <v>52</v>
      </c>
      <c r="U224">
        <f t="shared" si="28"/>
        <v>329.63372180082422</v>
      </c>
      <c r="V224">
        <f t="shared" si="34"/>
        <v>4</v>
      </c>
      <c r="W224">
        <v>130.5</v>
      </c>
      <c r="X224" t="s">
        <v>239</v>
      </c>
      <c r="Y224">
        <v>55</v>
      </c>
      <c r="Z224">
        <f>16.35117682*1.059464^Y224</f>
        <v>392.00377257605692</v>
      </c>
      <c r="AA224">
        <f>ABS(Y224-T223)</f>
        <v>7</v>
      </c>
      <c r="AB224">
        <v>151</v>
      </c>
      <c r="AC224" t="s">
        <v>292</v>
      </c>
      <c r="AD224">
        <v>46</v>
      </c>
      <c r="AE224">
        <f t="shared" si="29"/>
        <v>233.08504452861115</v>
      </c>
      <c r="AF224">
        <f t="shared" si="35"/>
        <v>1</v>
      </c>
      <c r="AH224">
        <v>151</v>
      </c>
      <c r="AI224" t="s">
        <v>223</v>
      </c>
      <c r="AJ224">
        <v>49</v>
      </c>
      <c r="AK224">
        <f t="shared" si="36"/>
        <v>277.18710418069043</v>
      </c>
      <c r="AL224">
        <f t="shared" si="37"/>
        <v>1</v>
      </c>
    </row>
    <row r="225" spans="1:38" x14ac:dyDescent="0.2">
      <c r="A225">
        <f t="shared" si="30"/>
        <v>55.25</v>
      </c>
      <c r="E225">
        <f t="shared" si="31"/>
        <v>55.25</v>
      </c>
      <c r="I225">
        <f t="shared" si="32"/>
        <v>55.25</v>
      </c>
      <c r="M225">
        <f t="shared" si="33"/>
        <v>55.25</v>
      </c>
      <c r="R225">
        <v>131.5</v>
      </c>
      <c r="S225" t="s">
        <v>46</v>
      </c>
      <c r="T225">
        <v>45</v>
      </c>
      <c r="U225">
        <f t="shared" si="28"/>
        <v>220.00279814001337</v>
      </c>
      <c r="V225">
        <f t="shared" si="34"/>
        <v>7</v>
      </c>
      <c r="W225">
        <v>131.5</v>
      </c>
      <c r="AB225">
        <v>151.5</v>
      </c>
      <c r="AC225" t="s">
        <v>46</v>
      </c>
      <c r="AD225">
        <v>45</v>
      </c>
      <c r="AE225">
        <f t="shared" si="29"/>
        <v>220.00279814001337</v>
      </c>
      <c r="AF225">
        <f t="shared" si="35"/>
        <v>1</v>
      </c>
      <c r="AH225">
        <v>151.5</v>
      </c>
      <c r="AI225" t="s">
        <v>323</v>
      </c>
      <c r="AJ225">
        <v>48</v>
      </c>
      <c r="AK225">
        <f t="shared" si="36"/>
        <v>261.62956379894968</v>
      </c>
      <c r="AL225">
        <f t="shared" si="37"/>
        <v>1</v>
      </c>
    </row>
    <row r="226" spans="1:38" x14ac:dyDescent="0.2">
      <c r="A226">
        <f t="shared" si="30"/>
        <v>55.5</v>
      </c>
      <c r="B226" t="s">
        <v>162</v>
      </c>
      <c r="C226">
        <v>54</v>
      </c>
      <c r="D226">
        <f>16.35117682*1.059464^C226</f>
        <v>370.00197512709912</v>
      </c>
      <c r="E226">
        <f t="shared" si="31"/>
        <v>55.5</v>
      </c>
      <c r="F226" t="s">
        <v>163</v>
      </c>
      <c r="G226">
        <v>49</v>
      </c>
      <c r="H226">
        <f>16.35117682*1.059464^G226</f>
        <v>277.18710418069043</v>
      </c>
      <c r="I226">
        <f t="shared" si="32"/>
        <v>55.5</v>
      </c>
      <c r="M226">
        <f t="shared" si="33"/>
        <v>55.5</v>
      </c>
      <c r="R226">
        <v>132</v>
      </c>
      <c r="S226" t="s">
        <v>292</v>
      </c>
      <c r="T226">
        <v>46</v>
      </c>
      <c r="U226">
        <f t="shared" si="28"/>
        <v>233.08504452861115</v>
      </c>
      <c r="V226">
        <f t="shared" si="34"/>
        <v>1</v>
      </c>
      <c r="W226">
        <v>132</v>
      </c>
      <c r="AB226">
        <v>152</v>
      </c>
      <c r="AC226" t="s">
        <v>168</v>
      </c>
      <c r="AD226">
        <v>44</v>
      </c>
      <c r="AE226">
        <f t="shared" si="29"/>
        <v>207.65481237683719</v>
      </c>
      <c r="AF226">
        <f t="shared" si="35"/>
        <v>1</v>
      </c>
      <c r="AH226">
        <v>152</v>
      </c>
      <c r="AI226" t="s">
        <v>307</v>
      </c>
      <c r="AJ226">
        <v>47</v>
      </c>
      <c r="AK226">
        <f t="shared" si="36"/>
        <v>246.94521361646048</v>
      </c>
      <c r="AL226">
        <f t="shared" si="37"/>
        <v>1</v>
      </c>
    </row>
    <row r="227" spans="1:38" x14ac:dyDescent="0.2">
      <c r="A227">
        <f t="shared" si="30"/>
        <v>55.75</v>
      </c>
      <c r="E227">
        <f t="shared" si="31"/>
        <v>55.75</v>
      </c>
      <c r="I227">
        <f t="shared" si="32"/>
        <v>55.75</v>
      </c>
      <c r="M227">
        <f t="shared" si="33"/>
        <v>55.75</v>
      </c>
      <c r="R227">
        <v>132.5</v>
      </c>
      <c r="S227" t="s">
        <v>480</v>
      </c>
      <c r="T227">
        <v>50</v>
      </c>
      <c r="U227">
        <f t="shared" si="28"/>
        <v>293.66975814369101</v>
      </c>
      <c r="V227">
        <f t="shared" si="34"/>
        <v>4</v>
      </c>
      <c r="W227">
        <v>132.5</v>
      </c>
      <c r="AB227">
        <v>152.5</v>
      </c>
      <c r="AC227" t="s">
        <v>44</v>
      </c>
      <c r="AD227">
        <v>43</v>
      </c>
      <c r="AE227">
        <f t="shared" si="29"/>
        <v>195.99987576438383</v>
      </c>
      <c r="AF227">
        <f t="shared" si="35"/>
        <v>1</v>
      </c>
      <c r="AH227">
        <v>152.5</v>
      </c>
      <c r="AI227" t="s">
        <v>325</v>
      </c>
      <c r="AJ227">
        <v>46</v>
      </c>
      <c r="AK227">
        <f t="shared" si="36"/>
        <v>233.08504452861115</v>
      </c>
      <c r="AL227">
        <f t="shared" si="37"/>
        <v>1</v>
      </c>
    </row>
    <row r="228" spans="1:38" x14ac:dyDescent="0.2">
      <c r="A228">
        <f t="shared" si="30"/>
        <v>56</v>
      </c>
      <c r="E228">
        <f t="shared" si="31"/>
        <v>56</v>
      </c>
      <c r="I228">
        <f t="shared" si="32"/>
        <v>56</v>
      </c>
      <c r="M228">
        <f t="shared" si="33"/>
        <v>56</v>
      </c>
      <c r="R228">
        <v>133</v>
      </c>
      <c r="S228" t="s">
        <v>482</v>
      </c>
      <c r="T228">
        <v>53</v>
      </c>
      <c r="U228">
        <f t="shared" si="28"/>
        <v>349.23506143398839</v>
      </c>
      <c r="V228">
        <f t="shared" si="34"/>
        <v>3</v>
      </c>
      <c r="W228">
        <v>133</v>
      </c>
      <c r="AB228">
        <v>153</v>
      </c>
      <c r="AC228" t="s">
        <v>169</v>
      </c>
      <c r="AD228">
        <v>42</v>
      </c>
      <c r="AE228">
        <f t="shared" si="29"/>
        <v>184.99908988354849</v>
      </c>
      <c r="AF228">
        <f t="shared" si="35"/>
        <v>1</v>
      </c>
      <c r="AH228">
        <v>153</v>
      </c>
      <c r="AI228" t="s">
        <v>487</v>
      </c>
      <c r="AJ228">
        <v>45</v>
      </c>
      <c r="AK228">
        <f t="shared" si="36"/>
        <v>220.00279814001337</v>
      </c>
      <c r="AL228">
        <f t="shared" si="37"/>
        <v>1</v>
      </c>
    </row>
    <row r="229" spans="1:38" x14ac:dyDescent="0.2">
      <c r="A229">
        <f t="shared" si="30"/>
        <v>56.25</v>
      </c>
      <c r="E229">
        <f t="shared" si="31"/>
        <v>56.25</v>
      </c>
      <c r="I229">
        <f t="shared" si="32"/>
        <v>56.25</v>
      </c>
      <c r="M229">
        <f t="shared" si="33"/>
        <v>56.25</v>
      </c>
      <c r="R229">
        <v>133.5</v>
      </c>
      <c r="S229" t="s">
        <v>239</v>
      </c>
      <c r="T229">
        <v>55</v>
      </c>
      <c r="U229">
        <f t="shared" si="28"/>
        <v>392.00377257605692</v>
      </c>
      <c r="V229">
        <f t="shared" si="34"/>
        <v>2</v>
      </c>
      <c r="W229">
        <v>133.5</v>
      </c>
      <c r="AB229">
        <v>153.5</v>
      </c>
      <c r="AC229" t="s">
        <v>30</v>
      </c>
      <c r="AD229">
        <v>41</v>
      </c>
      <c r="AE229">
        <f t="shared" si="29"/>
        <v>174.61573954711864</v>
      </c>
      <c r="AF229">
        <f t="shared" si="35"/>
        <v>1</v>
      </c>
      <c r="AH229">
        <v>153.5</v>
      </c>
      <c r="AI229" t="s">
        <v>327</v>
      </c>
      <c r="AJ229">
        <v>44</v>
      </c>
      <c r="AK229">
        <f t="shared" si="36"/>
        <v>207.65481237683719</v>
      </c>
      <c r="AL229">
        <f t="shared" si="37"/>
        <v>1</v>
      </c>
    </row>
    <row r="230" spans="1:38" x14ac:dyDescent="0.2">
      <c r="A230">
        <f t="shared" si="30"/>
        <v>56.5</v>
      </c>
      <c r="B230" t="s">
        <v>162</v>
      </c>
      <c r="C230">
        <v>54</v>
      </c>
      <c r="D230">
        <f>16.35117682*1.059464^C230</f>
        <v>370.00197512709912</v>
      </c>
      <c r="E230">
        <f t="shared" si="31"/>
        <v>56.5</v>
      </c>
      <c r="F230" t="s">
        <v>163</v>
      </c>
      <c r="G230">
        <v>49</v>
      </c>
      <c r="H230">
        <f>16.35117682*1.059464^G230</f>
        <v>277.18710418069043</v>
      </c>
      <c r="I230">
        <f t="shared" si="32"/>
        <v>56.5</v>
      </c>
      <c r="M230">
        <f t="shared" si="33"/>
        <v>56.5</v>
      </c>
      <c r="R230">
        <v>134</v>
      </c>
      <c r="S230" t="s">
        <v>411</v>
      </c>
      <c r="T230">
        <v>58</v>
      </c>
      <c r="U230">
        <f t="shared" si="28"/>
        <v>466.17487092753117</v>
      </c>
      <c r="V230">
        <f t="shared" si="34"/>
        <v>3</v>
      </c>
      <c r="W230">
        <v>134</v>
      </c>
      <c r="AB230">
        <v>154</v>
      </c>
      <c r="AC230" t="s">
        <v>29</v>
      </c>
      <c r="AD230">
        <v>40</v>
      </c>
      <c r="AE230">
        <f t="shared" si="29"/>
        <v>164.8151702626221</v>
      </c>
      <c r="AF230">
        <f t="shared" si="35"/>
        <v>1</v>
      </c>
      <c r="AH230">
        <v>154</v>
      </c>
      <c r="AI230" t="s">
        <v>444</v>
      </c>
      <c r="AJ230">
        <v>43</v>
      </c>
      <c r="AK230">
        <f t="shared" si="36"/>
        <v>195.99987576438383</v>
      </c>
      <c r="AL230">
        <f t="shared" si="37"/>
        <v>1</v>
      </c>
    </row>
    <row r="231" spans="1:38" x14ac:dyDescent="0.2">
      <c r="A231">
        <f t="shared" si="30"/>
        <v>56.75</v>
      </c>
      <c r="E231">
        <f t="shared" si="31"/>
        <v>56.75</v>
      </c>
      <c r="I231">
        <f t="shared" si="32"/>
        <v>56.75</v>
      </c>
      <c r="M231">
        <f t="shared" si="33"/>
        <v>56.75</v>
      </c>
      <c r="R231">
        <v>134.5</v>
      </c>
      <c r="S231" t="s">
        <v>242</v>
      </c>
      <c r="T231">
        <v>62</v>
      </c>
      <c r="U231">
        <f t="shared" si="28"/>
        <v>587.34554108704231</v>
      </c>
      <c r="V231">
        <f t="shared" si="34"/>
        <v>4</v>
      </c>
      <c r="W231">
        <v>134.5</v>
      </c>
      <c r="AB231">
        <v>154.5</v>
      </c>
      <c r="AC231" t="s">
        <v>170</v>
      </c>
      <c r="AD231">
        <v>39</v>
      </c>
      <c r="AE231">
        <f t="shared" si="29"/>
        <v>155.56467257275574</v>
      </c>
      <c r="AF231">
        <f t="shared" si="35"/>
        <v>1</v>
      </c>
      <c r="AH231">
        <v>154.5</v>
      </c>
      <c r="AI231" t="s">
        <v>329</v>
      </c>
      <c r="AJ231">
        <v>42</v>
      </c>
      <c r="AK231">
        <f t="shared" si="36"/>
        <v>184.99908988354849</v>
      </c>
      <c r="AL231">
        <f t="shared" si="37"/>
        <v>1</v>
      </c>
    </row>
    <row r="232" spans="1:38" x14ac:dyDescent="0.2">
      <c r="A232">
        <f t="shared" si="30"/>
        <v>57</v>
      </c>
      <c r="E232">
        <f t="shared" si="31"/>
        <v>57</v>
      </c>
      <c r="I232">
        <f t="shared" si="32"/>
        <v>57</v>
      </c>
      <c r="M232">
        <f t="shared" si="33"/>
        <v>57</v>
      </c>
      <c r="R232">
        <v>135</v>
      </c>
      <c r="S232" t="s">
        <v>246</v>
      </c>
      <c r="T232">
        <v>65</v>
      </c>
      <c r="U232">
        <f t="shared" si="28"/>
        <v>698.47728762097279</v>
      </c>
      <c r="V232">
        <f t="shared" si="34"/>
        <v>3</v>
      </c>
      <c r="W232">
        <v>135</v>
      </c>
      <c r="AB232">
        <v>155</v>
      </c>
      <c r="AC232" t="s">
        <v>28</v>
      </c>
      <c r="AD232">
        <v>38</v>
      </c>
      <c r="AE232">
        <f t="shared" si="29"/>
        <v>146.83337288738056</v>
      </c>
      <c r="AF232">
        <f t="shared" si="35"/>
        <v>1</v>
      </c>
      <c r="AH232">
        <v>155</v>
      </c>
      <c r="AI232" t="s">
        <v>318</v>
      </c>
      <c r="AJ232">
        <v>41</v>
      </c>
      <c r="AK232">
        <f t="shared" si="36"/>
        <v>174.61573954711864</v>
      </c>
      <c r="AL232">
        <f t="shared" si="37"/>
        <v>1</v>
      </c>
    </row>
    <row r="233" spans="1:38" x14ac:dyDescent="0.2">
      <c r="A233">
        <f t="shared" si="30"/>
        <v>57.25</v>
      </c>
      <c r="E233">
        <f t="shared" si="31"/>
        <v>57.25</v>
      </c>
      <c r="I233">
        <f t="shared" si="32"/>
        <v>57.25</v>
      </c>
      <c r="M233">
        <f t="shared" si="33"/>
        <v>57.25</v>
      </c>
      <c r="R233">
        <v>135.5</v>
      </c>
      <c r="S233" t="s">
        <v>242</v>
      </c>
      <c r="T233">
        <v>62</v>
      </c>
      <c r="U233">
        <f t="shared" si="28"/>
        <v>587.34554108704231</v>
      </c>
      <c r="V233">
        <f t="shared" si="34"/>
        <v>3</v>
      </c>
      <c r="W233">
        <v>135.5</v>
      </c>
      <c r="AB233">
        <v>155.5</v>
      </c>
      <c r="AC233" t="s">
        <v>387</v>
      </c>
      <c r="AD233">
        <v>37</v>
      </c>
      <c r="AE233">
        <f t="shared" si="29"/>
        <v>138.5921304427338</v>
      </c>
      <c r="AF233">
        <f t="shared" si="35"/>
        <v>1</v>
      </c>
      <c r="AH233">
        <v>155.5</v>
      </c>
      <c r="AI233" t="s">
        <v>331</v>
      </c>
      <c r="AJ233">
        <v>42</v>
      </c>
      <c r="AK233">
        <f t="shared" si="36"/>
        <v>184.99908988354849</v>
      </c>
      <c r="AL233">
        <f t="shared" si="37"/>
        <v>1</v>
      </c>
    </row>
    <row r="234" spans="1:38" x14ac:dyDescent="0.2">
      <c r="A234">
        <f t="shared" si="30"/>
        <v>57.5</v>
      </c>
      <c r="B234" t="s">
        <v>244</v>
      </c>
      <c r="C234">
        <v>59</v>
      </c>
      <c r="D234">
        <f>16.35117682*1.059464^C234</f>
        <v>493.89549345236594</v>
      </c>
      <c r="E234">
        <f t="shared" si="31"/>
        <v>57.5</v>
      </c>
      <c r="I234">
        <f t="shared" si="32"/>
        <v>57.5</v>
      </c>
      <c r="J234" t="s">
        <v>324</v>
      </c>
      <c r="K234">
        <v>47</v>
      </c>
      <c r="L234">
        <f>16.35117682*1.059464^K234</f>
        <v>246.94521361646048</v>
      </c>
      <c r="M234">
        <f t="shared" si="33"/>
        <v>57.5</v>
      </c>
      <c r="R234">
        <v>136</v>
      </c>
      <c r="S234" t="s">
        <v>246</v>
      </c>
      <c r="T234">
        <v>65</v>
      </c>
      <c r="U234">
        <f t="shared" si="28"/>
        <v>698.47728762097279</v>
      </c>
      <c r="V234">
        <f t="shared" si="34"/>
        <v>3</v>
      </c>
      <c r="W234">
        <v>136</v>
      </c>
      <c r="AB234">
        <v>156</v>
      </c>
      <c r="AC234" t="s">
        <v>29</v>
      </c>
      <c r="AD234">
        <v>38</v>
      </c>
      <c r="AE234">
        <f t="shared" si="29"/>
        <v>146.83337288738056</v>
      </c>
      <c r="AF234">
        <f t="shared" si="35"/>
        <v>1</v>
      </c>
      <c r="AH234">
        <v>156</v>
      </c>
      <c r="AI234" t="s">
        <v>318</v>
      </c>
      <c r="AJ234">
        <v>41</v>
      </c>
      <c r="AK234">
        <f t="shared" si="36"/>
        <v>174.61573954711864</v>
      </c>
      <c r="AL234">
        <f t="shared" si="37"/>
        <v>1</v>
      </c>
    </row>
    <row r="235" spans="1:38" x14ac:dyDescent="0.2">
      <c r="A235">
        <f t="shared" si="30"/>
        <v>57.75</v>
      </c>
      <c r="E235">
        <f t="shared" si="31"/>
        <v>57.75</v>
      </c>
      <c r="I235">
        <f t="shared" si="32"/>
        <v>57.75</v>
      </c>
      <c r="M235">
        <f t="shared" si="33"/>
        <v>57.75</v>
      </c>
      <c r="R235">
        <v>136.5</v>
      </c>
      <c r="S235" t="s">
        <v>242</v>
      </c>
      <c r="T235">
        <v>62</v>
      </c>
      <c r="U235">
        <f t="shared" si="28"/>
        <v>587.34554108704231</v>
      </c>
      <c r="V235">
        <f t="shared" si="34"/>
        <v>3</v>
      </c>
      <c r="W235">
        <v>136.5</v>
      </c>
      <c r="AB235">
        <v>156.5</v>
      </c>
      <c r="AC235" t="s">
        <v>45</v>
      </c>
      <c r="AD235">
        <v>31</v>
      </c>
      <c r="AE235">
        <f t="shared" si="29"/>
        <v>97.998932630681253</v>
      </c>
      <c r="AF235">
        <f t="shared" si="35"/>
        <v>7</v>
      </c>
      <c r="AH235">
        <v>156.5</v>
      </c>
    </row>
    <row r="236" spans="1:38" x14ac:dyDescent="0.2">
      <c r="A236">
        <f t="shared" si="30"/>
        <v>58</v>
      </c>
      <c r="B236" t="s">
        <v>240</v>
      </c>
      <c r="C236">
        <v>60</v>
      </c>
      <c r="D236">
        <f>16.35117682*1.059464^C236</f>
        <v>523.26449507501752</v>
      </c>
      <c r="E236">
        <f t="shared" si="31"/>
        <v>58</v>
      </c>
      <c r="F236" t="s">
        <v>242</v>
      </c>
      <c r="G236">
        <v>50</v>
      </c>
      <c r="H236">
        <f>16.35117682*1.059464^G236</f>
        <v>293.66975814369101</v>
      </c>
      <c r="I236">
        <f t="shared" si="32"/>
        <v>58</v>
      </c>
      <c r="J236" t="s">
        <v>489</v>
      </c>
      <c r="K236">
        <v>48</v>
      </c>
      <c r="L236">
        <f>16.35117682*1.059464^K236</f>
        <v>261.62956379894968</v>
      </c>
      <c r="M236">
        <f t="shared" si="33"/>
        <v>58</v>
      </c>
      <c r="R236">
        <v>137</v>
      </c>
      <c r="S236" t="s">
        <v>246</v>
      </c>
      <c r="T236">
        <v>65</v>
      </c>
      <c r="U236">
        <f t="shared" si="28"/>
        <v>698.47728762097279</v>
      </c>
      <c r="V236">
        <f t="shared" si="34"/>
        <v>3</v>
      </c>
      <c r="W236">
        <v>137</v>
      </c>
      <c r="AB236">
        <v>157</v>
      </c>
      <c r="AC236" t="s">
        <v>170</v>
      </c>
      <c r="AD236">
        <v>37</v>
      </c>
      <c r="AE236">
        <f t="shared" si="29"/>
        <v>138.5921304427338</v>
      </c>
      <c r="AF236">
        <f t="shared" si="35"/>
        <v>6</v>
      </c>
      <c r="AH236">
        <v>157</v>
      </c>
      <c r="AI236" t="s">
        <v>318</v>
      </c>
      <c r="AJ236">
        <v>41</v>
      </c>
      <c r="AK236">
        <f>16.35117682*1.059464^AJ236</f>
        <v>174.61573954711864</v>
      </c>
      <c r="AL236">
        <f>ABS(AJ236-AD235)</f>
        <v>10</v>
      </c>
    </row>
    <row r="237" spans="1:38" x14ac:dyDescent="0.2">
      <c r="A237">
        <f t="shared" si="30"/>
        <v>58.25</v>
      </c>
      <c r="E237">
        <f t="shared" si="31"/>
        <v>58.25</v>
      </c>
      <c r="I237">
        <f t="shared" si="32"/>
        <v>58.25</v>
      </c>
      <c r="M237">
        <f t="shared" si="33"/>
        <v>58.25</v>
      </c>
      <c r="R237">
        <v>137.5</v>
      </c>
      <c r="S237" t="s">
        <v>165</v>
      </c>
      <c r="T237">
        <v>63</v>
      </c>
      <c r="U237">
        <f t="shared" si="28"/>
        <v>622.27145634224212</v>
      </c>
      <c r="V237">
        <f t="shared" si="34"/>
        <v>2</v>
      </c>
      <c r="W237">
        <v>137.5</v>
      </c>
      <c r="AB237">
        <v>157.5</v>
      </c>
      <c r="AC237" t="s">
        <v>45</v>
      </c>
      <c r="AD237">
        <v>31</v>
      </c>
      <c r="AE237">
        <f t="shared" si="29"/>
        <v>97.998932630681253</v>
      </c>
      <c r="AF237">
        <f t="shared" si="35"/>
        <v>6</v>
      </c>
      <c r="AH237">
        <v>157.5</v>
      </c>
    </row>
    <row r="238" spans="1:38" x14ac:dyDescent="0.2">
      <c r="A238">
        <f t="shared" si="30"/>
        <v>58.5</v>
      </c>
      <c r="B238" t="s">
        <v>411</v>
      </c>
      <c r="C238">
        <v>58</v>
      </c>
      <c r="D238">
        <f>16.35117682*1.059464^C238</f>
        <v>466.17487092753117</v>
      </c>
      <c r="E238">
        <f t="shared" si="31"/>
        <v>58.5</v>
      </c>
      <c r="F238" t="s">
        <v>481</v>
      </c>
      <c r="G238">
        <v>52</v>
      </c>
      <c r="H238">
        <f>16.35117682*1.059464^G238</f>
        <v>329.63372180082422</v>
      </c>
      <c r="I238">
        <f t="shared" si="32"/>
        <v>58.5</v>
      </c>
      <c r="M238">
        <f t="shared" si="33"/>
        <v>58.5</v>
      </c>
      <c r="R238">
        <v>138</v>
      </c>
      <c r="S238" t="s">
        <v>246</v>
      </c>
      <c r="T238">
        <v>65</v>
      </c>
      <c r="U238">
        <f t="shared" si="28"/>
        <v>698.47728762097279</v>
      </c>
      <c r="V238">
        <f t="shared" si="34"/>
        <v>2</v>
      </c>
      <c r="W238">
        <v>138</v>
      </c>
      <c r="AB238">
        <v>158</v>
      </c>
      <c r="AC238" t="s">
        <v>27</v>
      </c>
      <c r="AD238">
        <v>36</v>
      </c>
      <c r="AE238">
        <f t="shared" si="29"/>
        <v>130.81344004395982</v>
      </c>
      <c r="AF238">
        <f t="shared" si="35"/>
        <v>5</v>
      </c>
      <c r="AH238">
        <v>158</v>
      </c>
    </row>
    <row r="239" spans="1:38" x14ac:dyDescent="0.2">
      <c r="A239">
        <f t="shared" si="30"/>
        <v>58.75</v>
      </c>
      <c r="E239">
        <f t="shared" si="31"/>
        <v>58.75</v>
      </c>
      <c r="I239">
        <f t="shared" si="32"/>
        <v>58.75</v>
      </c>
      <c r="M239">
        <f t="shared" si="33"/>
        <v>58.75</v>
      </c>
      <c r="R239">
        <v>138.5</v>
      </c>
      <c r="S239" t="s">
        <v>165</v>
      </c>
      <c r="T239">
        <v>63</v>
      </c>
      <c r="U239">
        <f t="shared" si="28"/>
        <v>622.27145634224212</v>
      </c>
      <c r="V239">
        <f t="shared" si="34"/>
        <v>2</v>
      </c>
      <c r="W239">
        <v>138.5</v>
      </c>
      <c r="AB239">
        <v>158.5</v>
      </c>
      <c r="AC239" t="s">
        <v>479</v>
      </c>
      <c r="AD239">
        <v>48</v>
      </c>
      <c r="AE239">
        <f t="shared" si="29"/>
        <v>261.62956379894968</v>
      </c>
      <c r="AF239">
        <f t="shared" si="35"/>
        <v>12</v>
      </c>
      <c r="AH239">
        <v>158.5</v>
      </c>
    </row>
    <row r="240" spans="1:38" x14ac:dyDescent="0.2">
      <c r="A240">
        <f t="shared" si="30"/>
        <v>59</v>
      </c>
      <c r="E240">
        <f t="shared" si="31"/>
        <v>59</v>
      </c>
      <c r="I240">
        <f t="shared" si="32"/>
        <v>59</v>
      </c>
      <c r="M240">
        <f t="shared" si="33"/>
        <v>59</v>
      </c>
      <c r="R240">
        <v>139</v>
      </c>
      <c r="S240" t="s">
        <v>246</v>
      </c>
      <c r="T240">
        <v>65</v>
      </c>
      <c r="U240">
        <f t="shared" si="28"/>
        <v>698.47728762097279</v>
      </c>
      <c r="V240">
        <f t="shared" si="34"/>
        <v>2</v>
      </c>
      <c r="W240">
        <v>139</v>
      </c>
      <c r="AB240">
        <v>159</v>
      </c>
      <c r="AC240" t="s">
        <v>412</v>
      </c>
      <c r="AD240">
        <v>35</v>
      </c>
      <c r="AE240">
        <f t="shared" si="29"/>
        <v>123.4713402663609</v>
      </c>
      <c r="AF240">
        <f t="shared" si="35"/>
        <v>13</v>
      </c>
      <c r="AH240">
        <v>159</v>
      </c>
    </row>
    <row r="241" spans="1:34" x14ac:dyDescent="0.2">
      <c r="A241">
        <f t="shared" si="30"/>
        <v>59.25</v>
      </c>
      <c r="E241">
        <f t="shared" si="31"/>
        <v>59.25</v>
      </c>
      <c r="I241">
        <f t="shared" si="32"/>
        <v>59.25</v>
      </c>
      <c r="M241">
        <f t="shared" si="33"/>
        <v>59.25</v>
      </c>
      <c r="R241">
        <v>139.5</v>
      </c>
      <c r="S241" t="s">
        <v>165</v>
      </c>
      <c r="T241">
        <v>63</v>
      </c>
      <c r="U241">
        <f t="shared" si="28"/>
        <v>622.27145634224212</v>
      </c>
      <c r="V241">
        <f t="shared" si="34"/>
        <v>2</v>
      </c>
      <c r="W241">
        <v>139.5</v>
      </c>
      <c r="AB241">
        <v>159.5</v>
      </c>
      <c r="AC241" t="s">
        <v>47</v>
      </c>
      <c r="AD241">
        <v>47</v>
      </c>
      <c r="AE241">
        <f t="shared" si="29"/>
        <v>246.94521361646048</v>
      </c>
      <c r="AF241">
        <f t="shared" si="35"/>
        <v>12</v>
      </c>
      <c r="AH241">
        <v>159.5</v>
      </c>
    </row>
    <row r="242" spans="1:34" x14ac:dyDescent="0.2">
      <c r="A242">
        <f t="shared" si="30"/>
        <v>59.5</v>
      </c>
      <c r="B242" t="s">
        <v>243</v>
      </c>
      <c r="C242">
        <v>57</v>
      </c>
      <c r="D242">
        <f>16.35117682*1.059464^C242</f>
        <v>440.01010976071973</v>
      </c>
      <c r="E242">
        <f t="shared" si="31"/>
        <v>59.5</v>
      </c>
      <c r="I242">
        <f t="shared" si="32"/>
        <v>59.5</v>
      </c>
      <c r="J242" t="s">
        <v>326</v>
      </c>
      <c r="K242">
        <v>45</v>
      </c>
      <c r="L242">
        <f>16.35117682*1.059464^K242</f>
        <v>220.00279814001337</v>
      </c>
      <c r="M242">
        <f t="shared" si="33"/>
        <v>59.5</v>
      </c>
      <c r="R242">
        <v>140</v>
      </c>
      <c r="S242" t="s">
        <v>166</v>
      </c>
      <c r="T242">
        <v>66</v>
      </c>
      <c r="U242">
        <f t="shared" si="28"/>
        <v>740.01154105206626</v>
      </c>
      <c r="V242">
        <f t="shared" si="34"/>
        <v>3</v>
      </c>
      <c r="W242">
        <v>140</v>
      </c>
      <c r="AB242">
        <v>160</v>
      </c>
      <c r="AC242" t="s">
        <v>414</v>
      </c>
      <c r="AD242">
        <v>33</v>
      </c>
      <c r="AE242">
        <f t="shared" si="29"/>
        <v>110.00027071140791</v>
      </c>
      <c r="AF242">
        <f t="shared" si="35"/>
        <v>14</v>
      </c>
      <c r="AH242">
        <v>160</v>
      </c>
    </row>
    <row r="243" spans="1:34" x14ac:dyDescent="0.2">
      <c r="A243">
        <f t="shared" si="30"/>
        <v>59.75</v>
      </c>
      <c r="E243">
        <f t="shared" si="31"/>
        <v>59.75</v>
      </c>
      <c r="I243">
        <f t="shared" si="32"/>
        <v>59.75</v>
      </c>
      <c r="M243">
        <f t="shared" si="33"/>
        <v>59.75</v>
      </c>
      <c r="R243">
        <v>140.5</v>
      </c>
      <c r="S243" t="s">
        <v>165</v>
      </c>
      <c r="T243">
        <v>63</v>
      </c>
      <c r="U243">
        <f t="shared" si="28"/>
        <v>622.27145634224212</v>
      </c>
      <c r="V243">
        <f t="shared" si="34"/>
        <v>3</v>
      </c>
      <c r="W243">
        <v>140.5</v>
      </c>
      <c r="AB243">
        <v>160.5</v>
      </c>
      <c r="AC243" t="s">
        <v>46</v>
      </c>
      <c r="AD243">
        <v>45</v>
      </c>
      <c r="AE243">
        <f t="shared" si="29"/>
        <v>220.00279814001337</v>
      </c>
      <c r="AF243">
        <f t="shared" si="35"/>
        <v>12</v>
      </c>
      <c r="AH243">
        <v>160.5</v>
      </c>
    </row>
    <row r="244" spans="1:34" x14ac:dyDescent="0.2">
      <c r="A244">
        <f t="shared" si="30"/>
        <v>60</v>
      </c>
      <c r="B244" t="s">
        <v>482</v>
      </c>
      <c r="C244">
        <v>53</v>
      </c>
      <c r="D244">
        <f>16.35117682*1.059464^C244</f>
        <v>349.23506143398839</v>
      </c>
      <c r="E244">
        <f t="shared" si="31"/>
        <v>60</v>
      </c>
      <c r="I244">
        <f t="shared" si="32"/>
        <v>60</v>
      </c>
      <c r="J244" t="s">
        <v>330</v>
      </c>
      <c r="K244">
        <v>41</v>
      </c>
      <c r="L244">
        <f>16.35117682*1.059464^K244</f>
        <v>174.61573954711864</v>
      </c>
      <c r="M244">
        <f t="shared" si="33"/>
        <v>60</v>
      </c>
      <c r="R244">
        <v>141</v>
      </c>
      <c r="S244" t="s">
        <v>166</v>
      </c>
      <c r="T244">
        <v>66</v>
      </c>
      <c r="U244">
        <f t="shared" si="28"/>
        <v>740.01154105206626</v>
      </c>
      <c r="V244">
        <f t="shared" si="34"/>
        <v>3</v>
      </c>
      <c r="W244">
        <v>141</v>
      </c>
      <c r="AB244">
        <v>161</v>
      </c>
      <c r="AC244" t="s">
        <v>45</v>
      </c>
      <c r="AD244">
        <v>31</v>
      </c>
      <c r="AE244">
        <f t="shared" si="29"/>
        <v>97.998932630681253</v>
      </c>
      <c r="AF244">
        <f t="shared" si="35"/>
        <v>14</v>
      </c>
      <c r="AH244">
        <v>161</v>
      </c>
    </row>
    <row r="245" spans="1:34" x14ac:dyDescent="0.2">
      <c r="A245">
        <f t="shared" si="30"/>
        <v>60.25</v>
      </c>
      <c r="E245">
        <f t="shared" si="31"/>
        <v>60.25</v>
      </c>
      <c r="I245">
        <f t="shared" si="32"/>
        <v>60.25</v>
      </c>
      <c r="M245">
        <f t="shared" si="33"/>
        <v>60.25</v>
      </c>
      <c r="R245">
        <v>142</v>
      </c>
      <c r="S245" t="s">
        <v>255</v>
      </c>
      <c r="T245">
        <v>64</v>
      </c>
      <c r="U245">
        <f t="shared" si="28"/>
        <v>659.27420622217721</v>
      </c>
      <c r="V245">
        <f t="shared" si="34"/>
        <v>2</v>
      </c>
      <c r="W245">
        <v>142</v>
      </c>
      <c r="AB245">
        <v>161.5</v>
      </c>
      <c r="AC245" t="s">
        <v>44</v>
      </c>
      <c r="AD245">
        <v>43</v>
      </c>
      <c r="AE245">
        <f t="shared" si="29"/>
        <v>195.99987576438383</v>
      </c>
      <c r="AF245">
        <f t="shared" si="35"/>
        <v>12</v>
      </c>
      <c r="AH245">
        <v>161.5</v>
      </c>
    </row>
    <row r="246" spans="1:34" x14ac:dyDescent="0.2">
      <c r="A246">
        <f t="shared" si="30"/>
        <v>60.5</v>
      </c>
      <c r="B246" t="s">
        <v>243</v>
      </c>
      <c r="C246">
        <v>57</v>
      </c>
      <c r="D246">
        <f>16.35117682*1.059464^C246</f>
        <v>440.01010976071973</v>
      </c>
      <c r="E246">
        <f t="shared" si="31"/>
        <v>60.5</v>
      </c>
      <c r="F246" t="s">
        <v>479</v>
      </c>
      <c r="G246">
        <v>48</v>
      </c>
      <c r="H246">
        <f>16.35117682*1.059464^G246</f>
        <v>261.62956379894968</v>
      </c>
      <c r="I246">
        <f t="shared" si="32"/>
        <v>60.5</v>
      </c>
      <c r="M246">
        <f t="shared" si="33"/>
        <v>60.5</v>
      </c>
      <c r="R246">
        <v>142.25</v>
      </c>
      <c r="S246" t="s">
        <v>245</v>
      </c>
      <c r="T246">
        <v>67</v>
      </c>
      <c r="U246">
        <f t="shared" si="28"/>
        <v>784.01558732918636</v>
      </c>
      <c r="V246">
        <f t="shared" si="34"/>
        <v>3</v>
      </c>
      <c r="W246">
        <v>142.25</v>
      </c>
      <c r="AB246">
        <v>162</v>
      </c>
      <c r="AC246" t="s">
        <v>388</v>
      </c>
      <c r="AD246">
        <v>29</v>
      </c>
      <c r="AE246">
        <f t="shared" si="29"/>
        <v>87.306974197808145</v>
      </c>
      <c r="AF246">
        <f t="shared" si="35"/>
        <v>14</v>
      </c>
      <c r="AH246">
        <v>162</v>
      </c>
    </row>
    <row r="247" spans="1:34" x14ac:dyDescent="0.2">
      <c r="A247">
        <f t="shared" si="30"/>
        <v>60.75</v>
      </c>
      <c r="E247">
        <f t="shared" si="31"/>
        <v>60.75</v>
      </c>
      <c r="I247">
        <f t="shared" si="32"/>
        <v>60.75</v>
      </c>
      <c r="M247">
        <f t="shared" si="33"/>
        <v>60.75</v>
      </c>
      <c r="R247">
        <v>142.75</v>
      </c>
      <c r="S247" t="s">
        <v>255</v>
      </c>
      <c r="T247">
        <v>64</v>
      </c>
      <c r="U247">
        <f t="shared" si="28"/>
        <v>659.27420622217721</v>
      </c>
      <c r="V247">
        <f t="shared" si="34"/>
        <v>3</v>
      </c>
      <c r="W247">
        <v>142.75</v>
      </c>
      <c r="AB247">
        <v>162.5</v>
      </c>
      <c r="AC247" t="s">
        <v>30</v>
      </c>
      <c r="AD247">
        <v>41</v>
      </c>
      <c r="AE247">
        <f t="shared" si="29"/>
        <v>174.61573954711864</v>
      </c>
      <c r="AF247">
        <f t="shared" si="35"/>
        <v>12</v>
      </c>
      <c r="AH247">
        <v>162.5</v>
      </c>
    </row>
    <row r="248" spans="1:34" x14ac:dyDescent="0.2">
      <c r="A248">
        <f t="shared" si="30"/>
        <v>61</v>
      </c>
      <c r="E248">
        <f t="shared" si="31"/>
        <v>61</v>
      </c>
      <c r="I248">
        <f t="shared" si="32"/>
        <v>61</v>
      </c>
      <c r="M248">
        <f t="shared" si="33"/>
        <v>61</v>
      </c>
      <c r="R248">
        <v>143</v>
      </c>
      <c r="S248" t="s">
        <v>245</v>
      </c>
      <c r="T248">
        <v>67</v>
      </c>
      <c r="U248">
        <f t="shared" si="28"/>
        <v>784.01558732918636</v>
      </c>
      <c r="V248">
        <f t="shared" si="34"/>
        <v>3</v>
      </c>
      <c r="W248">
        <v>143</v>
      </c>
      <c r="AB248">
        <v>163</v>
      </c>
      <c r="AC248" t="s">
        <v>389</v>
      </c>
      <c r="AD248">
        <v>28</v>
      </c>
      <c r="AE248">
        <f t="shared" si="29"/>
        <v>82.406739821087044</v>
      </c>
      <c r="AF248">
        <f t="shared" si="35"/>
        <v>13</v>
      </c>
      <c r="AH248">
        <v>163</v>
      </c>
    </row>
    <row r="249" spans="1:34" x14ac:dyDescent="0.2">
      <c r="A249">
        <f t="shared" si="30"/>
        <v>61.25</v>
      </c>
      <c r="E249">
        <f t="shared" si="31"/>
        <v>61.25</v>
      </c>
      <c r="I249">
        <f t="shared" si="32"/>
        <v>61.25</v>
      </c>
      <c r="M249">
        <f t="shared" si="33"/>
        <v>61.25</v>
      </c>
      <c r="R249">
        <v>143.5</v>
      </c>
      <c r="S249" t="s">
        <v>255</v>
      </c>
      <c r="T249">
        <v>64</v>
      </c>
      <c r="U249">
        <f t="shared" si="28"/>
        <v>659.27420622217721</v>
      </c>
      <c r="V249">
        <f t="shared" si="34"/>
        <v>3</v>
      </c>
      <c r="W249">
        <v>143.5</v>
      </c>
      <c r="AB249">
        <v>163.5</v>
      </c>
      <c r="AC249" t="s">
        <v>29</v>
      </c>
      <c r="AD249">
        <v>40</v>
      </c>
      <c r="AE249">
        <f t="shared" si="29"/>
        <v>164.8151702626221</v>
      </c>
      <c r="AF249">
        <f t="shared" si="35"/>
        <v>12</v>
      </c>
      <c r="AH249">
        <v>163.5</v>
      </c>
    </row>
    <row r="250" spans="1:34" x14ac:dyDescent="0.2">
      <c r="A250">
        <f t="shared" si="30"/>
        <v>61.5</v>
      </c>
      <c r="B250" t="s">
        <v>480</v>
      </c>
      <c r="C250">
        <v>50</v>
      </c>
      <c r="D250">
        <f>16.35117682*1.059464^C250</f>
        <v>293.66975814369101</v>
      </c>
      <c r="E250">
        <f t="shared" si="31"/>
        <v>61.5</v>
      </c>
      <c r="I250">
        <f t="shared" si="32"/>
        <v>61.5</v>
      </c>
      <c r="J250" t="s">
        <v>490</v>
      </c>
      <c r="K250">
        <v>38</v>
      </c>
      <c r="L250">
        <f>16.35117682*1.059464^K250</f>
        <v>146.83337288738056</v>
      </c>
      <c r="M250">
        <f t="shared" si="33"/>
        <v>61.5</v>
      </c>
      <c r="R250">
        <v>144</v>
      </c>
      <c r="S250" t="s">
        <v>240</v>
      </c>
      <c r="T250">
        <v>60</v>
      </c>
      <c r="U250">
        <f t="shared" si="28"/>
        <v>523.26449507501752</v>
      </c>
      <c r="V250">
        <f t="shared" si="34"/>
        <v>4</v>
      </c>
      <c r="W250">
        <v>144</v>
      </c>
      <c r="AB250">
        <v>164</v>
      </c>
      <c r="AC250" t="s">
        <v>413</v>
      </c>
      <c r="AD250">
        <v>26</v>
      </c>
      <c r="AE250">
        <f t="shared" si="29"/>
        <v>73.415933359182759</v>
      </c>
      <c r="AF250">
        <f t="shared" si="35"/>
        <v>14</v>
      </c>
      <c r="AH250">
        <v>164</v>
      </c>
    </row>
    <row r="251" spans="1:34" x14ac:dyDescent="0.2">
      <c r="A251">
        <f t="shared" si="30"/>
        <v>61.75</v>
      </c>
      <c r="E251">
        <f t="shared" si="31"/>
        <v>61.75</v>
      </c>
      <c r="I251">
        <f t="shared" si="32"/>
        <v>61.75</v>
      </c>
      <c r="M251">
        <f t="shared" si="33"/>
        <v>61.75</v>
      </c>
      <c r="R251">
        <v>144.25</v>
      </c>
      <c r="S251" t="s">
        <v>255</v>
      </c>
      <c r="T251">
        <v>64</v>
      </c>
      <c r="U251">
        <f t="shared" si="28"/>
        <v>659.27420622217721</v>
      </c>
      <c r="V251">
        <f t="shared" si="34"/>
        <v>4</v>
      </c>
      <c r="W251">
        <v>144.25</v>
      </c>
      <c r="AB251">
        <v>164.5</v>
      </c>
      <c r="AC251" t="s">
        <v>28</v>
      </c>
      <c r="AD251">
        <v>38</v>
      </c>
      <c r="AE251">
        <f t="shared" si="29"/>
        <v>146.83337288738056</v>
      </c>
      <c r="AF251">
        <f t="shared" si="35"/>
        <v>12</v>
      </c>
      <c r="AH251">
        <v>164.5</v>
      </c>
    </row>
    <row r="252" spans="1:34" x14ac:dyDescent="0.2">
      <c r="A252">
        <f t="shared" si="30"/>
        <v>62</v>
      </c>
      <c r="B252" t="s">
        <v>481</v>
      </c>
      <c r="C252">
        <v>52</v>
      </c>
      <c r="D252">
        <f>16.35117682*1.059464^C252</f>
        <v>329.63372180082422</v>
      </c>
      <c r="E252">
        <f t="shared" si="31"/>
        <v>62</v>
      </c>
      <c r="F252" t="s">
        <v>482</v>
      </c>
      <c r="G252">
        <v>53</v>
      </c>
      <c r="H252">
        <f>16.35117682*1.059464^G252</f>
        <v>349.23506143398839</v>
      </c>
      <c r="I252">
        <f t="shared" si="32"/>
        <v>62</v>
      </c>
      <c r="J252" t="s">
        <v>275</v>
      </c>
      <c r="K252">
        <v>40</v>
      </c>
      <c r="L252">
        <f>16.35117682*1.059464^K252</f>
        <v>164.8151702626221</v>
      </c>
      <c r="M252">
        <f t="shared" si="33"/>
        <v>62</v>
      </c>
      <c r="R252">
        <v>144.75</v>
      </c>
      <c r="S252" t="s">
        <v>240</v>
      </c>
      <c r="T252">
        <v>60</v>
      </c>
      <c r="U252">
        <f t="shared" si="28"/>
        <v>523.26449507501752</v>
      </c>
      <c r="V252">
        <f t="shared" si="34"/>
        <v>4</v>
      </c>
      <c r="W252">
        <v>144.75</v>
      </c>
      <c r="AB252">
        <v>165</v>
      </c>
      <c r="AC252" t="s">
        <v>388</v>
      </c>
      <c r="AD252">
        <v>29</v>
      </c>
      <c r="AE252">
        <f t="shared" si="29"/>
        <v>87.306974197808145</v>
      </c>
      <c r="AF252">
        <f t="shared" si="35"/>
        <v>9</v>
      </c>
      <c r="AH252">
        <v>165</v>
      </c>
    </row>
    <row r="253" spans="1:34" x14ac:dyDescent="0.2">
      <c r="A253">
        <f t="shared" si="30"/>
        <v>62.25</v>
      </c>
      <c r="E253">
        <f t="shared" si="31"/>
        <v>62.25</v>
      </c>
      <c r="I253">
        <f t="shared" si="32"/>
        <v>62.25</v>
      </c>
      <c r="M253">
        <f t="shared" si="33"/>
        <v>62.25</v>
      </c>
      <c r="R253">
        <v>145</v>
      </c>
      <c r="S253" t="s">
        <v>255</v>
      </c>
      <c r="T253">
        <v>64</v>
      </c>
      <c r="U253">
        <f t="shared" si="28"/>
        <v>659.27420622217721</v>
      </c>
      <c r="V253">
        <f t="shared" si="34"/>
        <v>4</v>
      </c>
      <c r="W253">
        <v>145</v>
      </c>
      <c r="AB253">
        <v>165.5</v>
      </c>
      <c r="AC253" t="s">
        <v>30</v>
      </c>
      <c r="AD253">
        <v>41</v>
      </c>
      <c r="AE253">
        <f t="shared" si="29"/>
        <v>174.61573954711864</v>
      </c>
      <c r="AF253">
        <f t="shared" si="35"/>
        <v>12</v>
      </c>
      <c r="AH253">
        <v>165.5</v>
      </c>
    </row>
    <row r="254" spans="1:34" x14ac:dyDescent="0.2">
      <c r="A254">
        <f t="shared" si="30"/>
        <v>62.5</v>
      </c>
      <c r="B254" t="s">
        <v>239</v>
      </c>
      <c r="C254">
        <v>54</v>
      </c>
      <c r="D254">
        <f>16.35117682*1.059464^C254</f>
        <v>370.00197512709912</v>
      </c>
      <c r="E254">
        <f t="shared" si="31"/>
        <v>62.5</v>
      </c>
      <c r="F254" t="s">
        <v>47</v>
      </c>
      <c r="G254">
        <v>47</v>
      </c>
      <c r="H254">
        <f>16.35117682*1.059464^G254</f>
        <v>246.94521361646048</v>
      </c>
      <c r="I254">
        <f t="shared" si="32"/>
        <v>62.5</v>
      </c>
      <c r="M254">
        <f t="shared" si="33"/>
        <v>62.5</v>
      </c>
      <c r="R254">
        <v>145.5</v>
      </c>
      <c r="S254" t="s">
        <v>240</v>
      </c>
      <c r="T254">
        <v>60</v>
      </c>
      <c r="U254">
        <f t="shared" si="28"/>
        <v>523.26449507501752</v>
      </c>
      <c r="V254">
        <f t="shared" si="34"/>
        <v>4</v>
      </c>
      <c r="W254">
        <v>145.5</v>
      </c>
      <c r="AB254">
        <v>166</v>
      </c>
      <c r="AC254" t="s">
        <v>45</v>
      </c>
      <c r="AD254">
        <v>31</v>
      </c>
      <c r="AE254">
        <f t="shared" si="29"/>
        <v>97.998932630681253</v>
      </c>
      <c r="AF254">
        <f t="shared" si="35"/>
        <v>10</v>
      </c>
      <c r="AH254">
        <v>166</v>
      </c>
    </row>
    <row r="255" spans="1:34" x14ac:dyDescent="0.2">
      <c r="A255">
        <f t="shared" si="30"/>
        <v>62.75</v>
      </c>
      <c r="E255">
        <f t="shared" si="31"/>
        <v>62.75</v>
      </c>
      <c r="I255">
        <f t="shared" si="32"/>
        <v>62.75</v>
      </c>
      <c r="M255">
        <f t="shared" si="33"/>
        <v>62.75</v>
      </c>
      <c r="R255">
        <v>146</v>
      </c>
      <c r="S255" t="s">
        <v>243</v>
      </c>
      <c r="T255">
        <v>57</v>
      </c>
      <c r="U255">
        <f t="shared" si="28"/>
        <v>440.01010976071973</v>
      </c>
      <c r="V255">
        <f t="shared" si="34"/>
        <v>3</v>
      </c>
      <c r="W255">
        <v>146</v>
      </c>
      <c r="AB255">
        <v>166.25</v>
      </c>
      <c r="AC255" t="s">
        <v>414</v>
      </c>
      <c r="AD255">
        <v>33</v>
      </c>
      <c r="AE255">
        <f t="shared" si="29"/>
        <v>110.00027071140791</v>
      </c>
      <c r="AF255">
        <f t="shared" si="35"/>
        <v>2</v>
      </c>
      <c r="AH255">
        <v>166.25</v>
      </c>
    </row>
    <row r="256" spans="1:34" x14ac:dyDescent="0.2">
      <c r="A256">
        <f t="shared" si="30"/>
        <v>63</v>
      </c>
      <c r="B256" t="s">
        <v>480</v>
      </c>
      <c r="C256">
        <v>50</v>
      </c>
      <c r="D256">
        <f>16.35117682*1.059464^C256</f>
        <v>293.66975814369101</v>
      </c>
      <c r="E256">
        <f t="shared" si="31"/>
        <v>63</v>
      </c>
      <c r="I256">
        <f t="shared" si="32"/>
        <v>63</v>
      </c>
      <c r="J256" t="s">
        <v>69</v>
      </c>
      <c r="K256">
        <v>38</v>
      </c>
      <c r="L256">
        <f>16.35117682*1.059464^K256</f>
        <v>146.83337288738056</v>
      </c>
      <c r="M256">
        <f t="shared" si="33"/>
        <v>63</v>
      </c>
      <c r="R256">
        <v>146.25</v>
      </c>
      <c r="S256" t="s">
        <v>240</v>
      </c>
      <c r="T256">
        <v>60</v>
      </c>
      <c r="U256">
        <f t="shared" si="28"/>
        <v>523.26449507501752</v>
      </c>
      <c r="V256">
        <f t="shared" si="34"/>
        <v>3</v>
      </c>
      <c r="W256">
        <v>146.25</v>
      </c>
      <c r="AB256">
        <v>166.75</v>
      </c>
      <c r="AC256" t="s">
        <v>27</v>
      </c>
      <c r="AD256">
        <v>36</v>
      </c>
      <c r="AE256">
        <f t="shared" si="29"/>
        <v>130.81344004395982</v>
      </c>
      <c r="AF256">
        <f t="shared" si="35"/>
        <v>3</v>
      </c>
      <c r="AH256">
        <v>166.75</v>
      </c>
    </row>
    <row r="257" spans="1:38" x14ac:dyDescent="0.2">
      <c r="A257">
        <f t="shared" si="30"/>
        <v>63.25</v>
      </c>
      <c r="E257">
        <f t="shared" si="31"/>
        <v>63.25</v>
      </c>
      <c r="I257">
        <f t="shared" si="32"/>
        <v>63.25</v>
      </c>
      <c r="M257">
        <f t="shared" si="33"/>
        <v>63.25</v>
      </c>
      <c r="R257">
        <v>146.75</v>
      </c>
      <c r="S257" t="s">
        <v>243</v>
      </c>
      <c r="T257">
        <v>57</v>
      </c>
      <c r="U257">
        <f t="shared" si="28"/>
        <v>440.01010976071973</v>
      </c>
      <c r="V257">
        <f t="shared" si="34"/>
        <v>3</v>
      </c>
      <c r="W257">
        <v>146.75</v>
      </c>
      <c r="AB257">
        <v>168</v>
      </c>
      <c r="AC257" t="s">
        <v>44</v>
      </c>
      <c r="AD257">
        <v>43</v>
      </c>
      <c r="AE257">
        <f t="shared" si="29"/>
        <v>195.99987576438383</v>
      </c>
      <c r="AF257">
        <f t="shared" si="35"/>
        <v>7</v>
      </c>
      <c r="AH257">
        <v>168</v>
      </c>
    </row>
    <row r="258" spans="1:38" x14ac:dyDescent="0.2">
      <c r="A258">
        <f t="shared" si="30"/>
        <v>63.5</v>
      </c>
      <c r="B258" t="s">
        <v>239</v>
      </c>
      <c r="C258">
        <v>54</v>
      </c>
      <c r="D258">
        <f>16.35117682*1.059464^C258</f>
        <v>370.00197512709912</v>
      </c>
      <c r="E258">
        <f t="shared" si="31"/>
        <v>63.5</v>
      </c>
      <c r="F258" t="s">
        <v>482</v>
      </c>
      <c r="G258">
        <v>53</v>
      </c>
      <c r="H258">
        <f>16.35117682*1.059464^G258</f>
        <v>349.23506143398839</v>
      </c>
      <c r="I258">
        <f t="shared" si="32"/>
        <v>63.5</v>
      </c>
      <c r="J258" t="s">
        <v>47</v>
      </c>
      <c r="K258">
        <v>47</v>
      </c>
      <c r="L258">
        <f>16.35117682*1.059464^K258</f>
        <v>246.94521361646048</v>
      </c>
      <c r="M258">
        <f t="shared" si="33"/>
        <v>63.5</v>
      </c>
      <c r="R258">
        <v>147</v>
      </c>
      <c r="S258" t="s">
        <v>240</v>
      </c>
      <c r="T258">
        <v>60</v>
      </c>
      <c r="U258">
        <f t="shared" si="28"/>
        <v>523.26449507501752</v>
      </c>
      <c r="V258">
        <f t="shared" si="34"/>
        <v>3</v>
      </c>
      <c r="W258">
        <v>147</v>
      </c>
      <c r="AB258">
        <v>168.25</v>
      </c>
      <c r="AC258" t="s">
        <v>46</v>
      </c>
      <c r="AD258">
        <v>45</v>
      </c>
      <c r="AE258">
        <f t="shared" si="29"/>
        <v>220.00279814001337</v>
      </c>
      <c r="AF258">
        <f t="shared" si="35"/>
        <v>2</v>
      </c>
      <c r="AH258">
        <v>168.25</v>
      </c>
    </row>
    <row r="259" spans="1:38" x14ac:dyDescent="0.2">
      <c r="A259">
        <f t="shared" si="30"/>
        <v>63.75</v>
      </c>
      <c r="E259">
        <f t="shared" si="31"/>
        <v>63.75</v>
      </c>
      <c r="I259">
        <f t="shared" si="32"/>
        <v>63.75</v>
      </c>
      <c r="M259">
        <f t="shared" si="33"/>
        <v>63.75</v>
      </c>
      <c r="R259">
        <v>147.5</v>
      </c>
      <c r="S259" t="s">
        <v>243</v>
      </c>
      <c r="T259">
        <v>57</v>
      </c>
      <c r="U259">
        <f t="shared" si="28"/>
        <v>440.01010976071973</v>
      </c>
      <c r="V259">
        <f t="shared" si="34"/>
        <v>3</v>
      </c>
      <c r="W259">
        <v>147.5</v>
      </c>
      <c r="AB259">
        <v>168.75</v>
      </c>
      <c r="AC259" t="s">
        <v>479</v>
      </c>
      <c r="AD259">
        <v>48</v>
      </c>
      <c r="AE259">
        <f t="shared" si="29"/>
        <v>261.62956379894968</v>
      </c>
      <c r="AF259">
        <f t="shared" si="35"/>
        <v>3</v>
      </c>
      <c r="AH259">
        <v>168.75</v>
      </c>
    </row>
    <row r="260" spans="1:38" x14ac:dyDescent="0.2">
      <c r="A260">
        <f t="shared" si="30"/>
        <v>64</v>
      </c>
      <c r="B260" t="s">
        <v>479</v>
      </c>
      <c r="C260">
        <v>48</v>
      </c>
      <c r="D260">
        <f>16.35117682*1.059464^C260</f>
        <v>261.62956379894968</v>
      </c>
      <c r="E260">
        <f t="shared" si="31"/>
        <v>64</v>
      </c>
      <c r="I260">
        <f t="shared" si="32"/>
        <v>64</v>
      </c>
      <c r="J260" t="s">
        <v>276</v>
      </c>
      <c r="K260">
        <v>36</v>
      </c>
      <c r="L260">
        <f>16.35117682*1.059464^K260</f>
        <v>130.81344004395982</v>
      </c>
      <c r="M260">
        <f t="shared" si="33"/>
        <v>64</v>
      </c>
      <c r="R260">
        <v>147.75</v>
      </c>
      <c r="S260" t="s">
        <v>240</v>
      </c>
      <c r="T260">
        <v>60</v>
      </c>
      <c r="U260">
        <f t="shared" ref="U260:U303" si="38">16.35117682*1.059464^T260</f>
        <v>523.26449507501752</v>
      </c>
      <c r="V260">
        <f t="shared" si="34"/>
        <v>3</v>
      </c>
      <c r="W260">
        <v>147.75</v>
      </c>
      <c r="AB260">
        <v>170</v>
      </c>
      <c r="AC260" t="s">
        <v>243</v>
      </c>
      <c r="AD260">
        <v>57</v>
      </c>
      <c r="AE260">
        <f t="shared" ref="AE260:AE265" si="39">16.35117682*1.059464^AD260</f>
        <v>440.01010976071973</v>
      </c>
      <c r="AF260">
        <f t="shared" si="35"/>
        <v>9</v>
      </c>
      <c r="AH260">
        <v>170</v>
      </c>
    </row>
    <row r="261" spans="1:38" x14ac:dyDescent="0.2">
      <c r="A261">
        <f t="shared" ref="A261:A324" si="40">A260+0.25</f>
        <v>64.25</v>
      </c>
      <c r="E261">
        <f t="shared" ref="E261:E324" si="41">E260+0.25</f>
        <v>64.25</v>
      </c>
      <c r="I261">
        <f t="shared" ref="I261:I324" si="42">I260+0.25</f>
        <v>64.25</v>
      </c>
      <c r="M261">
        <f t="shared" ref="M261:M324" si="43">M260+0.25</f>
        <v>64.25</v>
      </c>
      <c r="R261">
        <v>148</v>
      </c>
      <c r="S261" t="s">
        <v>243</v>
      </c>
      <c r="T261">
        <v>57</v>
      </c>
      <c r="U261">
        <f t="shared" si="38"/>
        <v>440.01010976071973</v>
      </c>
      <c r="V261">
        <f t="shared" ref="V261:V303" si="44">ABS(T261-T260)</f>
        <v>3</v>
      </c>
      <c r="W261">
        <v>148</v>
      </c>
      <c r="AB261">
        <v>170.25</v>
      </c>
      <c r="AC261" t="s">
        <v>240</v>
      </c>
      <c r="AD261">
        <v>60</v>
      </c>
      <c r="AE261">
        <f t="shared" si="39"/>
        <v>523.26449507501752</v>
      </c>
      <c r="AF261">
        <f t="shared" si="35"/>
        <v>3</v>
      </c>
      <c r="AH261">
        <v>170.25</v>
      </c>
    </row>
    <row r="262" spans="1:38" x14ac:dyDescent="0.2">
      <c r="A262">
        <f t="shared" si="40"/>
        <v>64.5</v>
      </c>
      <c r="B262" t="s">
        <v>481</v>
      </c>
      <c r="C262">
        <v>52</v>
      </c>
      <c r="D262">
        <f>16.35117682*1.059464^C262</f>
        <v>329.63372180082422</v>
      </c>
      <c r="E262">
        <f t="shared" si="41"/>
        <v>64.5</v>
      </c>
      <c r="F262" t="s">
        <v>239</v>
      </c>
      <c r="G262">
        <v>55</v>
      </c>
      <c r="H262">
        <f>16.35117682*1.059464^G262</f>
        <v>392.00377257605692</v>
      </c>
      <c r="I262">
        <f t="shared" si="42"/>
        <v>64.5</v>
      </c>
      <c r="M262">
        <f t="shared" si="43"/>
        <v>64.5</v>
      </c>
      <c r="R262">
        <v>150</v>
      </c>
      <c r="S262" t="s">
        <v>239</v>
      </c>
      <c r="T262">
        <v>55</v>
      </c>
      <c r="U262">
        <f t="shared" si="38"/>
        <v>392.00377257605692</v>
      </c>
      <c r="V262">
        <f t="shared" si="44"/>
        <v>2</v>
      </c>
      <c r="W262">
        <v>150</v>
      </c>
      <c r="AB262">
        <v>170.75</v>
      </c>
      <c r="AC262" t="s">
        <v>242</v>
      </c>
      <c r="AD262">
        <v>62</v>
      </c>
      <c r="AE262">
        <f t="shared" si="39"/>
        <v>587.34554108704231</v>
      </c>
      <c r="AF262">
        <f t="shared" si="35"/>
        <v>2</v>
      </c>
      <c r="AH262">
        <v>170.75</v>
      </c>
    </row>
    <row r="263" spans="1:38" x14ac:dyDescent="0.2">
      <c r="A263">
        <f t="shared" si="40"/>
        <v>64.75</v>
      </c>
      <c r="E263">
        <f t="shared" si="41"/>
        <v>64.75</v>
      </c>
      <c r="I263">
        <f t="shared" si="42"/>
        <v>64.75</v>
      </c>
      <c r="M263">
        <f t="shared" si="43"/>
        <v>64.75</v>
      </c>
      <c r="R263">
        <v>150.25</v>
      </c>
      <c r="S263" t="s">
        <v>243</v>
      </c>
      <c r="T263">
        <v>57</v>
      </c>
      <c r="U263">
        <f t="shared" si="38"/>
        <v>440.01010976071973</v>
      </c>
      <c r="V263">
        <f t="shared" si="44"/>
        <v>2</v>
      </c>
      <c r="W263">
        <v>150.25</v>
      </c>
      <c r="AB263">
        <v>171.5</v>
      </c>
      <c r="AC263" t="s">
        <v>242</v>
      </c>
      <c r="AD263">
        <v>62</v>
      </c>
      <c r="AE263">
        <f t="shared" si="39"/>
        <v>587.34554108704231</v>
      </c>
      <c r="AF263">
        <f t="shared" si="35"/>
        <v>0</v>
      </c>
      <c r="AH263">
        <v>171.5</v>
      </c>
      <c r="AI263" t="s">
        <v>24</v>
      </c>
      <c r="AJ263">
        <v>65</v>
      </c>
      <c r="AK263">
        <f>16.35117682*1.059464^AJ263</f>
        <v>698.47728762097279</v>
      </c>
      <c r="AL263">
        <f>ABS(AJ263-AD262)</f>
        <v>3</v>
      </c>
    </row>
    <row r="264" spans="1:38" x14ac:dyDescent="0.2">
      <c r="A264">
        <f t="shared" si="40"/>
        <v>65</v>
      </c>
      <c r="E264">
        <f t="shared" si="41"/>
        <v>65</v>
      </c>
      <c r="I264">
        <f t="shared" si="42"/>
        <v>65</v>
      </c>
      <c r="M264">
        <f t="shared" si="43"/>
        <v>65</v>
      </c>
      <c r="R264">
        <v>150.75</v>
      </c>
      <c r="S264" t="s">
        <v>239</v>
      </c>
      <c r="T264">
        <v>55</v>
      </c>
      <c r="U264">
        <f t="shared" si="38"/>
        <v>392.00377257605692</v>
      </c>
      <c r="V264">
        <f t="shared" si="44"/>
        <v>2</v>
      </c>
      <c r="W264">
        <v>150.75</v>
      </c>
      <c r="AB264">
        <v>172</v>
      </c>
      <c r="AC264" t="s">
        <v>240</v>
      </c>
      <c r="AD264">
        <v>60</v>
      </c>
      <c r="AE264">
        <f t="shared" si="39"/>
        <v>523.26449507501752</v>
      </c>
      <c r="AF264">
        <f t="shared" si="35"/>
        <v>2</v>
      </c>
      <c r="AH264">
        <v>172</v>
      </c>
      <c r="AI264" t="s">
        <v>25</v>
      </c>
      <c r="AJ264">
        <v>64</v>
      </c>
      <c r="AK264">
        <f>16.35117682*1.059464^AJ264</f>
        <v>659.27420622217721</v>
      </c>
      <c r="AL264">
        <f>ABS(AJ264-AJ263)</f>
        <v>1</v>
      </c>
    </row>
    <row r="265" spans="1:38" x14ac:dyDescent="0.2">
      <c r="A265">
        <f t="shared" si="40"/>
        <v>65.25</v>
      </c>
      <c r="E265">
        <f t="shared" si="41"/>
        <v>65.25</v>
      </c>
      <c r="I265">
        <f t="shared" si="42"/>
        <v>65.25</v>
      </c>
      <c r="M265">
        <f t="shared" si="43"/>
        <v>65.25</v>
      </c>
      <c r="R265">
        <v>151</v>
      </c>
      <c r="S265" t="s">
        <v>481</v>
      </c>
      <c r="T265">
        <v>52</v>
      </c>
      <c r="U265">
        <f t="shared" si="38"/>
        <v>329.63372180082422</v>
      </c>
      <c r="V265">
        <f t="shared" si="44"/>
        <v>3</v>
      </c>
      <c r="W265">
        <v>151</v>
      </c>
      <c r="AB265">
        <v>173</v>
      </c>
      <c r="AC265" t="s">
        <v>323</v>
      </c>
      <c r="AD265">
        <v>48</v>
      </c>
      <c r="AE265">
        <f t="shared" si="39"/>
        <v>261.62956379894968</v>
      </c>
      <c r="AF265">
        <f t="shared" si="35"/>
        <v>12</v>
      </c>
      <c r="AH265">
        <v>173</v>
      </c>
      <c r="AI265" t="s">
        <v>394</v>
      </c>
      <c r="AJ265">
        <v>52</v>
      </c>
      <c r="AK265">
        <f>16.35117682*1.059464^AJ265</f>
        <v>329.63372180082422</v>
      </c>
      <c r="AL265">
        <f>ABS(AJ265-AJ264)</f>
        <v>12</v>
      </c>
    </row>
    <row r="266" spans="1:38" x14ac:dyDescent="0.2">
      <c r="A266">
        <f t="shared" si="40"/>
        <v>65.5</v>
      </c>
      <c r="B266" t="s">
        <v>46</v>
      </c>
      <c r="C266">
        <v>45</v>
      </c>
      <c r="D266">
        <f>16.35117682*1.059464^C266</f>
        <v>220.00279814001337</v>
      </c>
      <c r="E266">
        <f t="shared" si="41"/>
        <v>65.5</v>
      </c>
      <c r="I266">
        <f t="shared" si="42"/>
        <v>65.5</v>
      </c>
      <c r="J266" t="s">
        <v>277</v>
      </c>
      <c r="K266">
        <v>33</v>
      </c>
      <c r="L266">
        <f>16.35117682*1.059464^K266</f>
        <v>110.00027071140791</v>
      </c>
      <c r="M266">
        <f t="shared" si="43"/>
        <v>65.5</v>
      </c>
      <c r="R266">
        <v>151.5</v>
      </c>
      <c r="S266" t="s">
        <v>239</v>
      </c>
      <c r="T266">
        <v>55</v>
      </c>
      <c r="U266">
        <f t="shared" si="38"/>
        <v>392.00377257605692</v>
      </c>
      <c r="V266">
        <f t="shared" si="44"/>
        <v>3</v>
      </c>
      <c r="W266">
        <v>151.5</v>
      </c>
    </row>
    <row r="267" spans="1:38" x14ac:dyDescent="0.2">
      <c r="A267">
        <f t="shared" si="40"/>
        <v>65.75</v>
      </c>
      <c r="E267">
        <f t="shared" si="41"/>
        <v>65.75</v>
      </c>
      <c r="I267">
        <f t="shared" si="42"/>
        <v>65.75</v>
      </c>
      <c r="M267">
        <f t="shared" si="43"/>
        <v>65.75</v>
      </c>
      <c r="R267">
        <v>152</v>
      </c>
      <c r="S267" t="s">
        <v>481</v>
      </c>
      <c r="T267">
        <v>52</v>
      </c>
      <c r="U267">
        <f t="shared" si="38"/>
        <v>329.63372180082422</v>
      </c>
      <c r="V267">
        <f t="shared" si="44"/>
        <v>3</v>
      </c>
      <c r="W267">
        <v>152</v>
      </c>
    </row>
    <row r="268" spans="1:38" x14ac:dyDescent="0.2">
      <c r="A268">
        <f t="shared" si="40"/>
        <v>66</v>
      </c>
      <c r="B268" t="s">
        <v>292</v>
      </c>
      <c r="C268">
        <v>46</v>
      </c>
      <c r="D268">
        <f>16.35117682*1.059464^C268</f>
        <v>233.08504452861115</v>
      </c>
      <c r="E268">
        <f t="shared" si="41"/>
        <v>66</v>
      </c>
      <c r="I268">
        <f t="shared" si="42"/>
        <v>66</v>
      </c>
      <c r="J268" t="s">
        <v>68</v>
      </c>
      <c r="K268">
        <v>34</v>
      </c>
      <c r="L268">
        <f>16.35117682*1.059464^K268</f>
        <v>116.54132680899107</v>
      </c>
      <c r="M268">
        <f t="shared" si="43"/>
        <v>66</v>
      </c>
      <c r="R268">
        <v>152.25</v>
      </c>
      <c r="S268" t="s">
        <v>482</v>
      </c>
      <c r="T268">
        <v>53</v>
      </c>
      <c r="U268">
        <f t="shared" si="38"/>
        <v>349.23506143398839</v>
      </c>
      <c r="V268">
        <f t="shared" si="44"/>
        <v>1</v>
      </c>
      <c r="W268">
        <v>152.25</v>
      </c>
    </row>
    <row r="269" spans="1:38" x14ac:dyDescent="0.2">
      <c r="A269">
        <f t="shared" si="40"/>
        <v>66.25</v>
      </c>
      <c r="E269">
        <f t="shared" si="41"/>
        <v>66.25</v>
      </c>
      <c r="I269">
        <f t="shared" si="42"/>
        <v>66.25</v>
      </c>
      <c r="M269">
        <f t="shared" si="43"/>
        <v>66.25</v>
      </c>
      <c r="R269">
        <v>152.75</v>
      </c>
      <c r="S269" t="s">
        <v>481</v>
      </c>
      <c r="T269">
        <v>52</v>
      </c>
      <c r="U269">
        <f t="shared" si="38"/>
        <v>329.63372180082422</v>
      </c>
      <c r="V269">
        <f t="shared" si="44"/>
        <v>1</v>
      </c>
      <c r="W269">
        <v>152.75</v>
      </c>
    </row>
    <row r="270" spans="1:38" x14ac:dyDescent="0.2">
      <c r="A270">
        <f t="shared" si="40"/>
        <v>66.5</v>
      </c>
      <c r="B270" t="s">
        <v>480</v>
      </c>
      <c r="C270">
        <v>50</v>
      </c>
      <c r="D270">
        <f>16.35117682*1.059464^C270</f>
        <v>293.66975814369101</v>
      </c>
      <c r="E270">
        <f t="shared" si="41"/>
        <v>66.5</v>
      </c>
      <c r="I270">
        <f t="shared" si="42"/>
        <v>66.5</v>
      </c>
      <c r="J270" t="s">
        <v>278</v>
      </c>
      <c r="K270">
        <v>38</v>
      </c>
      <c r="L270">
        <f>16.35117682*1.059464^K270</f>
        <v>146.83337288738056</v>
      </c>
      <c r="M270">
        <f t="shared" si="43"/>
        <v>66.5</v>
      </c>
      <c r="R270">
        <v>153</v>
      </c>
      <c r="S270" t="s">
        <v>479</v>
      </c>
      <c r="T270">
        <v>48</v>
      </c>
      <c r="U270">
        <f t="shared" si="38"/>
        <v>261.62956379894968</v>
      </c>
      <c r="V270">
        <f t="shared" si="44"/>
        <v>4</v>
      </c>
      <c r="W270">
        <v>153</v>
      </c>
    </row>
    <row r="271" spans="1:38" x14ac:dyDescent="0.2">
      <c r="A271">
        <f t="shared" si="40"/>
        <v>66.75</v>
      </c>
      <c r="E271">
        <f t="shared" si="41"/>
        <v>66.75</v>
      </c>
      <c r="I271">
        <f t="shared" si="42"/>
        <v>66.75</v>
      </c>
      <c r="M271">
        <f t="shared" si="43"/>
        <v>66.75</v>
      </c>
      <c r="R271">
        <v>154</v>
      </c>
      <c r="S271" t="s">
        <v>479</v>
      </c>
      <c r="T271">
        <v>48</v>
      </c>
      <c r="U271">
        <f t="shared" si="38"/>
        <v>261.62956379894968</v>
      </c>
      <c r="V271">
        <f t="shared" si="44"/>
        <v>0</v>
      </c>
      <c r="W271">
        <v>154</v>
      </c>
    </row>
    <row r="272" spans="1:38" x14ac:dyDescent="0.2">
      <c r="A272">
        <f t="shared" si="40"/>
        <v>67</v>
      </c>
      <c r="B272" t="s">
        <v>482</v>
      </c>
      <c r="C272">
        <v>53</v>
      </c>
      <c r="D272">
        <f>16.35117682*1.059464^C272</f>
        <v>349.23506143398839</v>
      </c>
      <c r="E272">
        <f t="shared" si="41"/>
        <v>67</v>
      </c>
      <c r="I272">
        <f t="shared" si="42"/>
        <v>67</v>
      </c>
      <c r="J272" t="s">
        <v>279</v>
      </c>
      <c r="K272">
        <v>41</v>
      </c>
      <c r="L272">
        <f>16.35117682*1.059464^K272</f>
        <v>174.61573954711864</v>
      </c>
      <c r="M272">
        <f t="shared" si="43"/>
        <v>67</v>
      </c>
      <c r="R272">
        <v>154.25</v>
      </c>
      <c r="S272" t="s">
        <v>480</v>
      </c>
      <c r="T272">
        <v>50</v>
      </c>
      <c r="U272">
        <f t="shared" si="38"/>
        <v>293.66975814369101</v>
      </c>
      <c r="V272">
        <f t="shared" si="44"/>
        <v>2</v>
      </c>
      <c r="W272">
        <v>154.25</v>
      </c>
    </row>
    <row r="273" spans="1:23" x14ac:dyDescent="0.2">
      <c r="A273">
        <f t="shared" si="40"/>
        <v>67.25</v>
      </c>
      <c r="E273">
        <f t="shared" si="41"/>
        <v>67.25</v>
      </c>
      <c r="I273">
        <f t="shared" si="42"/>
        <v>67.25</v>
      </c>
      <c r="M273">
        <f t="shared" si="43"/>
        <v>67.25</v>
      </c>
      <c r="R273">
        <v>154.75</v>
      </c>
      <c r="S273" t="s">
        <v>479</v>
      </c>
      <c r="T273">
        <v>48</v>
      </c>
      <c r="U273">
        <f t="shared" si="38"/>
        <v>261.62956379894968</v>
      </c>
      <c r="V273">
        <f t="shared" si="44"/>
        <v>2</v>
      </c>
      <c r="W273">
        <v>154.75</v>
      </c>
    </row>
    <row r="274" spans="1:23" x14ac:dyDescent="0.2">
      <c r="A274">
        <f t="shared" si="40"/>
        <v>67.5</v>
      </c>
      <c r="B274" t="s">
        <v>239</v>
      </c>
      <c r="C274">
        <v>55</v>
      </c>
      <c r="D274">
        <f>16.35117682*1.059464^C274</f>
        <v>392.00377257605692</v>
      </c>
      <c r="E274">
        <f t="shared" si="41"/>
        <v>67.5</v>
      </c>
      <c r="I274">
        <f t="shared" si="42"/>
        <v>67.5</v>
      </c>
      <c r="J274" t="s">
        <v>328</v>
      </c>
      <c r="K274">
        <v>43</v>
      </c>
      <c r="L274">
        <f>16.35117682*1.059464^K274</f>
        <v>195.99987576438383</v>
      </c>
      <c r="M274">
        <f t="shared" si="43"/>
        <v>67.5</v>
      </c>
      <c r="R274">
        <v>155</v>
      </c>
      <c r="S274" t="s">
        <v>44</v>
      </c>
      <c r="T274">
        <v>43</v>
      </c>
      <c r="U274">
        <f t="shared" si="38"/>
        <v>195.99987576438383</v>
      </c>
      <c r="V274">
        <f t="shared" si="44"/>
        <v>5</v>
      </c>
      <c r="W274">
        <v>155</v>
      </c>
    </row>
    <row r="275" spans="1:23" x14ac:dyDescent="0.2">
      <c r="A275">
        <f t="shared" si="40"/>
        <v>67.75</v>
      </c>
      <c r="E275">
        <f t="shared" si="41"/>
        <v>67.75</v>
      </c>
      <c r="I275">
        <f t="shared" si="42"/>
        <v>67.75</v>
      </c>
      <c r="M275">
        <f t="shared" si="43"/>
        <v>67.75</v>
      </c>
      <c r="R275">
        <v>155.5</v>
      </c>
      <c r="S275" t="s">
        <v>44</v>
      </c>
      <c r="T275">
        <v>43</v>
      </c>
      <c r="U275">
        <f t="shared" si="38"/>
        <v>195.99987576438383</v>
      </c>
      <c r="V275">
        <f t="shared" si="44"/>
        <v>0</v>
      </c>
      <c r="W275">
        <v>155.5</v>
      </c>
    </row>
    <row r="276" spans="1:23" x14ac:dyDescent="0.2">
      <c r="A276">
        <f t="shared" si="40"/>
        <v>68</v>
      </c>
      <c r="B276" t="s">
        <v>411</v>
      </c>
      <c r="C276">
        <v>58</v>
      </c>
      <c r="D276">
        <f>16.35117682*1.059464^C276</f>
        <v>466.17487092753117</v>
      </c>
      <c r="E276">
        <f t="shared" si="41"/>
        <v>68</v>
      </c>
      <c r="I276">
        <f t="shared" si="42"/>
        <v>68</v>
      </c>
      <c r="J276" t="s">
        <v>325</v>
      </c>
      <c r="K276">
        <v>46</v>
      </c>
      <c r="L276">
        <f>16.35117682*1.059464^K276</f>
        <v>233.08504452861115</v>
      </c>
      <c r="M276">
        <f t="shared" si="43"/>
        <v>68</v>
      </c>
      <c r="R276">
        <v>155.75</v>
      </c>
      <c r="S276" t="s">
        <v>47</v>
      </c>
      <c r="T276">
        <v>47</v>
      </c>
      <c r="U276">
        <f t="shared" si="38"/>
        <v>246.94521361646048</v>
      </c>
      <c r="V276">
        <f t="shared" si="44"/>
        <v>4</v>
      </c>
      <c r="W276">
        <v>155.75</v>
      </c>
    </row>
    <row r="277" spans="1:23" x14ac:dyDescent="0.2">
      <c r="A277">
        <f t="shared" si="40"/>
        <v>68.25</v>
      </c>
      <c r="E277">
        <f t="shared" si="41"/>
        <v>68.25</v>
      </c>
      <c r="I277">
        <f t="shared" si="42"/>
        <v>68.25</v>
      </c>
      <c r="M277">
        <f t="shared" si="43"/>
        <v>68.25</v>
      </c>
      <c r="R277">
        <v>156</v>
      </c>
      <c r="S277" t="s">
        <v>44</v>
      </c>
      <c r="T277">
        <v>43</v>
      </c>
      <c r="U277">
        <f t="shared" si="38"/>
        <v>195.99987576438383</v>
      </c>
      <c r="V277">
        <f t="shared" si="44"/>
        <v>4</v>
      </c>
      <c r="W277">
        <v>156</v>
      </c>
    </row>
    <row r="278" spans="1:23" x14ac:dyDescent="0.2">
      <c r="A278">
        <f t="shared" si="40"/>
        <v>68.5</v>
      </c>
      <c r="B278" t="s">
        <v>242</v>
      </c>
      <c r="C278">
        <v>62</v>
      </c>
      <c r="D278">
        <f>16.35117682*1.059464^C278</f>
        <v>587.34554108704231</v>
      </c>
      <c r="E278">
        <f t="shared" si="41"/>
        <v>68.5</v>
      </c>
      <c r="I278">
        <f t="shared" si="42"/>
        <v>68.5</v>
      </c>
      <c r="J278" t="s">
        <v>70</v>
      </c>
      <c r="K278">
        <v>50</v>
      </c>
      <c r="L278">
        <f>16.35117682*1.059464^K278</f>
        <v>293.66975814369101</v>
      </c>
      <c r="M278">
        <f t="shared" si="43"/>
        <v>68.5</v>
      </c>
      <c r="R278">
        <v>158</v>
      </c>
      <c r="S278" t="s">
        <v>29</v>
      </c>
      <c r="T278">
        <v>40</v>
      </c>
      <c r="U278">
        <f t="shared" si="38"/>
        <v>164.8151702626221</v>
      </c>
      <c r="V278">
        <f t="shared" si="44"/>
        <v>3</v>
      </c>
      <c r="W278">
        <v>158</v>
      </c>
    </row>
    <row r="279" spans="1:23" x14ac:dyDescent="0.2">
      <c r="A279">
        <f t="shared" si="40"/>
        <v>68.75</v>
      </c>
      <c r="E279">
        <f t="shared" si="41"/>
        <v>68.75</v>
      </c>
      <c r="I279">
        <f t="shared" si="42"/>
        <v>68.75</v>
      </c>
      <c r="M279">
        <f t="shared" si="43"/>
        <v>68.75</v>
      </c>
      <c r="R279">
        <v>158.25</v>
      </c>
      <c r="S279" t="s">
        <v>44</v>
      </c>
      <c r="T279">
        <v>43</v>
      </c>
      <c r="U279">
        <f t="shared" si="38"/>
        <v>195.99987576438383</v>
      </c>
      <c r="V279">
        <f t="shared" si="44"/>
        <v>3</v>
      </c>
      <c r="W279">
        <v>158.25</v>
      </c>
    </row>
    <row r="280" spans="1:23" x14ac:dyDescent="0.2">
      <c r="A280">
        <f t="shared" si="40"/>
        <v>69</v>
      </c>
      <c r="B280" t="s">
        <v>246</v>
      </c>
      <c r="C280">
        <v>65</v>
      </c>
      <c r="D280">
        <f>16.35117682*1.059464^C280</f>
        <v>698.47728762097279</v>
      </c>
      <c r="E280">
        <f t="shared" si="41"/>
        <v>69</v>
      </c>
      <c r="I280">
        <f t="shared" si="42"/>
        <v>69</v>
      </c>
      <c r="J280" t="s">
        <v>280</v>
      </c>
      <c r="K280">
        <v>53</v>
      </c>
      <c r="L280">
        <f>16.35117682*1.059464^K280</f>
        <v>349.23506143398839</v>
      </c>
      <c r="M280">
        <f t="shared" si="43"/>
        <v>69</v>
      </c>
      <c r="R280">
        <v>158.75</v>
      </c>
      <c r="S280" t="s">
        <v>29</v>
      </c>
      <c r="T280">
        <v>40</v>
      </c>
      <c r="U280">
        <f t="shared" si="38"/>
        <v>164.8151702626221</v>
      </c>
      <c r="V280">
        <f t="shared" si="44"/>
        <v>3</v>
      </c>
      <c r="W280">
        <v>158.75</v>
      </c>
    </row>
    <row r="281" spans="1:23" x14ac:dyDescent="0.2">
      <c r="A281">
        <f t="shared" si="40"/>
        <v>69.25</v>
      </c>
      <c r="E281">
        <f t="shared" si="41"/>
        <v>69.25</v>
      </c>
      <c r="I281">
        <f t="shared" si="42"/>
        <v>69.25</v>
      </c>
      <c r="M281">
        <f t="shared" si="43"/>
        <v>69.25</v>
      </c>
      <c r="R281">
        <v>159</v>
      </c>
      <c r="S281" t="s">
        <v>44</v>
      </c>
      <c r="T281">
        <v>43</v>
      </c>
      <c r="U281">
        <f t="shared" si="38"/>
        <v>195.99987576438383</v>
      </c>
      <c r="V281">
        <f t="shared" si="44"/>
        <v>3</v>
      </c>
      <c r="W281">
        <v>159</v>
      </c>
    </row>
    <row r="282" spans="1:23" x14ac:dyDescent="0.2">
      <c r="A282">
        <f t="shared" si="40"/>
        <v>69.5</v>
      </c>
      <c r="B282" t="s">
        <v>242</v>
      </c>
      <c r="C282">
        <v>62</v>
      </c>
      <c r="D282">
        <f>16.35117682*1.059464^C282</f>
        <v>587.34554108704231</v>
      </c>
      <c r="E282">
        <f t="shared" si="41"/>
        <v>69.5</v>
      </c>
      <c r="I282">
        <f t="shared" si="42"/>
        <v>69.5</v>
      </c>
      <c r="J282" t="s">
        <v>70</v>
      </c>
      <c r="K282">
        <v>50</v>
      </c>
      <c r="L282">
        <f>16.35117682*1.059464^K282</f>
        <v>293.66975814369101</v>
      </c>
      <c r="M282">
        <f t="shared" si="43"/>
        <v>69.5</v>
      </c>
      <c r="R282">
        <v>159.5</v>
      </c>
      <c r="S282" t="s">
        <v>29</v>
      </c>
      <c r="T282">
        <v>40</v>
      </c>
      <c r="U282">
        <f t="shared" si="38"/>
        <v>164.8151702626221</v>
      </c>
      <c r="V282">
        <f t="shared" si="44"/>
        <v>3</v>
      </c>
      <c r="W282">
        <v>159.5</v>
      </c>
    </row>
    <row r="283" spans="1:23" x14ac:dyDescent="0.2">
      <c r="A283">
        <f t="shared" si="40"/>
        <v>69.75</v>
      </c>
      <c r="E283">
        <f t="shared" si="41"/>
        <v>69.75</v>
      </c>
      <c r="I283">
        <f t="shared" si="42"/>
        <v>69.75</v>
      </c>
      <c r="M283">
        <f t="shared" si="43"/>
        <v>69.75</v>
      </c>
      <c r="R283">
        <v>160</v>
      </c>
      <c r="S283" t="s">
        <v>27</v>
      </c>
      <c r="T283">
        <v>36</v>
      </c>
      <c r="U283">
        <f t="shared" si="38"/>
        <v>130.81344004395982</v>
      </c>
      <c r="V283">
        <f t="shared" si="44"/>
        <v>4</v>
      </c>
      <c r="W283">
        <v>160</v>
      </c>
    </row>
    <row r="284" spans="1:23" x14ac:dyDescent="0.2">
      <c r="A284">
        <f t="shared" si="40"/>
        <v>70</v>
      </c>
      <c r="B284" t="s">
        <v>246</v>
      </c>
      <c r="C284">
        <v>65</v>
      </c>
      <c r="D284">
        <f>16.35117682*1.059464^C284</f>
        <v>698.47728762097279</v>
      </c>
      <c r="E284">
        <f t="shared" si="41"/>
        <v>70</v>
      </c>
      <c r="I284">
        <f t="shared" si="42"/>
        <v>70</v>
      </c>
      <c r="J284" t="s">
        <v>390</v>
      </c>
      <c r="K284">
        <v>53</v>
      </c>
      <c r="L284">
        <f>16.35117682*1.059464^K284</f>
        <v>349.23506143398839</v>
      </c>
      <c r="M284">
        <f t="shared" si="43"/>
        <v>70</v>
      </c>
      <c r="R284">
        <v>160.25</v>
      </c>
      <c r="S284" t="s">
        <v>29</v>
      </c>
      <c r="T284">
        <v>40</v>
      </c>
      <c r="U284">
        <f t="shared" si="38"/>
        <v>164.8151702626221</v>
      </c>
      <c r="V284">
        <f t="shared" si="44"/>
        <v>4</v>
      </c>
      <c r="W284">
        <v>160.25</v>
      </c>
    </row>
    <row r="285" spans="1:23" x14ac:dyDescent="0.2">
      <c r="A285">
        <f t="shared" si="40"/>
        <v>70.25</v>
      </c>
      <c r="E285">
        <f t="shared" si="41"/>
        <v>70.25</v>
      </c>
      <c r="I285">
        <f t="shared" si="42"/>
        <v>70.25</v>
      </c>
      <c r="M285">
        <f t="shared" si="43"/>
        <v>70.25</v>
      </c>
      <c r="R285">
        <v>160.75</v>
      </c>
      <c r="S285" t="s">
        <v>27</v>
      </c>
      <c r="T285">
        <v>36</v>
      </c>
      <c r="U285">
        <f t="shared" si="38"/>
        <v>130.81344004395982</v>
      </c>
      <c r="V285">
        <f t="shared" si="44"/>
        <v>4</v>
      </c>
      <c r="W285">
        <v>160.75</v>
      </c>
    </row>
    <row r="286" spans="1:23" x14ac:dyDescent="0.2">
      <c r="A286">
        <f t="shared" si="40"/>
        <v>70.5</v>
      </c>
      <c r="B286" t="s">
        <v>242</v>
      </c>
      <c r="C286">
        <v>62</v>
      </c>
      <c r="D286">
        <f>16.35117682*1.059464^C286</f>
        <v>587.34554108704231</v>
      </c>
      <c r="E286">
        <f t="shared" si="41"/>
        <v>70.5</v>
      </c>
      <c r="I286">
        <f t="shared" si="42"/>
        <v>70.5</v>
      </c>
      <c r="J286" t="s">
        <v>70</v>
      </c>
      <c r="K286">
        <v>50</v>
      </c>
      <c r="L286">
        <f>16.35117682*1.059464^K286</f>
        <v>293.66975814369101</v>
      </c>
      <c r="M286">
        <f t="shared" si="43"/>
        <v>70.5</v>
      </c>
      <c r="R286">
        <v>161.5</v>
      </c>
      <c r="S286" t="s">
        <v>27</v>
      </c>
      <c r="T286">
        <v>36</v>
      </c>
      <c r="U286">
        <f t="shared" si="38"/>
        <v>130.81344004395982</v>
      </c>
      <c r="V286">
        <f t="shared" si="44"/>
        <v>0</v>
      </c>
      <c r="W286">
        <v>161.5</v>
      </c>
    </row>
    <row r="287" spans="1:23" x14ac:dyDescent="0.2">
      <c r="A287">
        <f t="shared" si="40"/>
        <v>70.75</v>
      </c>
      <c r="E287">
        <f t="shared" si="41"/>
        <v>70.75</v>
      </c>
      <c r="I287">
        <f t="shared" si="42"/>
        <v>70.75</v>
      </c>
      <c r="M287">
        <f t="shared" si="43"/>
        <v>70.75</v>
      </c>
      <c r="R287">
        <v>162</v>
      </c>
      <c r="S287" t="s">
        <v>414</v>
      </c>
      <c r="T287">
        <v>33</v>
      </c>
      <c r="U287">
        <f t="shared" si="38"/>
        <v>110.00027071140791</v>
      </c>
      <c r="V287">
        <f t="shared" si="44"/>
        <v>3</v>
      </c>
      <c r="W287">
        <v>162</v>
      </c>
    </row>
    <row r="288" spans="1:23" x14ac:dyDescent="0.2">
      <c r="A288">
        <f t="shared" si="40"/>
        <v>71</v>
      </c>
      <c r="B288" t="s">
        <v>246</v>
      </c>
      <c r="C288">
        <v>65</v>
      </c>
      <c r="D288">
        <f>16.35117682*1.059464^C288</f>
        <v>698.47728762097279</v>
      </c>
      <c r="E288">
        <f t="shared" si="41"/>
        <v>71</v>
      </c>
      <c r="I288">
        <f t="shared" si="42"/>
        <v>71</v>
      </c>
      <c r="J288" t="s">
        <v>280</v>
      </c>
      <c r="K288">
        <v>53</v>
      </c>
      <c r="L288">
        <f>16.35117682*1.059464^K288</f>
        <v>349.23506143398839</v>
      </c>
      <c r="M288">
        <f t="shared" si="43"/>
        <v>71</v>
      </c>
      <c r="R288">
        <v>162.25</v>
      </c>
      <c r="S288" t="s">
        <v>27</v>
      </c>
      <c r="T288">
        <v>36</v>
      </c>
      <c r="U288">
        <f t="shared" si="38"/>
        <v>130.81344004395982</v>
      </c>
      <c r="V288">
        <f t="shared" si="44"/>
        <v>3</v>
      </c>
      <c r="W288">
        <v>162.25</v>
      </c>
    </row>
    <row r="289" spans="1:27" x14ac:dyDescent="0.2">
      <c r="A289">
        <f t="shared" si="40"/>
        <v>71.25</v>
      </c>
      <c r="E289">
        <f t="shared" si="41"/>
        <v>71.25</v>
      </c>
      <c r="I289">
        <f t="shared" si="42"/>
        <v>71.25</v>
      </c>
      <c r="M289">
        <f t="shared" si="43"/>
        <v>71.25</v>
      </c>
      <c r="R289">
        <v>162.75</v>
      </c>
      <c r="S289" t="s">
        <v>414</v>
      </c>
      <c r="T289">
        <v>33</v>
      </c>
      <c r="U289">
        <f t="shared" si="38"/>
        <v>110.00027071140791</v>
      </c>
      <c r="V289">
        <f t="shared" si="44"/>
        <v>3</v>
      </c>
      <c r="W289">
        <v>162.75</v>
      </c>
    </row>
    <row r="290" spans="1:27" x14ac:dyDescent="0.2">
      <c r="A290">
        <f t="shared" si="40"/>
        <v>71.5</v>
      </c>
      <c r="B290" t="s">
        <v>165</v>
      </c>
      <c r="C290">
        <v>63</v>
      </c>
      <c r="D290">
        <f>16.35117682*1.059464^C290</f>
        <v>622.27145634224212</v>
      </c>
      <c r="E290">
        <f t="shared" si="41"/>
        <v>71.5</v>
      </c>
      <c r="I290">
        <f t="shared" si="42"/>
        <v>71.5</v>
      </c>
      <c r="J290" t="s">
        <v>175</v>
      </c>
      <c r="K290">
        <v>51</v>
      </c>
      <c r="L290">
        <f>16.35117682*1.059464^K290</f>
        <v>311.13253664194741</v>
      </c>
      <c r="M290">
        <f t="shared" si="43"/>
        <v>71.5</v>
      </c>
      <c r="R290">
        <v>163</v>
      </c>
      <c r="S290" t="s">
        <v>27</v>
      </c>
      <c r="T290">
        <v>36</v>
      </c>
      <c r="U290">
        <f t="shared" si="38"/>
        <v>130.81344004395982</v>
      </c>
      <c r="V290">
        <f t="shared" si="44"/>
        <v>3</v>
      </c>
      <c r="W290">
        <v>163</v>
      </c>
    </row>
    <row r="291" spans="1:27" x14ac:dyDescent="0.2">
      <c r="A291">
        <f t="shared" si="40"/>
        <v>71.75</v>
      </c>
      <c r="E291">
        <f t="shared" si="41"/>
        <v>71.75</v>
      </c>
      <c r="I291">
        <f t="shared" si="42"/>
        <v>71.75</v>
      </c>
      <c r="M291">
        <f t="shared" si="43"/>
        <v>71.75</v>
      </c>
      <c r="R291">
        <v>163.5</v>
      </c>
      <c r="S291" t="s">
        <v>414</v>
      </c>
      <c r="T291">
        <v>33</v>
      </c>
      <c r="U291">
        <f t="shared" si="38"/>
        <v>110.00027071140791</v>
      </c>
      <c r="V291">
        <f t="shared" si="44"/>
        <v>3</v>
      </c>
      <c r="W291">
        <v>163.5</v>
      </c>
    </row>
    <row r="292" spans="1:27" x14ac:dyDescent="0.2">
      <c r="A292">
        <f t="shared" si="40"/>
        <v>72</v>
      </c>
      <c r="B292" t="s">
        <v>246</v>
      </c>
      <c r="C292">
        <v>65</v>
      </c>
      <c r="D292">
        <f>16.35117682*1.059464^C292</f>
        <v>698.47728762097279</v>
      </c>
      <c r="E292">
        <f t="shared" si="41"/>
        <v>72</v>
      </c>
      <c r="I292">
        <f t="shared" si="42"/>
        <v>72</v>
      </c>
      <c r="J292" t="s">
        <v>390</v>
      </c>
      <c r="K292">
        <v>53</v>
      </c>
      <c r="L292">
        <f>16.35117682*1.059464^K292</f>
        <v>349.23506143398839</v>
      </c>
      <c r="M292">
        <f t="shared" si="43"/>
        <v>72</v>
      </c>
      <c r="R292">
        <v>163.75</v>
      </c>
      <c r="S292" t="s">
        <v>27</v>
      </c>
      <c r="T292">
        <v>36</v>
      </c>
      <c r="U292">
        <f t="shared" si="38"/>
        <v>130.81344004395982</v>
      </c>
      <c r="V292">
        <f t="shared" si="44"/>
        <v>3</v>
      </c>
      <c r="W292">
        <v>163.75</v>
      </c>
    </row>
    <row r="293" spans="1:27" x14ac:dyDescent="0.2">
      <c r="A293">
        <f t="shared" si="40"/>
        <v>72.25</v>
      </c>
      <c r="E293">
        <f t="shared" si="41"/>
        <v>72.25</v>
      </c>
      <c r="I293">
        <f t="shared" si="42"/>
        <v>72.25</v>
      </c>
      <c r="M293">
        <f t="shared" si="43"/>
        <v>72.25</v>
      </c>
      <c r="R293">
        <v>164</v>
      </c>
      <c r="S293" t="s">
        <v>414</v>
      </c>
      <c r="T293">
        <v>33</v>
      </c>
      <c r="U293">
        <f t="shared" si="38"/>
        <v>110.00027071140791</v>
      </c>
      <c r="V293">
        <f t="shared" si="44"/>
        <v>3</v>
      </c>
      <c r="W293">
        <v>164</v>
      </c>
    </row>
    <row r="294" spans="1:27" x14ac:dyDescent="0.2">
      <c r="A294">
        <f t="shared" si="40"/>
        <v>72.5</v>
      </c>
      <c r="B294" t="s">
        <v>165</v>
      </c>
      <c r="C294">
        <v>63</v>
      </c>
      <c r="D294">
        <f>16.35117682*1.059464^C294</f>
        <v>622.27145634224212</v>
      </c>
      <c r="E294">
        <f t="shared" si="41"/>
        <v>72.5</v>
      </c>
      <c r="I294">
        <f t="shared" si="42"/>
        <v>72.5</v>
      </c>
      <c r="J294" t="s">
        <v>175</v>
      </c>
      <c r="K294">
        <v>51</v>
      </c>
      <c r="L294">
        <f>16.35117682*1.059464^K294</f>
        <v>311.13253664194741</v>
      </c>
      <c r="M294">
        <f t="shared" si="43"/>
        <v>72.5</v>
      </c>
      <c r="R294">
        <v>167</v>
      </c>
      <c r="S294" t="s">
        <v>28</v>
      </c>
      <c r="T294">
        <v>38</v>
      </c>
      <c r="U294">
        <f t="shared" si="38"/>
        <v>146.83337288738056</v>
      </c>
      <c r="V294">
        <f t="shared" si="44"/>
        <v>5</v>
      </c>
      <c r="W294">
        <v>167</v>
      </c>
    </row>
    <row r="295" spans="1:27" x14ac:dyDescent="0.2">
      <c r="A295">
        <f t="shared" si="40"/>
        <v>72.75</v>
      </c>
      <c r="E295">
        <f t="shared" si="41"/>
        <v>72.75</v>
      </c>
      <c r="I295">
        <f t="shared" si="42"/>
        <v>72.75</v>
      </c>
      <c r="M295">
        <f t="shared" si="43"/>
        <v>72.75</v>
      </c>
      <c r="R295">
        <v>167.5</v>
      </c>
      <c r="S295" t="s">
        <v>29</v>
      </c>
      <c r="T295">
        <v>40</v>
      </c>
      <c r="U295">
        <f t="shared" si="38"/>
        <v>164.8151702626221</v>
      </c>
      <c r="V295">
        <f t="shared" si="44"/>
        <v>2</v>
      </c>
      <c r="W295">
        <v>167.5</v>
      </c>
    </row>
    <row r="296" spans="1:27" x14ac:dyDescent="0.2">
      <c r="A296">
        <f t="shared" si="40"/>
        <v>73</v>
      </c>
      <c r="B296" t="s">
        <v>246</v>
      </c>
      <c r="C296">
        <v>65</v>
      </c>
      <c r="D296">
        <f>16.35117682*1.059464^C296</f>
        <v>698.47728762097279</v>
      </c>
      <c r="E296">
        <f t="shared" si="41"/>
        <v>73</v>
      </c>
      <c r="I296">
        <f t="shared" si="42"/>
        <v>73</v>
      </c>
      <c r="J296" t="s">
        <v>390</v>
      </c>
      <c r="K296">
        <v>53</v>
      </c>
      <c r="L296">
        <f>16.35117682*1.059464^K296</f>
        <v>349.23506143398839</v>
      </c>
      <c r="M296">
        <f t="shared" si="43"/>
        <v>73</v>
      </c>
      <c r="R296">
        <v>169</v>
      </c>
      <c r="S296" t="s">
        <v>480</v>
      </c>
      <c r="T296">
        <v>50</v>
      </c>
      <c r="U296">
        <f t="shared" si="38"/>
        <v>293.66975814369101</v>
      </c>
      <c r="V296">
        <f t="shared" si="44"/>
        <v>10</v>
      </c>
      <c r="W296">
        <v>169</v>
      </c>
    </row>
    <row r="297" spans="1:27" x14ac:dyDescent="0.2">
      <c r="A297">
        <f t="shared" si="40"/>
        <v>73.25</v>
      </c>
      <c r="E297">
        <f t="shared" si="41"/>
        <v>73.25</v>
      </c>
      <c r="I297">
        <f t="shared" si="42"/>
        <v>73.25</v>
      </c>
      <c r="M297">
        <f t="shared" si="43"/>
        <v>73.25</v>
      </c>
      <c r="R297">
        <v>169.5</v>
      </c>
      <c r="S297" t="s">
        <v>481</v>
      </c>
      <c r="T297">
        <v>52</v>
      </c>
      <c r="U297">
        <f t="shared" si="38"/>
        <v>329.63372180082422</v>
      </c>
      <c r="V297">
        <f t="shared" si="44"/>
        <v>2</v>
      </c>
      <c r="W297">
        <v>169.5</v>
      </c>
    </row>
    <row r="298" spans="1:27" x14ac:dyDescent="0.2">
      <c r="A298">
        <f t="shared" si="40"/>
        <v>73.5</v>
      </c>
      <c r="B298" t="s">
        <v>165</v>
      </c>
      <c r="C298">
        <v>63</v>
      </c>
      <c r="D298">
        <f>16.35117682*1.059464^C298</f>
        <v>622.27145634224212</v>
      </c>
      <c r="E298">
        <f t="shared" si="41"/>
        <v>73.5</v>
      </c>
      <c r="I298">
        <f t="shared" si="42"/>
        <v>73.5</v>
      </c>
      <c r="J298" t="s">
        <v>176</v>
      </c>
      <c r="K298">
        <v>51</v>
      </c>
      <c r="L298">
        <f>16.35117682*1.059464^K298</f>
        <v>311.13253664194741</v>
      </c>
      <c r="M298">
        <f t="shared" si="43"/>
        <v>73.5</v>
      </c>
      <c r="R298">
        <v>169.75</v>
      </c>
      <c r="S298" t="s">
        <v>239</v>
      </c>
      <c r="T298">
        <v>54</v>
      </c>
      <c r="U298">
        <f t="shared" si="38"/>
        <v>370.00197512709912</v>
      </c>
      <c r="V298">
        <f t="shared" si="44"/>
        <v>2</v>
      </c>
      <c r="W298">
        <v>169.75</v>
      </c>
    </row>
    <row r="299" spans="1:27" x14ac:dyDescent="0.2">
      <c r="A299">
        <f t="shared" si="40"/>
        <v>73.75</v>
      </c>
      <c r="E299">
        <f t="shared" si="41"/>
        <v>73.75</v>
      </c>
      <c r="I299">
        <f t="shared" si="42"/>
        <v>73.75</v>
      </c>
      <c r="M299">
        <f t="shared" si="43"/>
        <v>73.75</v>
      </c>
      <c r="R299">
        <v>171</v>
      </c>
      <c r="S299" t="s">
        <v>255</v>
      </c>
      <c r="T299">
        <v>64</v>
      </c>
      <c r="U299">
        <f t="shared" si="38"/>
        <v>659.27420622217721</v>
      </c>
      <c r="V299">
        <f t="shared" si="44"/>
        <v>10</v>
      </c>
      <c r="W299">
        <v>171</v>
      </c>
    </row>
    <row r="300" spans="1:27" x14ac:dyDescent="0.2">
      <c r="A300">
        <f t="shared" si="40"/>
        <v>74</v>
      </c>
      <c r="B300" t="s">
        <v>166</v>
      </c>
      <c r="C300">
        <v>66</v>
      </c>
      <c r="D300">
        <f>16.35117682*1.059464^C300</f>
        <v>740.01154105206626</v>
      </c>
      <c r="E300">
        <f t="shared" si="41"/>
        <v>74</v>
      </c>
      <c r="I300">
        <f t="shared" si="42"/>
        <v>74</v>
      </c>
      <c r="J300" t="s">
        <v>391</v>
      </c>
      <c r="K300">
        <v>54</v>
      </c>
      <c r="L300">
        <f>16.35117682*1.059464^K300</f>
        <v>370.00197512709912</v>
      </c>
      <c r="M300">
        <f t="shared" si="43"/>
        <v>74</v>
      </c>
      <c r="R300">
        <v>171.5</v>
      </c>
      <c r="S300" t="s">
        <v>245</v>
      </c>
      <c r="T300">
        <v>67</v>
      </c>
      <c r="U300">
        <f t="shared" si="38"/>
        <v>784.01558732918636</v>
      </c>
      <c r="V300">
        <f t="shared" si="44"/>
        <v>3</v>
      </c>
      <c r="W300">
        <v>171.5</v>
      </c>
    </row>
    <row r="301" spans="1:27" x14ac:dyDescent="0.2">
      <c r="A301">
        <f t="shared" si="40"/>
        <v>74.25</v>
      </c>
      <c r="E301">
        <f t="shared" si="41"/>
        <v>74.25</v>
      </c>
      <c r="I301">
        <f t="shared" si="42"/>
        <v>74.25</v>
      </c>
      <c r="M301">
        <f t="shared" si="43"/>
        <v>74.25</v>
      </c>
      <c r="R301">
        <v>171.75</v>
      </c>
      <c r="S301" t="s">
        <v>256</v>
      </c>
      <c r="T301">
        <v>69</v>
      </c>
      <c r="U301">
        <f t="shared" si="38"/>
        <v>880.02924657542201</v>
      </c>
      <c r="V301">
        <f t="shared" si="44"/>
        <v>2</v>
      </c>
      <c r="W301">
        <v>171.75</v>
      </c>
    </row>
    <row r="302" spans="1:27" x14ac:dyDescent="0.2">
      <c r="A302">
        <f t="shared" si="40"/>
        <v>74.5</v>
      </c>
      <c r="B302" t="s">
        <v>165</v>
      </c>
      <c r="C302">
        <v>63</v>
      </c>
      <c r="D302">
        <f>16.35117682*1.059464^C302</f>
        <v>622.27145634224212</v>
      </c>
      <c r="E302">
        <f t="shared" si="41"/>
        <v>74.5</v>
      </c>
      <c r="I302">
        <f t="shared" si="42"/>
        <v>74.5</v>
      </c>
      <c r="J302" t="s">
        <v>17</v>
      </c>
      <c r="K302">
        <v>51</v>
      </c>
      <c r="L302">
        <f>16.35117682*1.059464^K302</f>
        <v>311.13253664194741</v>
      </c>
      <c r="M302">
        <f t="shared" si="43"/>
        <v>74.5</v>
      </c>
      <c r="R302">
        <v>172</v>
      </c>
      <c r="S302" t="s">
        <v>410</v>
      </c>
      <c r="T302">
        <v>72</v>
      </c>
      <c r="U302">
        <f t="shared" si="38"/>
        <v>1046.5397252143878</v>
      </c>
      <c r="V302">
        <f t="shared" si="44"/>
        <v>3</v>
      </c>
      <c r="W302">
        <v>172</v>
      </c>
      <c r="X302" t="s">
        <v>245</v>
      </c>
      <c r="Y302">
        <v>67</v>
      </c>
      <c r="Z302">
        <f>16.35117682*1.059464^Y302</f>
        <v>784.01558732918636</v>
      </c>
      <c r="AA302">
        <f>ABS(Y302-T301)</f>
        <v>2</v>
      </c>
    </row>
    <row r="303" spans="1:27" x14ac:dyDescent="0.2">
      <c r="A303">
        <f t="shared" si="40"/>
        <v>74.75</v>
      </c>
      <c r="E303">
        <f t="shared" si="41"/>
        <v>74.75</v>
      </c>
      <c r="I303">
        <f t="shared" si="42"/>
        <v>74.75</v>
      </c>
      <c r="M303">
        <f t="shared" si="43"/>
        <v>74.75</v>
      </c>
      <c r="R303">
        <v>173</v>
      </c>
      <c r="S303" t="s">
        <v>240</v>
      </c>
      <c r="T303">
        <v>60</v>
      </c>
      <c r="U303">
        <f t="shared" si="38"/>
        <v>523.26449507501752</v>
      </c>
      <c r="V303">
        <f t="shared" si="44"/>
        <v>12</v>
      </c>
      <c r="W303">
        <v>173</v>
      </c>
      <c r="X303" t="s">
        <v>239</v>
      </c>
      <c r="Y303">
        <v>55</v>
      </c>
      <c r="Z303">
        <f>16.35117682*1.059464^Y303</f>
        <v>392.00377257605692</v>
      </c>
      <c r="AA303">
        <f>ABS(Y303-Y302)</f>
        <v>12</v>
      </c>
    </row>
    <row r="304" spans="1:27" x14ac:dyDescent="0.2">
      <c r="A304">
        <f t="shared" si="40"/>
        <v>75</v>
      </c>
      <c r="B304" t="s">
        <v>166</v>
      </c>
      <c r="C304">
        <v>66</v>
      </c>
      <c r="D304">
        <f>16.35117682*1.059464^C304</f>
        <v>740.01154105206626</v>
      </c>
      <c r="E304">
        <f t="shared" si="41"/>
        <v>75</v>
      </c>
      <c r="I304">
        <f t="shared" si="42"/>
        <v>75</v>
      </c>
      <c r="J304" t="s">
        <v>18</v>
      </c>
      <c r="K304">
        <v>54</v>
      </c>
      <c r="L304">
        <f>16.35117682*1.059464^K304</f>
        <v>370.00197512709912</v>
      </c>
      <c r="M304">
        <f t="shared" si="43"/>
        <v>75</v>
      </c>
    </row>
    <row r="305" spans="1:41" x14ac:dyDescent="0.2">
      <c r="A305">
        <f t="shared" si="40"/>
        <v>75.25</v>
      </c>
      <c r="E305">
        <f t="shared" si="41"/>
        <v>75.25</v>
      </c>
      <c r="I305">
        <f t="shared" si="42"/>
        <v>75.25</v>
      </c>
      <c r="M305">
        <f t="shared" si="43"/>
        <v>75.25</v>
      </c>
      <c r="R305" t="s">
        <v>258</v>
      </c>
      <c r="W305" t="s">
        <v>157</v>
      </c>
      <c r="AB305" t="s">
        <v>26</v>
      </c>
      <c r="AH305" t="s">
        <v>158</v>
      </c>
    </row>
    <row r="306" spans="1:41" x14ac:dyDescent="0.2">
      <c r="A306">
        <f t="shared" si="40"/>
        <v>75.5</v>
      </c>
      <c r="E306">
        <f t="shared" si="41"/>
        <v>75.5</v>
      </c>
      <c r="I306">
        <f t="shared" si="42"/>
        <v>75.5</v>
      </c>
      <c r="J306" t="s">
        <v>19</v>
      </c>
      <c r="K306">
        <v>59</v>
      </c>
      <c r="L306">
        <f>16.35117682*1.059464^K306</f>
        <v>493.89549345236594</v>
      </c>
      <c r="M306">
        <f t="shared" si="43"/>
        <v>75.5</v>
      </c>
      <c r="R306" t="s">
        <v>475</v>
      </c>
      <c r="S306" t="s">
        <v>350</v>
      </c>
      <c r="T306" t="s">
        <v>351</v>
      </c>
      <c r="U306" t="s">
        <v>160</v>
      </c>
      <c r="V306" t="s">
        <v>399</v>
      </c>
      <c r="W306" t="s">
        <v>475</v>
      </c>
      <c r="X306" t="s">
        <v>384</v>
      </c>
      <c r="Y306" t="s">
        <v>351</v>
      </c>
      <c r="Z306" t="s">
        <v>160</v>
      </c>
      <c r="AA306" t="s">
        <v>399</v>
      </c>
      <c r="AB306" t="s">
        <v>475</v>
      </c>
      <c r="AC306" t="s">
        <v>384</v>
      </c>
      <c r="AD306" t="s">
        <v>351</v>
      </c>
      <c r="AE306" t="s">
        <v>160</v>
      </c>
      <c r="AF306" t="s">
        <v>399</v>
      </c>
      <c r="AH306" t="s">
        <v>159</v>
      </c>
      <c r="AI306" t="s">
        <v>350</v>
      </c>
      <c r="AJ306" t="s">
        <v>351</v>
      </c>
      <c r="AK306" t="s">
        <v>160</v>
      </c>
      <c r="AN306" t="s">
        <v>401</v>
      </c>
    </row>
    <row r="307" spans="1:41" x14ac:dyDescent="0.2">
      <c r="A307">
        <f t="shared" si="40"/>
        <v>75.75</v>
      </c>
      <c r="E307">
        <f t="shared" si="41"/>
        <v>75.75</v>
      </c>
      <c r="I307">
        <f t="shared" si="42"/>
        <v>75.75</v>
      </c>
      <c r="M307">
        <f t="shared" si="43"/>
        <v>75.75</v>
      </c>
      <c r="R307">
        <v>0</v>
      </c>
      <c r="S307" t="s">
        <v>255</v>
      </c>
      <c r="T307">
        <v>64</v>
      </c>
      <c r="U307">
        <f t="shared" ref="U307:U338" si="45">16.35117682*1.059464^T307</f>
        <v>659.27420622217721</v>
      </c>
      <c r="W307">
        <v>0</v>
      </c>
      <c r="AB307">
        <v>4</v>
      </c>
      <c r="AC307" t="s">
        <v>480</v>
      </c>
      <c r="AD307">
        <v>50</v>
      </c>
      <c r="AE307">
        <f t="shared" ref="AE307:AE338" si="46">16.35117682*1.059464^AD307</f>
        <v>293.66975814369101</v>
      </c>
      <c r="AH307">
        <v>4</v>
      </c>
      <c r="AI307" t="s">
        <v>390</v>
      </c>
      <c r="AJ307">
        <v>53</v>
      </c>
      <c r="AK307">
        <f t="shared" ref="AK307:AK318" si="47">16.35117682*1.059464^AJ307</f>
        <v>349.23506143398839</v>
      </c>
    </row>
    <row r="308" spans="1:41" x14ac:dyDescent="0.2">
      <c r="A308">
        <f t="shared" si="40"/>
        <v>76</v>
      </c>
      <c r="B308" t="s">
        <v>255</v>
      </c>
      <c r="C308">
        <v>64</v>
      </c>
      <c r="D308">
        <f>16.35117682*1.059464^C308</f>
        <v>659.27420622217721</v>
      </c>
      <c r="E308">
        <f t="shared" si="41"/>
        <v>76</v>
      </c>
      <c r="I308">
        <f t="shared" si="42"/>
        <v>76</v>
      </c>
      <c r="J308" t="s">
        <v>20</v>
      </c>
      <c r="K308">
        <v>60</v>
      </c>
      <c r="L308">
        <f>16.35117682*1.059464^K308</f>
        <v>523.26449507501752</v>
      </c>
      <c r="M308">
        <f t="shared" si="43"/>
        <v>76</v>
      </c>
      <c r="R308">
        <v>0.75</v>
      </c>
      <c r="S308" t="s">
        <v>255</v>
      </c>
      <c r="T308">
        <v>64</v>
      </c>
      <c r="U308">
        <f t="shared" si="45"/>
        <v>659.27420622217721</v>
      </c>
      <c r="V308">
        <f t="shared" ref="V308:V339" si="48">ABS(T308-T307)</f>
        <v>0</v>
      </c>
      <c r="W308">
        <v>0.75</v>
      </c>
      <c r="AB308">
        <v>5</v>
      </c>
      <c r="AC308" t="s">
        <v>481</v>
      </c>
      <c r="AD308">
        <v>52</v>
      </c>
      <c r="AE308">
        <f t="shared" si="46"/>
        <v>329.63372180082422</v>
      </c>
      <c r="AF308">
        <f t="shared" ref="AF308:AF339" si="49">ABS(AD308-AD307)</f>
        <v>2</v>
      </c>
      <c r="AG308" s="16">
        <v>2</v>
      </c>
      <c r="AH308">
        <v>5</v>
      </c>
      <c r="AI308" t="s">
        <v>392</v>
      </c>
      <c r="AJ308">
        <v>55</v>
      </c>
      <c r="AK308">
        <f t="shared" si="47"/>
        <v>392.00377257605692</v>
      </c>
      <c r="AL308">
        <f t="shared" ref="AL308:AL318" si="50">ABS(AJ308-AJ307)</f>
        <v>2</v>
      </c>
      <c r="AM308" s="16">
        <v>13</v>
      </c>
      <c r="AN308" t="s">
        <v>355</v>
      </c>
      <c r="AO308" t="s">
        <v>396</v>
      </c>
    </row>
    <row r="309" spans="1:41" x14ac:dyDescent="0.2">
      <c r="A309">
        <f t="shared" si="40"/>
        <v>76.25</v>
      </c>
      <c r="B309" t="s">
        <v>245</v>
      </c>
      <c r="C309">
        <v>67</v>
      </c>
      <c r="D309">
        <f>16.35117682*1.059464^C309</f>
        <v>784.01558732918636</v>
      </c>
      <c r="E309">
        <f t="shared" si="41"/>
        <v>76.25</v>
      </c>
      <c r="I309">
        <f t="shared" si="42"/>
        <v>76.25</v>
      </c>
      <c r="M309">
        <f t="shared" si="43"/>
        <v>76.25</v>
      </c>
      <c r="R309">
        <v>1.5</v>
      </c>
      <c r="S309" t="s">
        <v>255</v>
      </c>
      <c r="T309">
        <v>64</v>
      </c>
      <c r="U309">
        <f t="shared" si="45"/>
        <v>659.27420622217721</v>
      </c>
      <c r="V309">
        <f t="shared" si="48"/>
        <v>0</v>
      </c>
      <c r="W309">
        <v>1.5</v>
      </c>
      <c r="AB309">
        <v>6</v>
      </c>
      <c r="AC309" t="s">
        <v>480</v>
      </c>
      <c r="AD309">
        <v>50</v>
      </c>
      <c r="AE309">
        <f t="shared" si="46"/>
        <v>293.66975814369101</v>
      </c>
      <c r="AF309">
        <f t="shared" si="49"/>
        <v>2</v>
      </c>
      <c r="AG309" s="16">
        <v>2</v>
      </c>
      <c r="AH309">
        <v>6</v>
      </c>
      <c r="AI309" t="s">
        <v>390</v>
      </c>
      <c r="AJ309">
        <v>53</v>
      </c>
      <c r="AK309">
        <f t="shared" si="47"/>
        <v>349.23506143398839</v>
      </c>
      <c r="AL309">
        <f t="shared" si="50"/>
        <v>2</v>
      </c>
      <c r="AM309" s="16">
        <v>13</v>
      </c>
      <c r="AN309">
        <f>SUM(AF308:AF437,AL308:AL318,AL332,AL360:AL371,AL412:AL423,AL437)</f>
        <v>472</v>
      </c>
      <c r="AO309">
        <f>(437-306)+(12)*3+2</f>
        <v>169</v>
      </c>
    </row>
    <row r="310" spans="1:41" x14ac:dyDescent="0.2">
      <c r="A310">
        <f t="shared" si="40"/>
        <v>76.5</v>
      </c>
      <c r="E310">
        <f t="shared" si="41"/>
        <v>76.5</v>
      </c>
      <c r="I310">
        <f t="shared" si="42"/>
        <v>76.5</v>
      </c>
      <c r="M310">
        <f t="shared" si="43"/>
        <v>76.5</v>
      </c>
      <c r="R310">
        <v>2.25</v>
      </c>
      <c r="S310" t="s">
        <v>255</v>
      </c>
      <c r="T310">
        <v>64</v>
      </c>
      <c r="U310">
        <f t="shared" si="45"/>
        <v>659.27420622217721</v>
      </c>
      <c r="V310">
        <f t="shared" si="48"/>
        <v>0</v>
      </c>
      <c r="W310">
        <v>2.25</v>
      </c>
      <c r="AB310">
        <v>7</v>
      </c>
      <c r="AC310" t="s">
        <v>480</v>
      </c>
      <c r="AD310">
        <v>50</v>
      </c>
      <c r="AE310">
        <f t="shared" si="46"/>
        <v>293.66975814369101</v>
      </c>
      <c r="AF310">
        <f t="shared" si="49"/>
        <v>0</v>
      </c>
      <c r="AG310" s="16">
        <v>0</v>
      </c>
      <c r="AH310">
        <v>7</v>
      </c>
      <c r="AI310" t="s">
        <v>390</v>
      </c>
      <c r="AJ310">
        <v>53</v>
      </c>
      <c r="AK310">
        <f t="shared" si="47"/>
        <v>349.23506143398839</v>
      </c>
      <c r="AL310">
        <f t="shared" si="50"/>
        <v>0</v>
      </c>
      <c r="AM310" s="16">
        <v>12</v>
      </c>
    </row>
    <row r="311" spans="1:41" x14ac:dyDescent="0.2">
      <c r="A311">
        <f t="shared" si="40"/>
        <v>76.75</v>
      </c>
      <c r="B311" t="s">
        <v>255</v>
      </c>
      <c r="C311">
        <v>64</v>
      </c>
      <c r="D311">
        <f>16.35117682*1.059464^C311</f>
        <v>659.27420622217721</v>
      </c>
      <c r="E311">
        <f t="shared" si="41"/>
        <v>76.75</v>
      </c>
      <c r="I311">
        <f t="shared" si="42"/>
        <v>76.75</v>
      </c>
      <c r="M311">
        <f t="shared" si="43"/>
        <v>76.75</v>
      </c>
      <c r="R311">
        <v>3</v>
      </c>
      <c r="S311" t="s">
        <v>255</v>
      </c>
      <c r="T311">
        <v>64</v>
      </c>
      <c r="U311">
        <f t="shared" si="45"/>
        <v>659.27420622217721</v>
      </c>
      <c r="V311">
        <f t="shared" si="48"/>
        <v>0</v>
      </c>
      <c r="W311">
        <v>3</v>
      </c>
      <c r="AB311">
        <v>8</v>
      </c>
      <c r="AC311" t="s">
        <v>479</v>
      </c>
      <c r="AD311">
        <v>48</v>
      </c>
      <c r="AE311">
        <f t="shared" si="46"/>
        <v>261.62956379894968</v>
      </c>
      <c r="AF311">
        <f t="shared" si="49"/>
        <v>2</v>
      </c>
      <c r="AG311" s="16">
        <v>2</v>
      </c>
      <c r="AH311">
        <v>8</v>
      </c>
      <c r="AI311" t="s">
        <v>222</v>
      </c>
      <c r="AJ311">
        <v>51</v>
      </c>
      <c r="AK311">
        <f t="shared" si="47"/>
        <v>311.13253664194741</v>
      </c>
      <c r="AL311">
        <f t="shared" si="50"/>
        <v>2</v>
      </c>
      <c r="AM311" s="16">
        <v>14</v>
      </c>
      <c r="AN311" t="s">
        <v>356</v>
      </c>
    </row>
    <row r="312" spans="1:41" x14ac:dyDescent="0.2">
      <c r="A312">
        <f t="shared" si="40"/>
        <v>77</v>
      </c>
      <c r="B312" t="s">
        <v>245</v>
      </c>
      <c r="C312">
        <v>67</v>
      </c>
      <c r="D312">
        <f>16.35117682*1.059464^C312</f>
        <v>784.01558732918636</v>
      </c>
      <c r="E312">
        <f t="shared" si="41"/>
        <v>77</v>
      </c>
      <c r="I312">
        <f t="shared" si="42"/>
        <v>77</v>
      </c>
      <c r="J312" t="s">
        <v>21</v>
      </c>
      <c r="K312">
        <v>59</v>
      </c>
      <c r="L312">
        <f>16.35117682*1.059464^K312</f>
        <v>493.89549345236594</v>
      </c>
      <c r="M312">
        <f t="shared" si="43"/>
        <v>77</v>
      </c>
      <c r="R312">
        <v>4</v>
      </c>
      <c r="S312" t="s">
        <v>243</v>
      </c>
      <c r="T312">
        <v>57</v>
      </c>
      <c r="U312">
        <f t="shared" si="45"/>
        <v>440.01010976071973</v>
      </c>
      <c r="V312">
        <f t="shared" si="48"/>
        <v>7</v>
      </c>
      <c r="W312">
        <v>4</v>
      </c>
      <c r="AB312">
        <v>9</v>
      </c>
      <c r="AC312" t="s">
        <v>292</v>
      </c>
      <c r="AD312">
        <v>46</v>
      </c>
      <c r="AE312">
        <f t="shared" si="46"/>
        <v>233.08504452861115</v>
      </c>
      <c r="AF312">
        <f t="shared" si="49"/>
        <v>2</v>
      </c>
      <c r="AG312" s="16">
        <v>2</v>
      </c>
      <c r="AH312">
        <v>9</v>
      </c>
      <c r="AI312" t="s">
        <v>459</v>
      </c>
      <c r="AJ312">
        <v>49</v>
      </c>
      <c r="AK312">
        <f t="shared" si="47"/>
        <v>277.18710418069043</v>
      </c>
      <c r="AL312">
        <f t="shared" si="50"/>
        <v>2</v>
      </c>
      <c r="AM312" s="16">
        <v>12</v>
      </c>
      <c r="AN312">
        <f>AN309/(167)</f>
        <v>2.8263473053892216</v>
      </c>
    </row>
    <row r="313" spans="1:41" x14ac:dyDescent="0.2">
      <c r="A313">
        <f t="shared" si="40"/>
        <v>77.25</v>
      </c>
      <c r="E313">
        <f t="shared" si="41"/>
        <v>77.25</v>
      </c>
      <c r="I313">
        <f t="shared" si="42"/>
        <v>77.25</v>
      </c>
      <c r="M313">
        <f t="shared" si="43"/>
        <v>77.25</v>
      </c>
      <c r="R313">
        <v>4.75</v>
      </c>
      <c r="S313" t="s">
        <v>243</v>
      </c>
      <c r="T313">
        <v>57</v>
      </c>
      <c r="U313">
        <f t="shared" si="45"/>
        <v>440.01010976071973</v>
      </c>
      <c r="V313">
        <f t="shared" si="48"/>
        <v>0</v>
      </c>
      <c r="W313">
        <v>4.75</v>
      </c>
      <c r="AB313">
        <v>10</v>
      </c>
      <c r="AC313" t="s">
        <v>168</v>
      </c>
      <c r="AD313">
        <v>44</v>
      </c>
      <c r="AE313">
        <f t="shared" si="46"/>
        <v>207.65481237683719</v>
      </c>
      <c r="AF313">
        <f t="shared" si="49"/>
        <v>2</v>
      </c>
      <c r="AG313" s="16">
        <v>2</v>
      </c>
      <c r="AH313">
        <v>10</v>
      </c>
      <c r="AI313" t="s">
        <v>307</v>
      </c>
      <c r="AJ313">
        <v>47</v>
      </c>
      <c r="AK313">
        <f t="shared" si="47"/>
        <v>246.94521361646048</v>
      </c>
      <c r="AL313">
        <f t="shared" si="50"/>
        <v>2</v>
      </c>
      <c r="AM313" s="16">
        <v>14</v>
      </c>
    </row>
    <row r="314" spans="1:41" x14ac:dyDescent="0.2">
      <c r="A314">
        <f t="shared" si="40"/>
        <v>77.5</v>
      </c>
      <c r="B314" t="s">
        <v>255</v>
      </c>
      <c r="C314">
        <v>64</v>
      </c>
      <c r="D314">
        <f>16.35117682*1.059464^C314</f>
        <v>659.27420622217721</v>
      </c>
      <c r="E314">
        <f t="shared" si="41"/>
        <v>77.5</v>
      </c>
      <c r="I314">
        <f t="shared" si="42"/>
        <v>77.5</v>
      </c>
      <c r="M314">
        <f t="shared" si="43"/>
        <v>77.5</v>
      </c>
      <c r="R314">
        <v>5.5</v>
      </c>
      <c r="S314" t="s">
        <v>243</v>
      </c>
      <c r="T314">
        <v>57</v>
      </c>
      <c r="U314">
        <f t="shared" si="45"/>
        <v>440.01010976071973</v>
      </c>
      <c r="V314">
        <f t="shared" si="48"/>
        <v>0</v>
      </c>
      <c r="W314">
        <v>5.5</v>
      </c>
      <c r="AB314">
        <v>11</v>
      </c>
      <c r="AC314" t="s">
        <v>169</v>
      </c>
      <c r="AD314">
        <v>42</v>
      </c>
      <c r="AE314">
        <f t="shared" si="46"/>
        <v>184.99908988354849</v>
      </c>
      <c r="AF314">
        <f t="shared" si="49"/>
        <v>2</v>
      </c>
      <c r="AG314" s="16">
        <v>2</v>
      </c>
      <c r="AH314">
        <v>11</v>
      </c>
      <c r="AI314" t="s">
        <v>487</v>
      </c>
      <c r="AJ314">
        <v>45</v>
      </c>
      <c r="AK314">
        <f t="shared" si="47"/>
        <v>220.00279814001337</v>
      </c>
      <c r="AL314">
        <f t="shared" si="50"/>
        <v>2</v>
      </c>
      <c r="AM314" s="16">
        <v>12</v>
      </c>
    </row>
    <row r="315" spans="1:41" x14ac:dyDescent="0.2">
      <c r="A315">
        <f t="shared" si="40"/>
        <v>77.75</v>
      </c>
      <c r="E315">
        <f t="shared" si="41"/>
        <v>77.75</v>
      </c>
      <c r="I315">
        <f t="shared" si="42"/>
        <v>77.75</v>
      </c>
      <c r="M315">
        <f t="shared" si="43"/>
        <v>77.75</v>
      </c>
      <c r="R315">
        <v>6</v>
      </c>
      <c r="S315" t="s">
        <v>243</v>
      </c>
      <c r="T315">
        <v>57</v>
      </c>
      <c r="U315">
        <f t="shared" si="45"/>
        <v>440.01010976071973</v>
      </c>
      <c r="V315">
        <f t="shared" si="48"/>
        <v>0</v>
      </c>
      <c r="W315">
        <v>6</v>
      </c>
      <c r="AB315">
        <v>12</v>
      </c>
      <c r="AC315" t="s">
        <v>29</v>
      </c>
      <c r="AD315">
        <v>40</v>
      </c>
      <c r="AE315">
        <f t="shared" si="46"/>
        <v>164.8151702626221</v>
      </c>
      <c r="AF315">
        <f t="shared" si="49"/>
        <v>2</v>
      </c>
      <c r="AG315" s="16">
        <v>2</v>
      </c>
      <c r="AH315">
        <v>12</v>
      </c>
      <c r="AI315" t="s">
        <v>444</v>
      </c>
      <c r="AJ315">
        <v>43</v>
      </c>
      <c r="AK315">
        <f t="shared" si="47"/>
        <v>195.99987576438383</v>
      </c>
      <c r="AL315">
        <f t="shared" si="50"/>
        <v>2</v>
      </c>
      <c r="AM315" s="16">
        <v>14</v>
      </c>
      <c r="AN315" t="s">
        <v>402</v>
      </c>
    </row>
    <row r="316" spans="1:41" x14ac:dyDescent="0.2">
      <c r="A316">
        <f t="shared" si="40"/>
        <v>78</v>
      </c>
      <c r="B316" t="s">
        <v>240</v>
      </c>
      <c r="C316">
        <v>60</v>
      </c>
      <c r="D316">
        <f>16.35117682*1.059464^C316</f>
        <v>523.26449507501752</v>
      </c>
      <c r="E316">
        <f t="shared" si="41"/>
        <v>78</v>
      </c>
      <c r="I316">
        <f t="shared" si="42"/>
        <v>78</v>
      </c>
      <c r="J316" t="s">
        <v>22</v>
      </c>
      <c r="K316">
        <v>57</v>
      </c>
      <c r="L316">
        <f>16.35117682*1.059464^K316</f>
        <v>440.01010976071973</v>
      </c>
      <c r="M316">
        <f t="shared" si="43"/>
        <v>78</v>
      </c>
      <c r="R316">
        <v>8.25</v>
      </c>
      <c r="S316" t="s">
        <v>243</v>
      </c>
      <c r="T316">
        <v>57</v>
      </c>
      <c r="U316">
        <f t="shared" si="45"/>
        <v>440.01010976071973</v>
      </c>
      <c r="V316">
        <f t="shared" si="48"/>
        <v>0</v>
      </c>
      <c r="W316">
        <v>8.25</v>
      </c>
      <c r="AB316">
        <v>13</v>
      </c>
      <c r="AC316" t="s">
        <v>28</v>
      </c>
      <c r="AD316">
        <v>38</v>
      </c>
      <c r="AE316">
        <f t="shared" si="46"/>
        <v>146.83337288738056</v>
      </c>
      <c r="AF316">
        <f t="shared" si="49"/>
        <v>2</v>
      </c>
      <c r="AG316" s="16">
        <v>2</v>
      </c>
      <c r="AH316">
        <v>13</v>
      </c>
      <c r="AI316" t="s">
        <v>318</v>
      </c>
      <c r="AJ316">
        <v>41</v>
      </c>
      <c r="AK316">
        <f t="shared" si="47"/>
        <v>174.61573954711864</v>
      </c>
      <c r="AL316">
        <f t="shared" si="50"/>
        <v>2</v>
      </c>
      <c r="AM316" s="16">
        <v>12</v>
      </c>
    </row>
    <row r="317" spans="1:41" x14ac:dyDescent="0.2">
      <c r="A317">
        <f t="shared" si="40"/>
        <v>78.25</v>
      </c>
      <c r="B317" t="s">
        <v>255</v>
      </c>
      <c r="C317">
        <v>64</v>
      </c>
      <c r="D317">
        <f>16.35117682*1.059464^C317</f>
        <v>659.27420622217721</v>
      </c>
      <c r="E317">
        <f t="shared" si="41"/>
        <v>78.25</v>
      </c>
      <c r="I317">
        <f t="shared" si="42"/>
        <v>78.25</v>
      </c>
      <c r="M317">
        <f t="shared" si="43"/>
        <v>78.25</v>
      </c>
      <c r="R317">
        <v>9</v>
      </c>
      <c r="S317" t="s">
        <v>481</v>
      </c>
      <c r="T317">
        <v>52</v>
      </c>
      <c r="U317">
        <f t="shared" si="45"/>
        <v>329.63372180082422</v>
      </c>
      <c r="V317">
        <f t="shared" si="48"/>
        <v>5</v>
      </c>
      <c r="W317">
        <v>9</v>
      </c>
      <c r="AB317">
        <v>14</v>
      </c>
      <c r="AC317" t="s">
        <v>35</v>
      </c>
      <c r="AD317">
        <v>38</v>
      </c>
      <c r="AE317">
        <f t="shared" si="46"/>
        <v>146.83337288738056</v>
      </c>
      <c r="AF317">
        <f t="shared" si="49"/>
        <v>0</v>
      </c>
      <c r="AG317" s="16">
        <v>0</v>
      </c>
      <c r="AH317">
        <v>14</v>
      </c>
      <c r="AI317" t="s">
        <v>318</v>
      </c>
      <c r="AJ317">
        <v>41</v>
      </c>
      <c r="AK317">
        <f t="shared" si="47"/>
        <v>174.61573954711864</v>
      </c>
      <c r="AL317">
        <f t="shared" si="50"/>
        <v>0</v>
      </c>
      <c r="AM317" s="16">
        <v>13</v>
      </c>
      <c r="AN317" t="s">
        <v>235</v>
      </c>
      <c r="AO317" t="s">
        <v>396</v>
      </c>
    </row>
    <row r="318" spans="1:41" x14ac:dyDescent="0.2">
      <c r="A318">
        <f t="shared" si="40"/>
        <v>78.5</v>
      </c>
      <c r="E318">
        <f t="shared" si="41"/>
        <v>78.5</v>
      </c>
      <c r="I318">
        <f t="shared" si="42"/>
        <v>78.5</v>
      </c>
      <c r="M318">
        <f t="shared" si="43"/>
        <v>78.5</v>
      </c>
      <c r="R318">
        <v>10</v>
      </c>
      <c r="S318" t="s">
        <v>481</v>
      </c>
      <c r="T318">
        <v>52</v>
      </c>
      <c r="U318">
        <f t="shared" si="45"/>
        <v>329.63372180082422</v>
      </c>
      <c r="V318">
        <f t="shared" si="48"/>
        <v>0</v>
      </c>
      <c r="W318">
        <v>10</v>
      </c>
      <c r="AB318">
        <v>15</v>
      </c>
      <c r="AC318" t="s">
        <v>36</v>
      </c>
      <c r="AD318">
        <v>37</v>
      </c>
      <c r="AE318">
        <f t="shared" si="46"/>
        <v>138.5921304427338</v>
      </c>
      <c r="AF318">
        <f t="shared" si="49"/>
        <v>1</v>
      </c>
      <c r="AG318" s="16">
        <v>1</v>
      </c>
      <c r="AH318">
        <v>15</v>
      </c>
      <c r="AI318" t="s">
        <v>318</v>
      </c>
      <c r="AJ318">
        <v>41</v>
      </c>
      <c r="AK318">
        <f t="shared" si="47"/>
        <v>174.61573954711864</v>
      </c>
      <c r="AL318">
        <f t="shared" si="50"/>
        <v>0</v>
      </c>
      <c r="AM318" s="16">
        <v>12</v>
      </c>
      <c r="AN318">
        <f>SUM(V308:V456,AA336,AA340,AA343:AA345,AA351,AA353,AA356:AA358,AA399,AA402:AA404,AA410,AA412,AA415:AA417,AA456)</f>
        <v>524</v>
      </c>
      <c r="AO318">
        <f>(456-306)+20</f>
        <v>170</v>
      </c>
    </row>
    <row r="319" spans="1:41" x14ac:dyDescent="0.2">
      <c r="A319">
        <f t="shared" si="40"/>
        <v>78.75</v>
      </c>
      <c r="B319" t="s">
        <v>240</v>
      </c>
      <c r="C319">
        <v>60</v>
      </c>
      <c r="D319">
        <f>16.35117682*1.059464^C319</f>
        <v>523.26449507501752</v>
      </c>
      <c r="E319">
        <f t="shared" si="41"/>
        <v>78.75</v>
      </c>
      <c r="I319">
        <f t="shared" si="42"/>
        <v>78.75</v>
      </c>
      <c r="M319">
        <f t="shared" si="43"/>
        <v>78.75</v>
      </c>
      <c r="R319">
        <v>10.75</v>
      </c>
      <c r="S319" t="s">
        <v>481</v>
      </c>
      <c r="T319">
        <v>52</v>
      </c>
      <c r="U319">
        <f t="shared" si="45"/>
        <v>329.63372180082422</v>
      </c>
      <c r="V319">
        <f t="shared" si="48"/>
        <v>0</v>
      </c>
      <c r="W319">
        <v>10.75</v>
      </c>
      <c r="AB319">
        <v>16</v>
      </c>
      <c r="AC319" t="s">
        <v>27</v>
      </c>
      <c r="AD319">
        <v>36</v>
      </c>
      <c r="AE319">
        <f t="shared" si="46"/>
        <v>130.81344004395982</v>
      </c>
      <c r="AF319">
        <f t="shared" si="49"/>
        <v>1</v>
      </c>
      <c r="AG319" s="16">
        <v>1</v>
      </c>
      <c r="AH319">
        <v>16</v>
      </c>
      <c r="AM319" s="16">
        <v>14</v>
      </c>
    </row>
    <row r="320" spans="1:41" x14ac:dyDescent="0.2">
      <c r="A320">
        <f t="shared" si="40"/>
        <v>79</v>
      </c>
      <c r="B320" t="s">
        <v>255</v>
      </c>
      <c r="C320">
        <v>64</v>
      </c>
      <c r="D320">
        <f>16.35117682*1.059464^C320</f>
        <v>659.27420622217721</v>
      </c>
      <c r="E320">
        <f t="shared" si="41"/>
        <v>79</v>
      </c>
      <c r="I320">
        <f t="shared" si="42"/>
        <v>79</v>
      </c>
      <c r="J320" t="s">
        <v>23</v>
      </c>
      <c r="K320">
        <v>55</v>
      </c>
      <c r="L320">
        <f>16.35117682*1.059464^K320</f>
        <v>392.00377257605692</v>
      </c>
      <c r="M320">
        <f t="shared" si="43"/>
        <v>79</v>
      </c>
      <c r="R320">
        <v>12</v>
      </c>
      <c r="S320" t="s">
        <v>479</v>
      </c>
      <c r="T320">
        <v>48</v>
      </c>
      <c r="U320">
        <f t="shared" si="45"/>
        <v>261.62956379894968</v>
      </c>
      <c r="V320">
        <f t="shared" si="48"/>
        <v>4</v>
      </c>
      <c r="W320">
        <v>12</v>
      </c>
      <c r="AB320">
        <v>17</v>
      </c>
      <c r="AC320" t="s">
        <v>412</v>
      </c>
      <c r="AD320">
        <v>35</v>
      </c>
      <c r="AE320">
        <f t="shared" si="46"/>
        <v>123.4713402663609</v>
      </c>
      <c r="AF320">
        <f t="shared" si="49"/>
        <v>1</v>
      </c>
      <c r="AG320" s="16">
        <v>1</v>
      </c>
      <c r="AH320">
        <v>17</v>
      </c>
      <c r="AM320" s="16">
        <v>12</v>
      </c>
      <c r="AN320" t="s">
        <v>236</v>
      </c>
    </row>
    <row r="321" spans="1:40" x14ac:dyDescent="0.2">
      <c r="A321">
        <f t="shared" si="40"/>
        <v>79.25</v>
      </c>
      <c r="E321">
        <f t="shared" si="41"/>
        <v>79.25</v>
      </c>
      <c r="I321">
        <f t="shared" si="42"/>
        <v>79.25</v>
      </c>
      <c r="M321">
        <f t="shared" si="43"/>
        <v>79.25</v>
      </c>
      <c r="R321">
        <v>12.75</v>
      </c>
      <c r="S321" t="s">
        <v>479</v>
      </c>
      <c r="T321">
        <v>48</v>
      </c>
      <c r="U321">
        <f t="shared" si="45"/>
        <v>261.62956379894968</v>
      </c>
      <c r="V321">
        <f t="shared" si="48"/>
        <v>0</v>
      </c>
      <c r="W321">
        <v>12.75</v>
      </c>
      <c r="AB321">
        <v>18</v>
      </c>
      <c r="AC321" t="s">
        <v>414</v>
      </c>
      <c r="AD321">
        <v>33</v>
      </c>
      <c r="AE321">
        <f t="shared" si="46"/>
        <v>110.00027071140791</v>
      </c>
      <c r="AF321">
        <f t="shared" si="49"/>
        <v>2</v>
      </c>
      <c r="AG321" s="16">
        <v>2</v>
      </c>
      <c r="AH321">
        <v>18</v>
      </c>
      <c r="AM321" s="16">
        <v>9</v>
      </c>
      <c r="AN321">
        <f>AN318/(169)</f>
        <v>3.1005917159763312</v>
      </c>
    </row>
    <row r="322" spans="1:40" x14ac:dyDescent="0.2">
      <c r="A322">
        <f t="shared" si="40"/>
        <v>79.5</v>
      </c>
      <c r="B322" t="s">
        <v>240</v>
      </c>
      <c r="C322">
        <v>60</v>
      </c>
      <c r="D322">
        <f>16.35117682*1.059464^C322</f>
        <v>523.26449507501752</v>
      </c>
      <c r="E322">
        <f t="shared" si="41"/>
        <v>79.5</v>
      </c>
      <c r="I322">
        <f t="shared" si="42"/>
        <v>79.5</v>
      </c>
      <c r="M322">
        <f t="shared" si="43"/>
        <v>79.5</v>
      </c>
      <c r="R322">
        <v>13.5</v>
      </c>
      <c r="S322" t="s">
        <v>44</v>
      </c>
      <c r="T322">
        <v>43</v>
      </c>
      <c r="U322">
        <f t="shared" si="45"/>
        <v>195.99987576438383</v>
      </c>
      <c r="V322">
        <f t="shared" si="48"/>
        <v>5</v>
      </c>
      <c r="W322">
        <v>13.5</v>
      </c>
      <c r="AB322">
        <v>19</v>
      </c>
      <c r="AC322" t="s">
        <v>45</v>
      </c>
      <c r="AD322">
        <v>31</v>
      </c>
      <c r="AE322">
        <f t="shared" si="46"/>
        <v>97.998932630681253</v>
      </c>
      <c r="AF322">
        <f t="shared" si="49"/>
        <v>2</v>
      </c>
      <c r="AG322" s="16">
        <v>2</v>
      </c>
      <c r="AH322">
        <v>19</v>
      </c>
      <c r="AM322" s="16">
        <v>12</v>
      </c>
    </row>
    <row r="323" spans="1:40" x14ac:dyDescent="0.2">
      <c r="A323">
        <f t="shared" si="40"/>
        <v>79.75</v>
      </c>
      <c r="E323">
        <f t="shared" si="41"/>
        <v>79.75</v>
      </c>
      <c r="I323">
        <f t="shared" si="42"/>
        <v>79.75</v>
      </c>
      <c r="M323">
        <f t="shared" si="43"/>
        <v>79.75</v>
      </c>
      <c r="R323">
        <v>14</v>
      </c>
      <c r="S323" t="s">
        <v>44</v>
      </c>
      <c r="T323">
        <v>43</v>
      </c>
      <c r="U323">
        <f t="shared" si="45"/>
        <v>195.99987576438383</v>
      </c>
      <c r="V323">
        <f t="shared" si="48"/>
        <v>0</v>
      </c>
      <c r="W323">
        <v>14</v>
      </c>
      <c r="AB323">
        <v>20</v>
      </c>
      <c r="AC323" t="s">
        <v>388</v>
      </c>
      <c r="AD323">
        <v>29</v>
      </c>
      <c r="AE323">
        <f t="shared" si="46"/>
        <v>87.306974197808145</v>
      </c>
      <c r="AF323">
        <f t="shared" si="49"/>
        <v>2</v>
      </c>
      <c r="AG323" s="16">
        <v>2</v>
      </c>
      <c r="AH323">
        <v>20</v>
      </c>
      <c r="AM323" s="16">
        <v>10</v>
      </c>
    </row>
    <row r="324" spans="1:40" x14ac:dyDescent="0.2">
      <c r="A324">
        <f t="shared" si="40"/>
        <v>80</v>
      </c>
      <c r="B324" t="s">
        <v>243</v>
      </c>
      <c r="C324">
        <v>57</v>
      </c>
      <c r="D324">
        <f>16.35117682*1.059464^C324</f>
        <v>440.01010976071973</v>
      </c>
      <c r="E324">
        <f t="shared" si="41"/>
        <v>80</v>
      </c>
      <c r="I324">
        <f t="shared" si="42"/>
        <v>80</v>
      </c>
      <c r="J324" t="s">
        <v>480</v>
      </c>
      <c r="K324">
        <v>50</v>
      </c>
      <c r="L324">
        <f>16.35117682*1.059464^K324</f>
        <v>293.66975814369101</v>
      </c>
      <c r="M324">
        <f t="shared" si="43"/>
        <v>80</v>
      </c>
      <c r="N324" t="s">
        <v>390</v>
      </c>
      <c r="O324">
        <v>53</v>
      </c>
      <c r="P324">
        <f>16.35117682*1.059464^O324</f>
        <v>349.23506143398839</v>
      </c>
      <c r="R324">
        <v>16.25</v>
      </c>
      <c r="S324" t="s">
        <v>44</v>
      </c>
      <c r="T324">
        <v>43</v>
      </c>
      <c r="U324">
        <f t="shared" si="45"/>
        <v>195.99987576438383</v>
      </c>
      <c r="V324">
        <f t="shared" si="48"/>
        <v>0</v>
      </c>
      <c r="W324">
        <v>16.25</v>
      </c>
      <c r="AB324">
        <v>21</v>
      </c>
      <c r="AC324" t="s">
        <v>389</v>
      </c>
      <c r="AD324">
        <v>28</v>
      </c>
      <c r="AE324">
        <f t="shared" si="46"/>
        <v>82.406739821087044</v>
      </c>
      <c r="AF324">
        <f t="shared" si="49"/>
        <v>1</v>
      </c>
      <c r="AG324" s="16">
        <v>1</v>
      </c>
      <c r="AH324">
        <v>21</v>
      </c>
      <c r="AM324" s="16">
        <v>2</v>
      </c>
    </row>
    <row r="325" spans="1:40" x14ac:dyDescent="0.2">
      <c r="A325">
        <f t="shared" ref="A325:A388" si="51">A324+0.25</f>
        <v>80.25</v>
      </c>
      <c r="B325" t="s">
        <v>240</v>
      </c>
      <c r="C325">
        <v>60</v>
      </c>
      <c r="D325">
        <f>16.35117682*1.059464^C325</f>
        <v>523.26449507501752</v>
      </c>
      <c r="E325">
        <f t="shared" ref="E325:E388" si="52">E324+0.25</f>
        <v>80.25</v>
      </c>
      <c r="I325">
        <f t="shared" ref="I325:I388" si="53">I324+0.25</f>
        <v>80.25</v>
      </c>
      <c r="M325">
        <f t="shared" ref="M325:M388" si="54">M324+0.25</f>
        <v>80.25</v>
      </c>
      <c r="R325">
        <v>17</v>
      </c>
      <c r="S325" t="s">
        <v>44</v>
      </c>
      <c r="T325">
        <v>43</v>
      </c>
      <c r="U325">
        <f t="shared" si="45"/>
        <v>195.99987576438383</v>
      </c>
      <c r="V325">
        <f t="shared" si="48"/>
        <v>0</v>
      </c>
      <c r="W325">
        <v>17</v>
      </c>
      <c r="AB325">
        <v>22</v>
      </c>
      <c r="AC325" t="s">
        <v>413</v>
      </c>
      <c r="AD325">
        <v>26</v>
      </c>
      <c r="AE325">
        <f t="shared" si="46"/>
        <v>73.415933359182759</v>
      </c>
      <c r="AF325">
        <f t="shared" si="49"/>
        <v>2</v>
      </c>
      <c r="AG325" s="16">
        <v>2</v>
      </c>
      <c r="AH325">
        <v>22</v>
      </c>
      <c r="AM325" s="16">
        <v>3</v>
      </c>
    </row>
    <row r="326" spans="1:40" x14ac:dyDescent="0.2">
      <c r="A326">
        <f t="shared" si="51"/>
        <v>80.5</v>
      </c>
      <c r="E326">
        <f t="shared" si="52"/>
        <v>80.5</v>
      </c>
      <c r="I326">
        <f t="shared" si="53"/>
        <v>80.5</v>
      </c>
      <c r="J326" t="s">
        <v>167</v>
      </c>
      <c r="K326">
        <v>51</v>
      </c>
      <c r="L326">
        <f>16.35117682*1.059464^K326</f>
        <v>311.13253664194741</v>
      </c>
      <c r="M326">
        <f t="shared" si="54"/>
        <v>80.5</v>
      </c>
      <c r="N326" t="s">
        <v>391</v>
      </c>
      <c r="O326">
        <v>54</v>
      </c>
      <c r="P326">
        <f>16.35117682*1.059464^O326</f>
        <v>370.00197512709912</v>
      </c>
      <c r="R326">
        <v>18</v>
      </c>
      <c r="S326" t="s">
        <v>27</v>
      </c>
      <c r="T326">
        <v>36</v>
      </c>
      <c r="U326">
        <f t="shared" si="45"/>
        <v>130.81344004395982</v>
      </c>
      <c r="V326">
        <f t="shared" si="48"/>
        <v>7</v>
      </c>
      <c r="W326">
        <v>18</v>
      </c>
      <c r="AB326">
        <v>23</v>
      </c>
      <c r="AC326" t="s">
        <v>388</v>
      </c>
      <c r="AD326">
        <v>29</v>
      </c>
      <c r="AE326">
        <f t="shared" si="46"/>
        <v>87.306974197808145</v>
      </c>
      <c r="AF326">
        <f t="shared" si="49"/>
        <v>3</v>
      </c>
      <c r="AG326" s="16">
        <v>3</v>
      </c>
      <c r="AH326">
        <v>23</v>
      </c>
      <c r="AM326" s="16">
        <v>7</v>
      </c>
    </row>
    <row r="327" spans="1:40" x14ac:dyDescent="0.2">
      <c r="A327">
        <f t="shared" si="51"/>
        <v>80.75</v>
      </c>
      <c r="B327" t="s">
        <v>243</v>
      </c>
      <c r="C327">
        <v>57</v>
      </c>
      <c r="D327">
        <f>16.35117682*1.059464^C327</f>
        <v>440.01010976071973</v>
      </c>
      <c r="E327">
        <f t="shared" si="52"/>
        <v>80.75</v>
      </c>
      <c r="I327">
        <f t="shared" si="53"/>
        <v>80.75</v>
      </c>
      <c r="M327">
        <f t="shared" si="54"/>
        <v>80.75</v>
      </c>
      <c r="R327">
        <v>18.75</v>
      </c>
      <c r="S327" t="s">
        <v>27</v>
      </c>
      <c r="T327">
        <v>36</v>
      </c>
      <c r="U327">
        <f t="shared" si="45"/>
        <v>130.81344004395982</v>
      </c>
      <c r="V327">
        <f t="shared" si="48"/>
        <v>0</v>
      </c>
      <c r="W327">
        <v>18.75</v>
      </c>
      <c r="AB327">
        <v>24</v>
      </c>
      <c r="AC327" t="s">
        <v>45</v>
      </c>
      <c r="AD327">
        <v>31</v>
      </c>
      <c r="AE327">
        <f t="shared" si="46"/>
        <v>97.998932630681253</v>
      </c>
      <c r="AF327">
        <f t="shared" si="49"/>
        <v>2</v>
      </c>
      <c r="AG327" s="16">
        <v>2</v>
      </c>
      <c r="AH327">
        <v>24</v>
      </c>
      <c r="AM327" s="16">
        <v>2</v>
      </c>
    </row>
    <row r="328" spans="1:40" x14ac:dyDescent="0.2">
      <c r="A328">
        <f t="shared" si="51"/>
        <v>81</v>
      </c>
      <c r="B328" t="s">
        <v>240</v>
      </c>
      <c r="C328">
        <v>60</v>
      </c>
      <c r="D328">
        <f>16.35117682*1.059464^C328</f>
        <v>523.26449507501752</v>
      </c>
      <c r="E328">
        <f t="shared" si="52"/>
        <v>81</v>
      </c>
      <c r="I328">
        <f t="shared" si="53"/>
        <v>81</v>
      </c>
      <c r="J328" t="s">
        <v>481</v>
      </c>
      <c r="K328">
        <v>52</v>
      </c>
      <c r="L328">
        <f>16.35117682*1.059464^K328</f>
        <v>329.63372180082422</v>
      </c>
      <c r="M328">
        <f t="shared" si="54"/>
        <v>81</v>
      </c>
      <c r="N328" t="s">
        <v>392</v>
      </c>
      <c r="O328">
        <v>55</v>
      </c>
      <c r="P328">
        <f>16.35117682*1.059464^O328</f>
        <v>392.00377257605692</v>
      </c>
      <c r="R328">
        <v>19.5</v>
      </c>
      <c r="S328" t="s">
        <v>27</v>
      </c>
      <c r="T328">
        <v>36</v>
      </c>
      <c r="U328">
        <f t="shared" si="45"/>
        <v>130.81344004395982</v>
      </c>
      <c r="V328">
        <f t="shared" si="48"/>
        <v>0</v>
      </c>
      <c r="W328">
        <v>19.5</v>
      </c>
      <c r="AB328">
        <v>24.75</v>
      </c>
      <c r="AC328" t="s">
        <v>27</v>
      </c>
      <c r="AD328">
        <v>36</v>
      </c>
      <c r="AE328">
        <f t="shared" si="46"/>
        <v>130.81344004395982</v>
      </c>
      <c r="AF328">
        <f t="shared" si="49"/>
        <v>5</v>
      </c>
      <c r="AG328" s="16">
        <v>5</v>
      </c>
      <c r="AH328">
        <v>24.75</v>
      </c>
      <c r="AM328" s="16">
        <v>3</v>
      </c>
    </row>
    <row r="329" spans="1:40" x14ac:dyDescent="0.2">
      <c r="A329">
        <f t="shared" si="51"/>
        <v>81.25</v>
      </c>
      <c r="E329">
        <f t="shared" si="52"/>
        <v>81.25</v>
      </c>
      <c r="I329">
        <f t="shared" si="53"/>
        <v>81.25</v>
      </c>
      <c r="M329">
        <f t="shared" si="54"/>
        <v>81.25</v>
      </c>
      <c r="R329">
        <v>20.25</v>
      </c>
      <c r="S329" t="s">
        <v>27</v>
      </c>
      <c r="T329">
        <v>36</v>
      </c>
      <c r="U329">
        <f t="shared" si="45"/>
        <v>130.81344004395982</v>
      </c>
      <c r="V329">
        <f t="shared" si="48"/>
        <v>0</v>
      </c>
      <c r="W329">
        <v>20.25</v>
      </c>
      <c r="AB329">
        <v>26.25</v>
      </c>
      <c r="AC329" t="s">
        <v>46</v>
      </c>
      <c r="AD329">
        <v>45</v>
      </c>
      <c r="AE329">
        <f t="shared" si="46"/>
        <v>220.00279814001337</v>
      </c>
      <c r="AF329">
        <f t="shared" si="49"/>
        <v>9</v>
      </c>
      <c r="AG329" s="16">
        <v>9</v>
      </c>
      <c r="AH329">
        <v>26.25</v>
      </c>
      <c r="AM329" s="16">
        <v>9</v>
      </c>
    </row>
    <row r="330" spans="1:40" x14ac:dyDescent="0.2">
      <c r="A330">
        <f t="shared" si="51"/>
        <v>81.5</v>
      </c>
      <c r="B330" t="s">
        <v>243</v>
      </c>
      <c r="C330">
        <v>57</v>
      </c>
      <c r="D330">
        <f>16.35117682*1.059464^C330</f>
        <v>440.01010976071973</v>
      </c>
      <c r="E330">
        <f t="shared" si="52"/>
        <v>81.5</v>
      </c>
      <c r="I330">
        <f t="shared" si="53"/>
        <v>81.5</v>
      </c>
      <c r="J330" t="s">
        <v>164</v>
      </c>
      <c r="K330">
        <v>51</v>
      </c>
      <c r="L330">
        <f>16.35117682*1.059464^K330</f>
        <v>311.13253664194741</v>
      </c>
      <c r="M330">
        <f t="shared" si="54"/>
        <v>81.5</v>
      </c>
      <c r="N330" t="s">
        <v>393</v>
      </c>
      <c r="O330">
        <v>54</v>
      </c>
      <c r="P330">
        <f>16.35117682*1.059464^O330</f>
        <v>370.00197512709912</v>
      </c>
      <c r="R330">
        <v>21</v>
      </c>
      <c r="S330" t="s">
        <v>27</v>
      </c>
      <c r="T330">
        <v>36</v>
      </c>
      <c r="U330">
        <f t="shared" si="45"/>
        <v>130.81344004395982</v>
      </c>
      <c r="V330">
        <f t="shared" si="48"/>
        <v>0</v>
      </c>
      <c r="W330">
        <v>21</v>
      </c>
      <c r="AB330">
        <v>28</v>
      </c>
      <c r="AC330" t="s">
        <v>243</v>
      </c>
      <c r="AD330">
        <v>57</v>
      </c>
      <c r="AE330">
        <f t="shared" si="46"/>
        <v>440.01010976071973</v>
      </c>
      <c r="AF330">
        <f t="shared" si="49"/>
        <v>12</v>
      </c>
      <c r="AG330" s="16">
        <v>12</v>
      </c>
      <c r="AH330">
        <v>28</v>
      </c>
      <c r="AM330" s="16">
        <v>3</v>
      </c>
    </row>
    <row r="331" spans="1:40" x14ac:dyDescent="0.2">
      <c r="A331">
        <f t="shared" si="51"/>
        <v>81.75</v>
      </c>
      <c r="B331" t="s">
        <v>240</v>
      </c>
      <c r="C331">
        <v>60</v>
      </c>
      <c r="D331">
        <f>16.35117682*1.059464^C331</f>
        <v>523.26449507501752</v>
      </c>
      <c r="E331">
        <f t="shared" si="52"/>
        <v>81.75</v>
      </c>
      <c r="I331">
        <f t="shared" si="53"/>
        <v>81.75</v>
      </c>
      <c r="M331">
        <f t="shared" si="54"/>
        <v>81.75</v>
      </c>
      <c r="R331">
        <v>21.75</v>
      </c>
      <c r="S331" t="s">
        <v>27</v>
      </c>
      <c r="T331">
        <v>36</v>
      </c>
      <c r="U331">
        <f t="shared" si="45"/>
        <v>130.81344004395982</v>
      </c>
      <c r="V331">
        <f t="shared" si="48"/>
        <v>0</v>
      </c>
      <c r="W331">
        <v>21.75</v>
      </c>
      <c r="AB331">
        <v>28.75</v>
      </c>
      <c r="AC331" t="s">
        <v>242</v>
      </c>
      <c r="AD331">
        <v>62</v>
      </c>
      <c r="AE331">
        <f t="shared" si="46"/>
        <v>587.34554108704231</v>
      </c>
      <c r="AF331">
        <f t="shared" si="49"/>
        <v>5</v>
      </c>
      <c r="AG331" s="16">
        <v>5</v>
      </c>
      <c r="AH331">
        <v>28.75</v>
      </c>
      <c r="AM331" s="16">
        <v>2</v>
      </c>
    </row>
    <row r="332" spans="1:40" x14ac:dyDescent="0.2">
      <c r="A332">
        <f t="shared" si="51"/>
        <v>82</v>
      </c>
      <c r="B332" t="s">
        <v>243</v>
      </c>
      <c r="C332">
        <v>57</v>
      </c>
      <c r="D332">
        <f>16.35117682*1.059464^C332</f>
        <v>440.01010976071973</v>
      </c>
      <c r="E332">
        <f t="shared" si="52"/>
        <v>82</v>
      </c>
      <c r="I332">
        <f t="shared" si="53"/>
        <v>82</v>
      </c>
      <c r="J332" t="s">
        <v>480</v>
      </c>
      <c r="K332">
        <v>50</v>
      </c>
      <c r="L332">
        <f>16.35117682*1.059464^K332</f>
        <v>293.66975814369101</v>
      </c>
      <c r="M332">
        <f t="shared" si="54"/>
        <v>82</v>
      </c>
      <c r="N332" t="s">
        <v>390</v>
      </c>
      <c r="O332">
        <v>53</v>
      </c>
      <c r="P332">
        <f>16.35117682*1.059464^O332</f>
        <v>349.23506143398839</v>
      </c>
      <c r="R332">
        <v>25</v>
      </c>
      <c r="S332" t="s">
        <v>28</v>
      </c>
      <c r="T332">
        <v>38</v>
      </c>
      <c r="U332">
        <f t="shared" si="45"/>
        <v>146.83337288738056</v>
      </c>
      <c r="V332">
        <f t="shared" si="48"/>
        <v>2</v>
      </c>
      <c r="W332">
        <v>25</v>
      </c>
      <c r="AB332">
        <v>30</v>
      </c>
      <c r="AC332" t="s">
        <v>240</v>
      </c>
      <c r="AD332">
        <v>60</v>
      </c>
      <c r="AE332">
        <f t="shared" si="46"/>
        <v>523.26449507501752</v>
      </c>
      <c r="AF332">
        <f t="shared" si="49"/>
        <v>2</v>
      </c>
      <c r="AG332" s="16">
        <v>2</v>
      </c>
      <c r="AH332">
        <v>30</v>
      </c>
      <c r="AI332" t="s">
        <v>255</v>
      </c>
      <c r="AJ332">
        <v>64</v>
      </c>
      <c r="AK332">
        <f>16.35117682*1.059464^AJ332</f>
        <v>659.27420622217721</v>
      </c>
      <c r="AL332">
        <f>ABS(AJ332-AD331)</f>
        <v>2</v>
      </c>
      <c r="AM332" s="16">
        <v>0</v>
      </c>
    </row>
    <row r="333" spans="1:40" x14ac:dyDescent="0.2">
      <c r="A333">
        <f t="shared" si="51"/>
        <v>82.25</v>
      </c>
      <c r="E333">
        <f t="shared" si="52"/>
        <v>82.25</v>
      </c>
      <c r="I333">
        <f t="shared" si="53"/>
        <v>82.25</v>
      </c>
      <c r="M333">
        <f t="shared" si="54"/>
        <v>82.25</v>
      </c>
      <c r="R333">
        <v>27</v>
      </c>
      <c r="S333" t="s">
        <v>480</v>
      </c>
      <c r="T333">
        <v>50</v>
      </c>
      <c r="U333">
        <f t="shared" si="45"/>
        <v>293.66975814369101</v>
      </c>
      <c r="V333">
        <f t="shared" si="48"/>
        <v>12</v>
      </c>
      <c r="W333">
        <v>27</v>
      </c>
      <c r="AB333">
        <v>33.5</v>
      </c>
      <c r="AC333" t="s">
        <v>480</v>
      </c>
      <c r="AD333">
        <v>50</v>
      </c>
      <c r="AE333">
        <f t="shared" si="46"/>
        <v>293.66975814369101</v>
      </c>
      <c r="AF333">
        <f t="shared" si="49"/>
        <v>10</v>
      </c>
      <c r="AG333" s="16">
        <v>10</v>
      </c>
      <c r="AH333">
        <v>33.5</v>
      </c>
      <c r="AM333" s="16">
        <v>2</v>
      </c>
    </row>
    <row r="334" spans="1:40" x14ac:dyDescent="0.2">
      <c r="A334">
        <f t="shared" si="51"/>
        <v>82.5</v>
      </c>
      <c r="E334">
        <f t="shared" si="52"/>
        <v>82.5</v>
      </c>
      <c r="I334">
        <f t="shared" si="53"/>
        <v>82.5</v>
      </c>
      <c r="J334" t="s">
        <v>164</v>
      </c>
      <c r="K334">
        <v>51</v>
      </c>
      <c r="L334">
        <f>16.35117682*1.059464^K334</f>
        <v>311.13253664194741</v>
      </c>
      <c r="M334">
        <f t="shared" si="54"/>
        <v>82.5</v>
      </c>
      <c r="N334" t="s">
        <v>393</v>
      </c>
      <c r="O334">
        <v>54</v>
      </c>
      <c r="P334">
        <f>16.35117682*1.059464^O334</f>
        <v>370.00197512709912</v>
      </c>
      <c r="R334">
        <v>27.75</v>
      </c>
      <c r="S334" t="s">
        <v>239</v>
      </c>
      <c r="T334">
        <v>54</v>
      </c>
      <c r="U334">
        <f t="shared" si="45"/>
        <v>370.00197512709912</v>
      </c>
      <c r="V334">
        <f t="shared" si="48"/>
        <v>4</v>
      </c>
      <c r="W334">
        <v>27.75</v>
      </c>
      <c r="AB334">
        <v>41.5</v>
      </c>
      <c r="AC334" t="s">
        <v>47</v>
      </c>
      <c r="AD334">
        <v>47</v>
      </c>
      <c r="AE334">
        <f t="shared" si="46"/>
        <v>246.94521361646048</v>
      </c>
      <c r="AF334">
        <f t="shared" si="49"/>
        <v>3</v>
      </c>
      <c r="AG334" s="16">
        <v>3</v>
      </c>
      <c r="AH334">
        <v>41.5</v>
      </c>
      <c r="AM334" s="16">
        <v>13</v>
      </c>
    </row>
    <row r="335" spans="1:40" x14ac:dyDescent="0.2">
      <c r="A335">
        <f t="shared" si="51"/>
        <v>82.75</v>
      </c>
      <c r="E335">
        <f t="shared" si="52"/>
        <v>82.75</v>
      </c>
      <c r="I335">
        <f t="shared" si="53"/>
        <v>82.75</v>
      </c>
      <c r="M335">
        <f t="shared" si="54"/>
        <v>82.75</v>
      </c>
      <c r="R335">
        <v>29.5</v>
      </c>
      <c r="S335" t="s">
        <v>245</v>
      </c>
      <c r="T335">
        <v>67</v>
      </c>
      <c r="U335">
        <f t="shared" si="45"/>
        <v>784.01558732918636</v>
      </c>
      <c r="V335">
        <f t="shared" si="48"/>
        <v>13</v>
      </c>
      <c r="W335">
        <v>29.5</v>
      </c>
      <c r="AB335">
        <v>43.5</v>
      </c>
      <c r="AC335" t="s">
        <v>487</v>
      </c>
      <c r="AD335">
        <v>45</v>
      </c>
      <c r="AE335">
        <f t="shared" si="46"/>
        <v>220.00279814001337</v>
      </c>
      <c r="AF335">
        <f t="shared" si="49"/>
        <v>2</v>
      </c>
      <c r="AG335" s="16">
        <v>2</v>
      </c>
      <c r="AH335">
        <v>43.5</v>
      </c>
      <c r="AM335" s="16">
        <v>1</v>
      </c>
    </row>
    <row r="336" spans="1:40" x14ac:dyDescent="0.2">
      <c r="A336">
        <f t="shared" si="51"/>
        <v>83</v>
      </c>
      <c r="E336">
        <f t="shared" si="52"/>
        <v>83</v>
      </c>
      <c r="I336">
        <f t="shared" si="53"/>
        <v>83</v>
      </c>
      <c r="J336" t="s">
        <v>480</v>
      </c>
      <c r="K336">
        <v>50</v>
      </c>
      <c r="L336">
        <f>16.35117682*1.059464^K336</f>
        <v>293.66975814369101</v>
      </c>
      <c r="M336">
        <f t="shared" si="54"/>
        <v>83</v>
      </c>
      <c r="N336" t="s">
        <v>390</v>
      </c>
      <c r="O336">
        <v>53</v>
      </c>
      <c r="P336">
        <f>16.35117682*1.059464^O336</f>
        <v>349.23506143398839</v>
      </c>
      <c r="R336">
        <v>30</v>
      </c>
      <c r="S336" t="s">
        <v>410</v>
      </c>
      <c r="T336">
        <v>72</v>
      </c>
      <c r="U336">
        <f t="shared" si="45"/>
        <v>1046.5397252143878</v>
      </c>
      <c r="V336">
        <f t="shared" si="48"/>
        <v>5</v>
      </c>
      <c r="W336">
        <v>30</v>
      </c>
      <c r="X336" t="s">
        <v>245</v>
      </c>
      <c r="Y336">
        <v>67</v>
      </c>
      <c r="Z336">
        <f>16.35117682*1.059464^Y336</f>
        <v>784.01558732918636</v>
      </c>
      <c r="AA336">
        <f>ABS(Y336-T335)</f>
        <v>0</v>
      </c>
      <c r="AB336">
        <v>45.5</v>
      </c>
      <c r="AC336" t="s">
        <v>82</v>
      </c>
      <c r="AD336">
        <v>38</v>
      </c>
      <c r="AE336">
        <f t="shared" si="46"/>
        <v>146.83337288738056</v>
      </c>
      <c r="AF336">
        <f t="shared" si="49"/>
        <v>7</v>
      </c>
      <c r="AG336" s="16">
        <v>7</v>
      </c>
      <c r="AH336">
        <v>45.5</v>
      </c>
      <c r="AM336" s="16">
        <v>3</v>
      </c>
    </row>
    <row r="337" spans="1:39" x14ac:dyDescent="0.2">
      <c r="A337">
        <f t="shared" si="51"/>
        <v>83.25</v>
      </c>
      <c r="E337">
        <f t="shared" si="52"/>
        <v>83.25</v>
      </c>
      <c r="I337">
        <f t="shared" si="53"/>
        <v>83.25</v>
      </c>
      <c r="M337">
        <f t="shared" si="54"/>
        <v>83.25</v>
      </c>
      <c r="R337">
        <v>34</v>
      </c>
      <c r="S337" t="s">
        <v>411</v>
      </c>
      <c r="T337">
        <v>58</v>
      </c>
      <c r="U337">
        <f t="shared" si="45"/>
        <v>466.17487092753117</v>
      </c>
      <c r="V337">
        <f t="shared" si="48"/>
        <v>14</v>
      </c>
      <c r="W337">
        <v>34</v>
      </c>
      <c r="AB337">
        <v>47</v>
      </c>
      <c r="AC337" t="s">
        <v>28</v>
      </c>
      <c r="AD337">
        <v>38</v>
      </c>
      <c r="AE337">
        <f t="shared" si="46"/>
        <v>146.83337288738056</v>
      </c>
      <c r="AF337">
        <f t="shared" si="49"/>
        <v>0</v>
      </c>
      <c r="AG337" s="16">
        <v>0</v>
      </c>
      <c r="AH337">
        <v>47</v>
      </c>
      <c r="AM337" s="16">
        <v>4</v>
      </c>
    </row>
    <row r="338" spans="1:39" x14ac:dyDescent="0.2">
      <c r="A338">
        <f t="shared" si="51"/>
        <v>83.5</v>
      </c>
      <c r="E338">
        <f t="shared" si="52"/>
        <v>83.5</v>
      </c>
      <c r="I338">
        <f t="shared" si="53"/>
        <v>83.5</v>
      </c>
      <c r="J338" t="s">
        <v>291</v>
      </c>
      <c r="K338">
        <v>49</v>
      </c>
      <c r="L338">
        <f>16.35117682*1.059464^K338</f>
        <v>277.18710418069043</v>
      </c>
      <c r="M338">
        <f t="shared" si="54"/>
        <v>83.5</v>
      </c>
      <c r="N338" t="s">
        <v>394</v>
      </c>
      <c r="O338">
        <v>52</v>
      </c>
      <c r="P338">
        <f>16.35117682*1.059464^O338</f>
        <v>329.63372180082422</v>
      </c>
      <c r="R338">
        <v>37.5</v>
      </c>
      <c r="S338" t="s">
        <v>239</v>
      </c>
      <c r="T338">
        <v>55</v>
      </c>
      <c r="U338">
        <f t="shared" si="45"/>
        <v>392.00377257605692</v>
      </c>
      <c r="V338">
        <f t="shared" si="48"/>
        <v>3</v>
      </c>
      <c r="W338">
        <v>37.5</v>
      </c>
      <c r="AB338">
        <v>48</v>
      </c>
      <c r="AC338" t="s">
        <v>488</v>
      </c>
      <c r="AD338">
        <v>36</v>
      </c>
      <c r="AE338">
        <f t="shared" si="46"/>
        <v>130.81344004395982</v>
      </c>
      <c r="AF338">
        <f t="shared" si="49"/>
        <v>2</v>
      </c>
      <c r="AG338" s="16">
        <v>2</v>
      </c>
      <c r="AH338">
        <v>48</v>
      </c>
      <c r="AM338" s="16">
        <v>3</v>
      </c>
    </row>
    <row r="339" spans="1:39" x14ac:dyDescent="0.2">
      <c r="A339">
        <f t="shared" si="51"/>
        <v>83.75</v>
      </c>
      <c r="E339">
        <f t="shared" si="52"/>
        <v>83.75</v>
      </c>
      <c r="I339">
        <f t="shared" si="53"/>
        <v>83.75</v>
      </c>
      <c r="M339">
        <f t="shared" si="54"/>
        <v>83.75</v>
      </c>
      <c r="R339">
        <v>41.5</v>
      </c>
      <c r="S339" s="1" t="s">
        <v>244</v>
      </c>
      <c r="T339">
        <v>59</v>
      </c>
      <c r="U339">
        <f t="shared" ref="U339:U370" si="55">16.35117682*1.059464^T339</f>
        <v>493.89549345236594</v>
      </c>
      <c r="V339">
        <f t="shared" si="48"/>
        <v>4</v>
      </c>
      <c r="W339">
        <v>41.5</v>
      </c>
      <c r="AB339">
        <v>50</v>
      </c>
      <c r="AC339" t="s">
        <v>81</v>
      </c>
      <c r="AD339">
        <v>34</v>
      </c>
      <c r="AE339">
        <f t="shared" ref="AE339:AE370" si="56">16.35117682*1.059464^AD339</f>
        <v>116.54132680899107</v>
      </c>
      <c r="AF339">
        <f t="shared" si="49"/>
        <v>2</v>
      </c>
      <c r="AG339" s="16">
        <v>2</v>
      </c>
      <c r="AH339">
        <v>50</v>
      </c>
      <c r="AM339" s="16">
        <v>2</v>
      </c>
    </row>
    <row r="340" spans="1:39" x14ac:dyDescent="0.2">
      <c r="A340">
        <f t="shared" si="51"/>
        <v>84</v>
      </c>
      <c r="B340" t="s">
        <v>239</v>
      </c>
      <c r="C340">
        <v>55</v>
      </c>
      <c r="D340">
        <f>16.35117682*1.059464^C340</f>
        <v>392.00377257605692</v>
      </c>
      <c r="E340">
        <f t="shared" si="52"/>
        <v>84</v>
      </c>
      <c r="I340">
        <f t="shared" si="53"/>
        <v>84</v>
      </c>
      <c r="J340" t="s">
        <v>479</v>
      </c>
      <c r="K340">
        <v>48</v>
      </c>
      <c r="L340">
        <f>16.35117682*1.059464^K340</f>
        <v>261.62956379894968</v>
      </c>
      <c r="M340">
        <f t="shared" si="54"/>
        <v>84</v>
      </c>
      <c r="N340" t="s">
        <v>320</v>
      </c>
      <c r="O340">
        <v>51</v>
      </c>
      <c r="P340">
        <f>16.35117682*1.059464^O340</f>
        <v>311.13253664194741</v>
      </c>
      <c r="R340">
        <v>42.5</v>
      </c>
      <c r="S340" t="s">
        <v>411</v>
      </c>
      <c r="T340">
        <v>58</v>
      </c>
      <c r="U340">
        <f t="shared" si="55"/>
        <v>466.17487092753117</v>
      </c>
      <c r="V340">
        <f t="shared" ref="V340:V371" si="57">ABS(T340-T339)</f>
        <v>1</v>
      </c>
      <c r="W340">
        <v>42.5</v>
      </c>
      <c r="X340" t="s">
        <v>481</v>
      </c>
      <c r="Y340">
        <v>52</v>
      </c>
      <c r="Z340">
        <f>16.35117682*1.059464^Y340</f>
        <v>329.63372180082422</v>
      </c>
      <c r="AA340">
        <f>ABS(Y340-T339)</f>
        <v>7</v>
      </c>
      <c r="AB340">
        <v>51</v>
      </c>
      <c r="AC340" t="s">
        <v>318</v>
      </c>
      <c r="AD340">
        <v>41</v>
      </c>
      <c r="AE340">
        <f t="shared" si="56"/>
        <v>174.61573954711864</v>
      </c>
      <c r="AF340">
        <f t="shared" ref="AF340:AF371" si="58">ABS(AD340-AD339)</f>
        <v>7</v>
      </c>
      <c r="AG340" s="16">
        <v>7</v>
      </c>
      <c r="AH340">
        <v>51</v>
      </c>
      <c r="AM340" s="16">
        <v>2</v>
      </c>
    </row>
    <row r="341" spans="1:39" x14ac:dyDescent="0.2">
      <c r="A341">
        <f t="shared" si="51"/>
        <v>84.25</v>
      </c>
      <c r="B341" t="s">
        <v>243</v>
      </c>
      <c r="C341">
        <v>57</v>
      </c>
      <c r="D341">
        <f>16.35117682*1.059464^C341</f>
        <v>440.01010976071973</v>
      </c>
      <c r="E341">
        <f t="shared" si="52"/>
        <v>84.25</v>
      </c>
      <c r="I341">
        <f t="shared" si="53"/>
        <v>84.25</v>
      </c>
      <c r="M341">
        <f t="shared" si="54"/>
        <v>84.25</v>
      </c>
      <c r="R341">
        <v>44</v>
      </c>
      <c r="S341" t="s">
        <v>482</v>
      </c>
      <c r="T341">
        <v>53</v>
      </c>
      <c r="U341">
        <f t="shared" si="55"/>
        <v>349.23506143398839</v>
      </c>
      <c r="V341">
        <f t="shared" si="57"/>
        <v>5</v>
      </c>
      <c r="W341">
        <v>44</v>
      </c>
      <c r="AB341">
        <v>52</v>
      </c>
      <c r="AC341" t="s">
        <v>325</v>
      </c>
      <c r="AD341">
        <v>46</v>
      </c>
      <c r="AE341">
        <f t="shared" si="56"/>
        <v>233.08504452861115</v>
      </c>
      <c r="AF341">
        <f t="shared" si="58"/>
        <v>5</v>
      </c>
      <c r="AG341" s="16">
        <v>5</v>
      </c>
      <c r="AH341">
        <v>52</v>
      </c>
      <c r="AM341" s="16">
        <v>9</v>
      </c>
    </row>
    <row r="342" spans="1:39" x14ac:dyDescent="0.2">
      <c r="A342">
        <f t="shared" si="51"/>
        <v>84.5</v>
      </c>
      <c r="E342">
        <f t="shared" si="52"/>
        <v>84.5</v>
      </c>
      <c r="I342">
        <f t="shared" si="53"/>
        <v>84.5</v>
      </c>
      <c r="J342" t="s">
        <v>47</v>
      </c>
      <c r="K342">
        <v>47</v>
      </c>
      <c r="L342">
        <f>16.35117682*1.059464^K342</f>
        <v>246.94521361646048</v>
      </c>
      <c r="M342">
        <f t="shared" si="54"/>
        <v>84.5</v>
      </c>
      <c r="N342" t="s">
        <v>321</v>
      </c>
      <c r="O342">
        <v>50</v>
      </c>
      <c r="P342">
        <f>16.35117682*1.059464^O342</f>
        <v>293.66975814369101</v>
      </c>
      <c r="R342">
        <v>45.5</v>
      </c>
      <c r="S342" t="s">
        <v>480</v>
      </c>
      <c r="T342">
        <v>50</v>
      </c>
      <c r="U342">
        <f t="shared" si="55"/>
        <v>293.66975814369101</v>
      </c>
      <c r="V342">
        <f t="shared" si="57"/>
        <v>3</v>
      </c>
      <c r="W342">
        <v>45.5</v>
      </c>
      <c r="AB342">
        <v>53</v>
      </c>
      <c r="AC342" t="s">
        <v>390</v>
      </c>
      <c r="AD342">
        <v>53</v>
      </c>
      <c r="AE342">
        <f t="shared" si="56"/>
        <v>349.23506143398839</v>
      </c>
      <c r="AF342">
        <f t="shared" si="58"/>
        <v>7</v>
      </c>
      <c r="AG342" s="16">
        <v>7</v>
      </c>
      <c r="AH342">
        <v>53</v>
      </c>
      <c r="AM342" s="16">
        <v>11</v>
      </c>
    </row>
    <row r="343" spans="1:39" x14ac:dyDescent="0.2">
      <c r="A343">
        <f t="shared" si="51"/>
        <v>84.75</v>
      </c>
      <c r="B343" t="s">
        <v>239</v>
      </c>
      <c r="C343">
        <v>55</v>
      </c>
      <c r="D343">
        <f>16.35117682*1.059464^C343</f>
        <v>392.00377257605692</v>
      </c>
      <c r="E343">
        <f t="shared" si="52"/>
        <v>84.75</v>
      </c>
      <c r="I343">
        <f t="shared" si="53"/>
        <v>84.75</v>
      </c>
      <c r="M343">
        <f t="shared" si="54"/>
        <v>84.75</v>
      </c>
      <c r="R343">
        <v>46.5</v>
      </c>
      <c r="S343" t="s">
        <v>239</v>
      </c>
      <c r="T343">
        <v>55</v>
      </c>
      <c r="U343">
        <f t="shared" si="55"/>
        <v>392.00377257605692</v>
      </c>
      <c r="V343">
        <f t="shared" si="57"/>
        <v>5</v>
      </c>
      <c r="W343">
        <v>46.5</v>
      </c>
      <c r="X343" t="s">
        <v>47</v>
      </c>
      <c r="Y343">
        <v>47</v>
      </c>
      <c r="Z343">
        <f>16.35117682*1.059464^Y343</f>
        <v>246.94521361646048</v>
      </c>
      <c r="AA343">
        <f>ABS(Y343-T342)</f>
        <v>3</v>
      </c>
      <c r="AB343">
        <v>54</v>
      </c>
      <c r="AC343" t="s">
        <v>325</v>
      </c>
      <c r="AD343">
        <v>46</v>
      </c>
      <c r="AE343">
        <f t="shared" si="56"/>
        <v>233.08504452861115</v>
      </c>
      <c r="AF343">
        <f t="shared" si="58"/>
        <v>7</v>
      </c>
      <c r="AG343" s="16">
        <v>7</v>
      </c>
      <c r="AH343">
        <v>54</v>
      </c>
      <c r="AM343" s="16">
        <v>3</v>
      </c>
    </row>
    <row r="344" spans="1:39" x14ac:dyDescent="0.2">
      <c r="A344">
        <f t="shared" si="51"/>
        <v>85</v>
      </c>
      <c r="B344" t="s">
        <v>481</v>
      </c>
      <c r="C344">
        <v>52</v>
      </c>
      <c r="D344">
        <f>16.35117682*1.059464^C344</f>
        <v>329.63372180082422</v>
      </c>
      <c r="E344">
        <f t="shared" si="52"/>
        <v>85</v>
      </c>
      <c r="I344">
        <f t="shared" si="53"/>
        <v>85</v>
      </c>
      <c r="J344" t="s">
        <v>292</v>
      </c>
      <c r="K344">
        <v>46</v>
      </c>
      <c r="L344">
        <f>16.35117682*1.059464^K344</f>
        <v>233.08504452861115</v>
      </c>
      <c r="M344">
        <f t="shared" si="54"/>
        <v>85</v>
      </c>
      <c r="N344" t="s">
        <v>322</v>
      </c>
      <c r="O344">
        <v>49</v>
      </c>
      <c r="P344">
        <f>16.35117682*1.059464^O344</f>
        <v>277.18710418069043</v>
      </c>
      <c r="R344">
        <v>47.5</v>
      </c>
      <c r="S344" t="s">
        <v>239</v>
      </c>
      <c r="T344">
        <v>55</v>
      </c>
      <c r="U344">
        <f t="shared" si="55"/>
        <v>392.00377257605692</v>
      </c>
      <c r="V344">
        <f t="shared" si="57"/>
        <v>0</v>
      </c>
      <c r="W344">
        <v>47.5</v>
      </c>
      <c r="X344" t="s">
        <v>482</v>
      </c>
      <c r="Y344">
        <v>53</v>
      </c>
      <c r="Z344">
        <f>16.35117682*1.059464^Y344</f>
        <v>349.23506143398839</v>
      </c>
      <c r="AA344">
        <f>ABS(Y344-T343)</f>
        <v>2</v>
      </c>
      <c r="AB344">
        <v>58</v>
      </c>
      <c r="AC344" t="s">
        <v>323</v>
      </c>
      <c r="AD344">
        <v>48</v>
      </c>
      <c r="AE344">
        <f t="shared" si="56"/>
        <v>261.62956379894968</v>
      </c>
      <c r="AF344">
        <f t="shared" si="58"/>
        <v>2</v>
      </c>
      <c r="AG344" s="16">
        <v>2</v>
      </c>
      <c r="AH344">
        <v>58</v>
      </c>
    </row>
    <row r="345" spans="1:39" x14ac:dyDescent="0.2">
      <c r="A345">
        <f t="shared" si="51"/>
        <v>85.25</v>
      </c>
      <c r="E345">
        <f t="shared" si="52"/>
        <v>85.25</v>
      </c>
      <c r="I345">
        <f t="shared" si="53"/>
        <v>85.25</v>
      </c>
      <c r="M345">
        <f t="shared" si="54"/>
        <v>85.25</v>
      </c>
      <c r="R345">
        <v>48.5</v>
      </c>
      <c r="S345" t="s">
        <v>481</v>
      </c>
      <c r="T345">
        <v>52</v>
      </c>
      <c r="U345">
        <f t="shared" si="55"/>
        <v>329.63372180082422</v>
      </c>
      <c r="V345">
        <f t="shared" si="57"/>
        <v>3</v>
      </c>
      <c r="W345">
        <v>48.5</v>
      </c>
      <c r="X345" t="s">
        <v>239</v>
      </c>
      <c r="Y345">
        <v>55</v>
      </c>
      <c r="Z345">
        <f>16.35117682*1.059464^Y345</f>
        <v>392.00377257605692</v>
      </c>
      <c r="AA345">
        <f>ABS(Y345-T344)</f>
        <v>0</v>
      </c>
      <c r="AB345">
        <v>61.5</v>
      </c>
      <c r="AC345" t="s">
        <v>82</v>
      </c>
      <c r="AD345">
        <v>38</v>
      </c>
      <c r="AE345">
        <f t="shared" si="56"/>
        <v>146.83337288738056</v>
      </c>
      <c r="AF345">
        <f t="shared" si="58"/>
        <v>10</v>
      </c>
      <c r="AG345" s="16">
        <v>10</v>
      </c>
      <c r="AH345">
        <v>61.5</v>
      </c>
    </row>
    <row r="346" spans="1:39" x14ac:dyDescent="0.2">
      <c r="A346">
        <f t="shared" si="51"/>
        <v>85.5</v>
      </c>
      <c r="B346" t="s">
        <v>239</v>
      </c>
      <c r="C346">
        <v>55</v>
      </c>
      <c r="D346">
        <f>16.35117682*1.059464^C346</f>
        <v>392.00377257605692</v>
      </c>
      <c r="E346">
        <f t="shared" si="52"/>
        <v>85.5</v>
      </c>
      <c r="I346">
        <f t="shared" si="53"/>
        <v>85.5</v>
      </c>
      <c r="J346" t="s">
        <v>46</v>
      </c>
      <c r="K346">
        <v>45</v>
      </c>
      <c r="L346">
        <f>16.35117682*1.059464^K346</f>
        <v>220.00279814001337</v>
      </c>
      <c r="M346">
        <f t="shared" si="54"/>
        <v>85.5</v>
      </c>
      <c r="N346" t="s">
        <v>323</v>
      </c>
      <c r="O346">
        <v>48</v>
      </c>
      <c r="P346">
        <f>16.35117682*1.059464^O346</f>
        <v>261.62956379894968</v>
      </c>
      <c r="R346">
        <v>50</v>
      </c>
      <c r="S346" t="s">
        <v>292</v>
      </c>
      <c r="T346">
        <v>46</v>
      </c>
      <c r="U346">
        <f t="shared" si="55"/>
        <v>233.08504452861115</v>
      </c>
      <c r="V346">
        <f t="shared" si="57"/>
        <v>6</v>
      </c>
      <c r="W346">
        <v>50</v>
      </c>
      <c r="AB346">
        <v>63</v>
      </c>
      <c r="AC346" t="s">
        <v>82</v>
      </c>
      <c r="AD346">
        <v>38</v>
      </c>
      <c r="AE346">
        <f t="shared" si="56"/>
        <v>146.83337288738056</v>
      </c>
      <c r="AF346">
        <f t="shared" si="58"/>
        <v>0</v>
      </c>
      <c r="AG346" s="16">
        <v>0</v>
      </c>
      <c r="AH346">
        <v>63</v>
      </c>
    </row>
    <row r="347" spans="1:39" x14ac:dyDescent="0.2">
      <c r="A347">
        <f t="shared" si="51"/>
        <v>85.75</v>
      </c>
      <c r="E347">
        <f t="shared" si="52"/>
        <v>85.75</v>
      </c>
      <c r="I347">
        <f t="shared" si="53"/>
        <v>85.75</v>
      </c>
      <c r="M347">
        <f t="shared" si="54"/>
        <v>85.75</v>
      </c>
      <c r="R347">
        <v>51</v>
      </c>
      <c r="S347" t="s">
        <v>482</v>
      </c>
      <c r="T347">
        <v>53</v>
      </c>
      <c r="U347">
        <f t="shared" si="55"/>
        <v>349.23506143398839</v>
      </c>
      <c r="V347">
        <f t="shared" si="57"/>
        <v>7</v>
      </c>
      <c r="W347">
        <v>51</v>
      </c>
      <c r="AB347">
        <v>64</v>
      </c>
      <c r="AC347" t="s">
        <v>488</v>
      </c>
      <c r="AD347">
        <v>36</v>
      </c>
      <c r="AE347">
        <f t="shared" si="56"/>
        <v>130.81344004395982</v>
      </c>
      <c r="AF347">
        <f t="shared" si="58"/>
        <v>2</v>
      </c>
      <c r="AG347" s="16">
        <v>2</v>
      </c>
      <c r="AH347">
        <v>64</v>
      </c>
    </row>
    <row r="348" spans="1:39" x14ac:dyDescent="0.2">
      <c r="A348">
        <f t="shared" si="51"/>
        <v>86</v>
      </c>
      <c r="B348" t="s">
        <v>481</v>
      </c>
      <c r="C348">
        <v>52</v>
      </c>
      <c r="D348">
        <f>16.35117682*1.059464^C348</f>
        <v>329.63372180082422</v>
      </c>
      <c r="E348">
        <f t="shared" si="52"/>
        <v>86</v>
      </c>
      <c r="I348">
        <f t="shared" si="53"/>
        <v>86</v>
      </c>
      <c r="J348" t="s">
        <v>168</v>
      </c>
      <c r="K348">
        <v>44</v>
      </c>
      <c r="L348">
        <f>16.35117682*1.059464^K348</f>
        <v>207.65481237683719</v>
      </c>
      <c r="M348">
        <f t="shared" si="54"/>
        <v>86</v>
      </c>
      <c r="N348" t="s">
        <v>324</v>
      </c>
      <c r="O348">
        <v>47</v>
      </c>
      <c r="P348">
        <f>16.35117682*1.059464^O348</f>
        <v>246.94521361646048</v>
      </c>
      <c r="R348">
        <v>52</v>
      </c>
      <c r="S348" t="s">
        <v>411</v>
      </c>
      <c r="T348">
        <v>58</v>
      </c>
      <c r="U348">
        <f t="shared" si="55"/>
        <v>466.17487092753117</v>
      </c>
      <c r="V348">
        <f t="shared" si="57"/>
        <v>5</v>
      </c>
      <c r="W348">
        <v>52</v>
      </c>
      <c r="AB348">
        <v>66</v>
      </c>
      <c r="AC348" t="s">
        <v>81</v>
      </c>
      <c r="AD348">
        <v>34</v>
      </c>
      <c r="AE348">
        <f t="shared" si="56"/>
        <v>116.54132680899107</v>
      </c>
      <c r="AF348">
        <f t="shared" si="58"/>
        <v>2</v>
      </c>
      <c r="AG348" s="16">
        <v>2</v>
      </c>
      <c r="AH348">
        <v>66</v>
      </c>
    </row>
    <row r="349" spans="1:39" x14ac:dyDescent="0.2">
      <c r="A349">
        <f t="shared" si="51"/>
        <v>86.25</v>
      </c>
      <c r="B349" t="s">
        <v>482</v>
      </c>
      <c r="C349">
        <v>53</v>
      </c>
      <c r="D349">
        <f>16.35117682*1.059464^C349</f>
        <v>349.23506143398839</v>
      </c>
      <c r="E349">
        <f t="shared" si="52"/>
        <v>86.25</v>
      </c>
      <c r="I349">
        <f t="shared" si="53"/>
        <v>86.25</v>
      </c>
      <c r="M349">
        <f t="shared" si="54"/>
        <v>86.25</v>
      </c>
      <c r="R349">
        <v>53</v>
      </c>
      <c r="S349" t="s">
        <v>456</v>
      </c>
      <c r="T349">
        <v>65</v>
      </c>
      <c r="U349">
        <f t="shared" si="55"/>
        <v>698.47728762097279</v>
      </c>
      <c r="V349">
        <f t="shared" si="57"/>
        <v>7</v>
      </c>
      <c r="W349">
        <v>53</v>
      </c>
      <c r="AB349">
        <v>67</v>
      </c>
      <c r="AC349" t="s">
        <v>318</v>
      </c>
      <c r="AD349">
        <v>41</v>
      </c>
      <c r="AE349">
        <f t="shared" si="56"/>
        <v>174.61573954711864</v>
      </c>
      <c r="AF349">
        <f t="shared" si="58"/>
        <v>7</v>
      </c>
      <c r="AG349" s="16">
        <v>7</v>
      </c>
      <c r="AH349">
        <v>67</v>
      </c>
    </row>
    <row r="350" spans="1:39" x14ac:dyDescent="0.2">
      <c r="A350">
        <f t="shared" si="51"/>
        <v>86.5</v>
      </c>
      <c r="E350">
        <f t="shared" si="52"/>
        <v>86.5</v>
      </c>
      <c r="I350">
        <f t="shared" si="53"/>
        <v>86.5</v>
      </c>
      <c r="J350" t="s">
        <v>44</v>
      </c>
      <c r="K350">
        <v>43</v>
      </c>
      <c r="L350">
        <f>16.35117682*1.059464^K350</f>
        <v>195.99987576438383</v>
      </c>
      <c r="M350">
        <f t="shared" si="54"/>
        <v>86.5</v>
      </c>
      <c r="N350" t="s">
        <v>325</v>
      </c>
      <c r="O350">
        <v>46</v>
      </c>
      <c r="P350">
        <f>16.35117682*1.059464^O350</f>
        <v>233.08504452861115</v>
      </c>
      <c r="R350">
        <v>54</v>
      </c>
      <c r="S350" t="s">
        <v>457</v>
      </c>
      <c r="T350">
        <v>58</v>
      </c>
      <c r="U350">
        <f t="shared" si="55"/>
        <v>466.17487092753117</v>
      </c>
      <c r="V350">
        <f t="shared" si="57"/>
        <v>7</v>
      </c>
      <c r="W350">
        <v>54</v>
      </c>
      <c r="AB350">
        <v>68</v>
      </c>
      <c r="AC350" t="s">
        <v>325</v>
      </c>
      <c r="AD350">
        <v>46</v>
      </c>
      <c r="AE350">
        <f t="shared" si="56"/>
        <v>233.08504452861115</v>
      </c>
      <c r="AF350">
        <f t="shared" si="58"/>
        <v>5</v>
      </c>
      <c r="AG350" s="16">
        <v>5</v>
      </c>
      <c r="AH350">
        <v>68</v>
      </c>
    </row>
    <row r="351" spans="1:39" x14ac:dyDescent="0.2">
      <c r="A351">
        <f t="shared" si="51"/>
        <v>86.75</v>
      </c>
      <c r="B351" t="s">
        <v>481</v>
      </c>
      <c r="C351">
        <v>52</v>
      </c>
      <c r="D351">
        <f>16.35117682*1.059464^C351</f>
        <v>329.63372180082422</v>
      </c>
      <c r="E351">
        <f t="shared" si="52"/>
        <v>86.75</v>
      </c>
      <c r="I351">
        <f t="shared" si="53"/>
        <v>86.75</v>
      </c>
      <c r="M351">
        <f t="shared" si="54"/>
        <v>86.75</v>
      </c>
      <c r="R351">
        <v>55.5</v>
      </c>
      <c r="S351" t="s">
        <v>162</v>
      </c>
      <c r="T351">
        <v>54</v>
      </c>
      <c r="U351">
        <f t="shared" si="55"/>
        <v>370.00197512709912</v>
      </c>
      <c r="V351">
        <f t="shared" si="57"/>
        <v>4</v>
      </c>
      <c r="W351">
        <v>55.5</v>
      </c>
      <c r="X351" t="s">
        <v>163</v>
      </c>
      <c r="Y351">
        <v>49</v>
      </c>
      <c r="Z351">
        <f>16.35117682*1.059464^Y351</f>
        <v>277.18710418069043</v>
      </c>
      <c r="AA351">
        <f>ABS(Y351-T350)</f>
        <v>9</v>
      </c>
      <c r="AB351">
        <v>69</v>
      </c>
      <c r="AC351" t="s">
        <v>308</v>
      </c>
      <c r="AD351">
        <v>53</v>
      </c>
      <c r="AE351">
        <f t="shared" si="56"/>
        <v>349.23506143398839</v>
      </c>
      <c r="AF351">
        <f t="shared" si="58"/>
        <v>7</v>
      </c>
      <c r="AG351" s="16">
        <v>7</v>
      </c>
      <c r="AH351">
        <v>69</v>
      </c>
    </row>
    <row r="352" spans="1:39" x14ac:dyDescent="0.2">
      <c r="A352">
        <f t="shared" si="51"/>
        <v>87</v>
      </c>
      <c r="B352" t="s">
        <v>479</v>
      </c>
      <c r="C352">
        <v>48</v>
      </c>
      <c r="D352">
        <f>16.35117682*1.059464^C352</f>
        <v>261.62956379894968</v>
      </c>
      <c r="E352">
        <f t="shared" si="52"/>
        <v>87</v>
      </c>
      <c r="I352">
        <f t="shared" si="53"/>
        <v>87</v>
      </c>
      <c r="J352" t="s">
        <v>169</v>
      </c>
      <c r="K352">
        <v>42</v>
      </c>
      <c r="L352">
        <f>16.35117682*1.059464^K352</f>
        <v>184.99908988354849</v>
      </c>
      <c r="M352">
        <f t="shared" si="54"/>
        <v>87</v>
      </c>
      <c r="N352" t="s">
        <v>326</v>
      </c>
      <c r="O352">
        <v>45</v>
      </c>
      <c r="P352">
        <f>16.35117682*1.059464^O352</f>
        <v>220.00279814001337</v>
      </c>
      <c r="R352">
        <v>57.5</v>
      </c>
      <c r="S352" t="s">
        <v>244</v>
      </c>
      <c r="T352">
        <v>59</v>
      </c>
      <c r="U352">
        <f t="shared" si="55"/>
        <v>493.89549345236594</v>
      </c>
      <c r="V352">
        <f t="shared" si="57"/>
        <v>5</v>
      </c>
      <c r="W352">
        <v>57.5</v>
      </c>
      <c r="AB352">
        <v>70</v>
      </c>
      <c r="AC352" t="s">
        <v>390</v>
      </c>
      <c r="AD352">
        <v>53</v>
      </c>
      <c r="AE352">
        <f t="shared" si="56"/>
        <v>349.23506143398839</v>
      </c>
      <c r="AF352">
        <f t="shared" si="58"/>
        <v>0</v>
      </c>
      <c r="AG352" s="16">
        <v>0</v>
      </c>
      <c r="AH352">
        <v>70</v>
      </c>
    </row>
    <row r="353" spans="1:38" x14ac:dyDescent="0.2">
      <c r="A353">
        <f t="shared" si="51"/>
        <v>87.25</v>
      </c>
      <c r="E353">
        <f t="shared" si="52"/>
        <v>87.25</v>
      </c>
      <c r="I353">
        <f t="shared" si="53"/>
        <v>87.25</v>
      </c>
      <c r="M353">
        <f t="shared" si="54"/>
        <v>87.25</v>
      </c>
      <c r="R353">
        <v>58.5</v>
      </c>
      <c r="S353" t="s">
        <v>411</v>
      </c>
      <c r="T353">
        <v>58</v>
      </c>
      <c r="U353">
        <f t="shared" si="55"/>
        <v>466.17487092753117</v>
      </c>
      <c r="V353">
        <f t="shared" si="57"/>
        <v>1</v>
      </c>
      <c r="W353">
        <v>58.5</v>
      </c>
      <c r="X353" t="s">
        <v>481</v>
      </c>
      <c r="Y353">
        <v>52</v>
      </c>
      <c r="Z353">
        <f>16.35117682*1.059464^Y353</f>
        <v>329.63372180082422</v>
      </c>
      <c r="AA353">
        <f>ABS(Y353-T352)</f>
        <v>7</v>
      </c>
      <c r="AB353">
        <v>71</v>
      </c>
      <c r="AC353" t="s">
        <v>308</v>
      </c>
      <c r="AD353">
        <v>53</v>
      </c>
      <c r="AE353">
        <f t="shared" si="56"/>
        <v>349.23506143398839</v>
      </c>
      <c r="AF353">
        <f t="shared" si="58"/>
        <v>0</v>
      </c>
      <c r="AG353" s="16">
        <v>0</v>
      </c>
      <c r="AH353">
        <v>71</v>
      </c>
    </row>
    <row r="354" spans="1:38" x14ac:dyDescent="0.2">
      <c r="A354">
        <f t="shared" si="51"/>
        <v>87.5</v>
      </c>
      <c r="E354">
        <f t="shared" si="52"/>
        <v>87.5</v>
      </c>
      <c r="I354">
        <f t="shared" si="53"/>
        <v>87.5</v>
      </c>
      <c r="J354" t="s">
        <v>30</v>
      </c>
      <c r="K354">
        <v>41</v>
      </c>
      <c r="L354">
        <f>16.35117682*1.059464^K354</f>
        <v>174.61573954711864</v>
      </c>
      <c r="M354">
        <f t="shared" si="54"/>
        <v>87.5</v>
      </c>
      <c r="N354" t="s">
        <v>327</v>
      </c>
      <c r="O354">
        <v>44</v>
      </c>
      <c r="P354">
        <f>16.35117682*1.059464^O354</f>
        <v>207.65481237683719</v>
      </c>
      <c r="R354">
        <v>60</v>
      </c>
      <c r="S354" t="s">
        <v>482</v>
      </c>
      <c r="T354">
        <v>53</v>
      </c>
      <c r="U354">
        <f t="shared" si="55"/>
        <v>349.23506143398839</v>
      </c>
      <c r="V354">
        <f t="shared" si="57"/>
        <v>5</v>
      </c>
      <c r="W354">
        <v>60</v>
      </c>
      <c r="AB354">
        <v>72</v>
      </c>
      <c r="AC354" t="s">
        <v>390</v>
      </c>
      <c r="AD354">
        <v>53</v>
      </c>
      <c r="AE354">
        <f t="shared" si="56"/>
        <v>349.23506143398839</v>
      </c>
      <c r="AF354">
        <f t="shared" si="58"/>
        <v>0</v>
      </c>
      <c r="AG354" s="16">
        <v>0</v>
      </c>
      <c r="AH354">
        <v>72</v>
      </c>
    </row>
    <row r="355" spans="1:38" x14ac:dyDescent="0.2">
      <c r="A355">
        <f t="shared" si="51"/>
        <v>87.75</v>
      </c>
      <c r="E355">
        <f t="shared" si="52"/>
        <v>87.75</v>
      </c>
      <c r="I355">
        <f t="shared" si="53"/>
        <v>87.75</v>
      </c>
      <c r="M355">
        <f t="shared" si="54"/>
        <v>87.75</v>
      </c>
      <c r="R355">
        <v>61.5</v>
      </c>
      <c r="S355" t="s">
        <v>480</v>
      </c>
      <c r="T355">
        <v>50</v>
      </c>
      <c r="U355">
        <f t="shared" si="55"/>
        <v>293.66975814369101</v>
      </c>
      <c r="V355">
        <f t="shared" si="57"/>
        <v>3</v>
      </c>
      <c r="W355">
        <v>61.5</v>
      </c>
      <c r="AB355">
        <v>73</v>
      </c>
      <c r="AC355" t="s">
        <v>390</v>
      </c>
      <c r="AD355">
        <v>53</v>
      </c>
      <c r="AE355">
        <f t="shared" si="56"/>
        <v>349.23506143398839</v>
      </c>
      <c r="AF355">
        <f t="shared" si="58"/>
        <v>0</v>
      </c>
      <c r="AG355" s="16">
        <v>0</v>
      </c>
      <c r="AH355">
        <v>73</v>
      </c>
    </row>
    <row r="356" spans="1:38" x14ac:dyDescent="0.2">
      <c r="A356">
        <f t="shared" si="51"/>
        <v>88</v>
      </c>
      <c r="B356" t="s">
        <v>479</v>
      </c>
      <c r="C356">
        <v>48</v>
      </c>
      <c r="D356">
        <f>16.35117682*1.059464^C356</f>
        <v>261.62956379894968</v>
      </c>
      <c r="E356">
        <f t="shared" si="52"/>
        <v>88</v>
      </c>
      <c r="I356">
        <f t="shared" si="53"/>
        <v>88</v>
      </c>
      <c r="J356" t="s">
        <v>29</v>
      </c>
      <c r="K356">
        <v>40</v>
      </c>
      <c r="L356">
        <f>16.35117682*1.059464^K356</f>
        <v>164.8151702626221</v>
      </c>
      <c r="M356">
        <f t="shared" si="54"/>
        <v>88</v>
      </c>
      <c r="N356" t="s">
        <v>328</v>
      </c>
      <c r="O356">
        <v>43</v>
      </c>
      <c r="P356">
        <f>16.35117682*1.059464^O356</f>
        <v>195.99987576438383</v>
      </c>
      <c r="R356">
        <v>62.5</v>
      </c>
      <c r="S356" t="s">
        <v>239</v>
      </c>
      <c r="T356">
        <v>55</v>
      </c>
      <c r="U356">
        <f t="shared" si="55"/>
        <v>392.00377257605692</v>
      </c>
      <c r="V356">
        <f t="shared" si="57"/>
        <v>5</v>
      </c>
      <c r="W356">
        <v>62.5</v>
      </c>
      <c r="X356" t="s">
        <v>47</v>
      </c>
      <c r="Y356">
        <v>47</v>
      </c>
      <c r="Z356">
        <f>16.35117682*1.059464^Y356</f>
        <v>246.94521361646048</v>
      </c>
      <c r="AA356">
        <f>ABS(Y356-T355)</f>
        <v>3</v>
      </c>
      <c r="AB356">
        <v>74</v>
      </c>
      <c r="AC356" t="s">
        <v>391</v>
      </c>
      <c r="AD356">
        <v>54</v>
      </c>
      <c r="AE356">
        <f t="shared" si="56"/>
        <v>370.00197512709912</v>
      </c>
      <c r="AF356">
        <f t="shared" si="58"/>
        <v>1</v>
      </c>
      <c r="AG356" s="16">
        <v>1</v>
      </c>
      <c r="AH356">
        <v>74</v>
      </c>
    </row>
    <row r="357" spans="1:38" x14ac:dyDescent="0.2">
      <c r="A357">
        <f t="shared" si="51"/>
        <v>88.25</v>
      </c>
      <c r="B357" t="s">
        <v>480</v>
      </c>
      <c r="C357">
        <v>50</v>
      </c>
      <c r="D357">
        <f>16.35117682*1.059464^C357</f>
        <v>293.66975814369101</v>
      </c>
      <c r="E357">
        <f t="shared" si="52"/>
        <v>88.25</v>
      </c>
      <c r="I357">
        <f t="shared" si="53"/>
        <v>88.25</v>
      </c>
      <c r="M357">
        <f t="shared" si="54"/>
        <v>88.25</v>
      </c>
      <c r="R357">
        <v>63.5</v>
      </c>
      <c r="S357" t="s">
        <v>239</v>
      </c>
      <c r="T357">
        <v>55</v>
      </c>
      <c r="U357">
        <f t="shared" si="55"/>
        <v>392.00377257605692</v>
      </c>
      <c r="V357">
        <f t="shared" si="57"/>
        <v>0</v>
      </c>
      <c r="W357">
        <v>63.5</v>
      </c>
      <c r="X357" t="s">
        <v>482</v>
      </c>
      <c r="Y357">
        <v>53</v>
      </c>
      <c r="Z357">
        <f>16.35117682*1.059464^Y357</f>
        <v>349.23506143398839</v>
      </c>
      <c r="AA357">
        <f>ABS(Y357-T356)</f>
        <v>2</v>
      </c>
      <c r="AB357">
        <v>75</v>
      </c>
      <c r="AC357" t="s">
        <v>18</v>
      </c>
      <c r="AD357">
        <v>54</v>
      </c>
      <c r="AE357">
        <f t="shared" si="56"/>
        <v>370.00197512709912</v>
      </c>
      <c r="AF357">
        <f t="shared" si="58"/>
        <v>0</v>
      </c>
      <c r="AG357" s="16">
        <v>0</v>
      </c>
      <c r="AH357">
        <v>75</v>
      </c>
    </row>
    <row r="358" spans="1:38" x14ac:dyDescent="0.2">
      <c r="A358">
        <f t="shared" si="51"/>
        <v>88.5</v>
      </c>
      <c r="E358">
        <f t="shared" si="52"/>
        <v>88.5</v>
      </c>
      <c r="I358">
        <f t="shared" si="53"/>
        <v>88.5</v>
      </c>
      <c r="J358" t="s">
        <v>170</v>
      </c>
      <c r="K358">
        <v>39</v>
      </c>
      <c r="L358">
        <f>16.35117682*1.059464^K358</f>
        <v>155.56467257275574</v>
      </c>
      <c r="M358">
        <f t="shared" si="54"/>
        <v>88.5</v>
      </c>
      <c r="N358" t="s">
        <v>329</v>
      </c>
      <c r="O358">
        <v>42</v>
      </c>
      <c r="P358">
        <f>16.35117682*1.059464^O358</f>
        <v>184.99908988354849</v>
      </c>
      <c r="R358">
        <v>64.5</v>
      </c>
      <c r="S358" t="s">
        <v>481</v>
      </c>
      <c r="T358">
        <v>52</v>
      </c>
      <c r="U358">
        <f t="shared" si="55"/>
        <v>329.63372180082422</v>
      </c>
      <c r="V358">
        <f t="shared" si="57"/>
        <v>3</v>
      </c>
      <c r="W358">
        <v>64.5</v>
      </c>
      <c r="X358" t="s">
        <v>239</v>
      </c>
      <c r="Y358">
        <v>55</v>
      </c>
      <c r="Z358">
        <f>16.35117682*1.059464^Y358</f>
        <v>392.00377257605692</v>
      </c>
      <c r="AA358">
        <f>ABS(Y358-T357)</f>
        <v>0</v>
      </c>
      <c r="AB358">
        <v>76</v>
      </c>
      <c r="AC358" t="s">
        <v>20</v>
      </c>
      <c r="AD358">
        <v>60</v>
      </c>
      <c r="AE358">
        <f t="shared" si="56"/>
        <v>523.26449507501752</v>
      </c>
      <c r="AF358">
        <f t="shared" si="58"/>
        <v>6</v>
      </c>
      <c r="AG358" s="16">
        <v>6</v>
      </c>
      <c r="AH358">
        <v>76</v>
      </c>
    </row>
    <row r="359" spans="1:38" x14ac:dyDescent="0.2">
      <c r="A359">
        <f t="shared" si="51"/>
        <v>88.75</v>
      </c>
      <c r="B359" t="s">
        <v>479</v>
      </c>
      <c r="C359">
        <v>48</v>
      </c>
      <c r="D359">
        <f>16.35117682*1.059464^C359</f>
        <v>261.62956379894968</v>
      </c>
      <c r="E359">
        <f t="shared" si="52"/>
        <v>88.75</v>
      </c>
      <c r="I359">
        <f t="shared" si="53"/>
        <v>88.75</v>
      </c>
      <c r="M359">
        <f t="shared" si="54"/>
        <v>88.75</v>
      </c>
      <c r="R359">
        <v>66</v>
      </c>
      <c r="S359" t="s">
        <v>292</v>
      </c>
      <c r="T359">
        <v>46</v>
      </c>
      <c r="U359">
        <f t="shared" si="55"/>
        <v>233.08504452861115</v>
      </c>
      <c r="V359">
        <f t="shared" si="57"/>
        <v>6</v>
      </c>
      <c r="W359">
        <v>66</v>
      </c>
      <c r="AB359">
        <v>78</v>
      </c>
      <c r="AC359" t="s">
        <v>22</v>
      </c>
      <c r="AD359">
        <v>57</v>
      </c>
      <c r="AE359">
        <f t="shared" si="56"/>
        <v>440.01010976071973</v>
      </c>
      <c r="AF359">
        <f t="shared" si="58"/>
        <v>3</v>
      </c>
      <c r="AG359" s="16">
        <v>3</v>
      </c>
      <c r="AH359">
        <v>78</v>
      </c>
    </row>
    <row r="360" spans="1:38" x14ac:dyDescent="0.2">
      <c r="A360">
        <f t="shared" si="51"/>
        <v>89</v>
      </c>
      <c r="B360" t="s">
        <v>44</v>
      </c>
      <c r="C360">
        <v>43</v>
      </c>
      <c r="D360">
        <f>16.35117682*1.059464^C360</f>
        <v>195.99987576438383</v>
      </c>
      <c r="E360">
        <f t="shared" si="52"/>
        <v>89</v>
      </c>
      <c r="I360">
        <f t="shared" si="53"/>
        <v>89</v>
      </c>
      <c r="J360" t="s">
        <v>28</v>
      </c>
      <c r="K360">
        <v>38</v>
      </c>
      <c r="L360">
        <f>16.35117682*1.059464^K360</f>
        <v>146.83337288738056</v>
      </c>
      <c r="M360">
        <f t="shared" si="54"/>
        <v>89</v>
      </c>
      <c r="N360" t="s">
        <v>330</v>
      </c>
      <c r="O360">
        <v>41</v>
      </c>
      <c r="P360">
        <f>16.35117682*1.059464^O360</f>
        <v>174.61573954711864</v>
      </c>
      <c r="R360">
        <v>67</v>
      </c>
      <c r="S360" t="s">
        <v>482</v>
      </c>
      <c r="T360">
        <v>53</v>
      </c>
      <c r="U360">
        <f t="shared" si="55"/>
        <v>349.23506143398839</v>
      </c>
      <c r="V360">
        <f t="shared" si="57"/>
        <v>7</v>
      </c>
      <c r="W360">
        <v>67</v>
      </c>
      <c r="AB360">
        <v>80</v>
      </c>
      <c r="AC360" t="s">
        <v>480</v>
      </c>
      <c r="AD360">
        <v>50</v>
      </c>
      <c r="AE360">
        <f t="shared" si="56"/>
        <v>293.66975814369101</v>
      </c>
      <c r="AF360">
        <f t="shared" si="58"/>
        <v>7</v>
      </c>
      <c r="AG360" s="16">
        <v>7</v>
      </c>
      <c r="AH360">
        <v>80</v>
      </c>
      <c r="AI360" t="s">
        <v>390</v>
      </c>
      <c r="AJ360">
        <v>53</v>
      </c>
      <c r="AK360">
        <f t="shared" ref="AK360:AK371" si="59">16.35117682*1.059464^AJ360</f>
        <v>349.23506143398839</v>
      </c>
      <c r="AL360">
        <f>ABS(AJ360-AD359)</f>
        <v>4</v>
      </c>
    </row>
    <row r="361" spans="1:38" x14ac:dyDescent="0.2">
      <c r="A361">
        <f t="shared" si="51"/>
        <v>89.25</v>
      </c>
      <c r="E361">
        <f t="shared" si="52"/>
        <v>89.25</v>
      </c>
      <c r="I361">
        <f t="shared" si="53"/>
        <v>89.25</v>
      </c>
      <c r="M361">
        <f t="shared" si="54"/>
        <v>89.25</v>
      </c>
      <c r="R361">
        <v>68</v>
      </c>
      <c r="S361" t="s">
        <v>411</v>
      </c>
      <c r="T361">
        <v>58</v>
      </c>
      <c r="U361">
        <f t="shared" si="55"/>
        <v>466.17487092753117</v>
      </c>
      <c r="V361">
        <f t="shared" si="57"/>
        <v>5</v>
      </c>
      <c r="W361">
        <v>68</v>
      </c>
      <c r="AB361">
        <v>81</v>
      </c>
      <c r="AC361" t="s">
        <v>481</v>
      </c>
      <c r="AD361">
        <v>52</v>
      </c>
      <c r="AE361">
        <f t="shared" si="56"/>
        <v>329.63372180082422</v>
      </c>
      <c r="AF361">
        <f t="shared" si="58"/>
        <v>2</v>
      </c>
      <c r="AG361" s="16">
        <v>2</v>
      </c>
      <c r="AH361">
        <v>81</v>
      </c>
      <c r="AI361" t="s">
        <v>392</v>
      </c>
      <c r="AJ361">
        <v>55</v>
      </c>
      <c r="AK361">
        <f t="shared" si="59"/>
        <v>392.00377257605692</v>
      </c>
      <c r="AL361">
        <f t="shared" ref="AL361:AL371" si="60">ABS(AJ361-AJ360)</f>
        <v>2</v>
      </c>
    </row>
    <row r="362" spans="1:38" x14ac:dyDescent="0.2">
      <c r="A362">
        <f t="shared" si="51"/>
        <v>89.5</v>
      </c>
      <c r="B362" t="s">
        <v>44</v>
      </c>
      <c r="C362">
        <v>43</v>
      </c>
      <c r="D362">
        <f>16.35117682*1.059464^C362</f>
        <v>195.99987576438383</v>
      </c>
      <c r="E362">
        <f t="shared" si="52"/>
        <v>89.5</v>
      </c>
      <c r="I362">
        <f t="shared" si="53"/>
        <v>89.5</v>
      </c>
      <c r="J362" t="s">
        <v>387</v>
      </c>
      <c r="K362">
        <v>37</v>
      </c>
      <c r="L362">
        <f>16.35117682*1.059464^K362</f>
        <v>138.5921304427338</v>
      </c>
      <c r="M362">
        <f t="shared" si="54"/>
        <v>89.5</v>
      </c>
      <c r="N362" t="s">
        <v>331</v>
      </c>
      <c r="O362">
        <v>42</v>
      </c>
      <c r="P362">
        <f>16.35117682*1.059464^O362</f>
        <v>184.99908988354849</v>
      </c>
      <c r="R362">
        <v>69</v>
      </c>
      <c r="S362" t="s">
        <v>246</v>
      </c>
      <c r="T362">
        <v>65</v>
      </c>
      <c r="U362">
        <f t="shared" si="55"/>
        <v>698.47728762097279</v>
      </c>
      <c r="V362">
        <f t="shared" si="57"/>
        <v>7</v>
      </c>
      <c r="W362">
        <v>69</v>
      </c>
      <c r="AB362">
        <v>82</v>
      </c>
      <c r="AC362" t="s">
        <v>480</v>
      </c>
      <c r="AD362">
        <v>50</v>
      </c>
      <c r="AE362">
        <f t="shared" si="56"/>
        <v>293.66975814369101</v>
      </c>
      <c r="AF362">
        <f t="shared" si="58"/>
        <v>2</v>
      </c>
      <c r="AG362" s="16">
        <v>2</v>
      </c>
      <c r="AH362">
        <v>82</v>
      </c>
      <c r="AI362" t="s">
        <v>390</v>
      </c>
      <c r="AJ362">
        <v>53</v>
      </c>
      <c r="AK362">
        <f t="shared" si="59"/>
        <v>349.23506143398839</v>
      </c>
      <c r="AL362">
        <f t="shared" si="60"/>
        <v>2</v>
      </c>
    </row>
    <row r="363" spans="1:38" x14ac:dyDescent="0.2">
      <c r="A363">
        <f t="shared" si="51"/>
        <v>89.75</v>
      </c>
      <c r="B363" t="s">
        <v>47</v>
      </c>
      <c r="C363">
        <v>47</v>
      </c>
      <c r="D363">
        <f>16.35117682*1.059464^C363</f>
        <v>246.94521361646048</v>
      </c>
      <c r="E363">
        <f t="shared" si="52"/>
        <v>89.75</v>
      </c>
      <c r="I363">
        <f t="shared" si="53"/>
        <v>89.75</v>
      </c>
      <c r="M363">
        <f t="shared" si="54"/>
        <v>89.75</v>
      </c>
      <c r="R363">
        <v>70</v>
      </c>
      <c r="S363" t="s">
        <v>246</v>
      </c>
      <c r="T363">
        <v>65</v>
      </c>
      <c r="U363">
        <f t="shared" si="55"/>
        <v>698.47728762097279</v>
      </c>
      <c r="V363">
        <f t="shared" si="57"/>
        <v>0</v>
      </c>
      <c r="W363">
        <v>70</v>
      </c>
      <c r="AB363">
        <v>83</v>
      </c>
      <c r="AC363" t="s">
        <v>480</v>
      </c>
      <c r="AD363">
        <v>50</v>
      </c>
      <c r="AE363">
        <f t="shared" si="56"/>
        <v>293.66975814369101</v>
      </c>
      <c r="AF363">
        <f t="shared" si="58"/>
        <v>0</v>
      </c>
      <c r="AG363" s="16">
        <v>0</v>
      </c>
      <c r="AH363">
        <v>83</v>
      </c>
      <c r="AI363" t="s">
        <v>390</v>
      </c>
      <c r="AJ363">
        <v>53</v>
      </c>
      <c r="AK363">
        <f t="shared" si="59"/>
        <v>349.23506143398839</v>
      </c>
      <c r="AL363">
        <f t="shared" si="60"/>
        <v>0</v>
      </c>
    </row>
    <row r="364" spans="1:38" x14ac:dyDescent="0.2">
      <c r="A364">
        <f t="shared" si="51"/>
        <v>90</v>
      </c>
      <c r="B364" t="s">
        <v>44</v>
      </c>
      <c r="C364">
        <v>43</v>
      </c>
      <c r="D364">
        <f>16.35117682*1.059464^C364</f>
        <v>195.99987576438383</v>
      </c>
      <c r="E364">
        <f t="shared" si="52"/>
        <v>90</v>
      </c>
      <c r="I364">
        <f t="shared" si="53"/>
        <v>90</v>
      </c>
      <c r="J364" t="s">
        <v>29</v>
      </c>
      <c r="K364">
        <v>38</v>
      </c>
      <c r="L364">
        <f>16.35117682*1.059464^K364</f>
        <v>146.83337288738056</v>
      </c>
      <c r="M364">
        <f t="shared" si="54"/>
        <v>90</v>
      </c>
      <c r="N364" t="s">
        <v>330</v>
      </c>
      <c r="O364">
        <v>41</v>
      </c>
      <c r="P364">
        <f>16.35117682*1.059464^O364</f>
        <v>174.61573954711864</v>
      </c>
      <c r="R364">
        <v>71</v>
      </c>
      <c r="S364" t="s">
        <v>246</v>
      </c>
      <c r="T364">
        <v>65</v>
      </c>
      <c r="U364">
        <f t="shared" si="55"/>
        <v>698.47728762097279</v>
      </c>
      <c r="V364">
        <f t="shared" si="57"/>
        <v>0</v>
      </c>
      <c r="W364">
        <v>71</v>
      </c>
      <c r="AB364">
        <v>84</v>
      </c>
      <c r="AC364" t="s">
        <v>479</v>
      </c>
      <c r="AD364">
        <v>48</v>
      </c>
      <c r="AE364">
        <f t="shared" si="56"/>
        <v>261.62956379894968</v>
      </c>
      <c r="AF364">
        <f t="shared" si="58"/>
        <v>2</v>
      </c>
      <c r="AG364" s="16">
        <v>2</v>
      </c>
      <c r="AH364">
        <v>84</v>
      </c>
      <c r="AI364" t="s">
        <v>222</v>
      </c>
      <c r="AJ364">
        <v>51</v>
      </c>
      <c r="AK364">
        <f t="shared" si="59"/>
        <v>311.13253664194741</v>
      </c>
      <c r="AL364">
        <f t="shared" si="60"/>
        <v>2</v>
      </c>
    </row>
    <row r="365" spans="1:38" x14ac:dyDescent="0.2">
      <c r="A365">
        <f t="shared" si="51"/>
        <v>90.25</v>
      </c>
      <c r="E365">
        <f t="shared" si="52"/>
        <v>90.25</v>
      </c>
      <c r="I365">
        <f t="shared" si="53"/>
        <v>90.25</v>
      </c>
      <c r="M365">
        <f t="shared" si="54"/>
        <v>90.25</v>
      </c>
      <c r="R365">
        <v>72</v>
      </c>
      <c r="S365" t="s">
        <v>246</v>
      </c>
      <c r="T365">
        <v>65</v>
      </c>
      <c r="U365">
        <f t="shared" si="55"/>
        <v>698.47728762097279</v>
      </c>
      <c r="V365">
        <f t="shared" si="57"/>
        <v>0</v>
      </c>
      <c r="W365">
        <v>72</v>
      </c>
      <c r="AB365">
        <v>85</v>
      </c>
      <c r="AC365" t="s">
        <v>292</v>
      </c>
      <c r="AD365">
        <v>46</v>
      </c>
      <c r="AE365">
        <f t="shared" si="56"/>
        <v>233.08504452861115</v>
      </c>
      <c r="AF365">
        <f t="shared" si="58"/>
        <v>2</v>
      </c>
      <c r="AG365" s="16">
        <v>2</v>
      </c>
      <c r="AH365">
        <v>85</v>
      </c>
      <c r="AI365" t="s">
        <v>223</v>
      </c>
      <c r="AJ365">
        <v>49</v>
      </c>
      <c r="AK365">
        <f t="shared" si="59"/>
        <v>277.18710418069043</v>
      </c>
      <c r="AL365">
        <f t="shared" si="60"/>
        <v>2</v>
      </c>
    </row>
    <row r="366" spans="1:38" x14ac:dyDescent="0.2">
      <c r="A366">
        <f t="shared" si="51"/>
        <v>90.5</v>
      </c>
      <c r="E366">
        <f t="shared" si="52"/>
        <v>90.5</v>
      </c>
      <c r="I366">
        <f t="shared" si="53"/>
        <v>90.5</v>
      </c>
      <c r="J366" t="s">
        <v>45</v>
      </c>
      <c r="K366">
        <v>31</v>
      </c>
      <c r="L366">
        <f>16.35117682*1.059464^K366</f>
        <v>97.998932630681253</v>
      </c>
      <c r="M366">
        <f t="shared" si="54"/>
        <v>90.5</v>
      </c>
      <c r="R366">
        <v>73</v>
      </c>
      <c r="S366" t="s">
        <v>246</v>
      </c>
      <c r="T366">
        <v>65</v>
      </c>
      <c r="U366">
        <f t="shared" si="55"/>
        <v>698.47728762097279</v>
      </c>
      <c r="V366">
        <f t="shared" si="57"/>
        <v>0</v>
      </c>
      <c r="W366">
        <v>73</v>
      </c>
      <c r="AB366">
        <v>86</v>
      </c>
      <c r="AC366" t="s">
        <v>168</v>
      </c>
      <c r="AD366">
        <v>44</v>
      </c>
      <c r="AE366">
        <f t="shared" si="56"/>
        <v>207.65481237683719</v>
      </c>
      <c r="AF366">
        <f t="shared" si="58"/>
        <v>2</v>
      </c>
      <c r="AG366" s="16">
        <v>2</v>
      </c>
      <c r="AH366">
        <v>86</v>
      </c>
      <c r="AI366" t="s">
        <v>307</v>
      </c>
      <c r="AJ366">
        <v>47</v>
      </c>
      <c r="AK366">
        <f t="shared" si="59"/>
        <v>246.94521361646048</v>
      </c>
      <c r="AL366">
        <f t="shared" si="60"/>
        <v>2</v>
      </c>
    </row>
    <row r="367" spans="1:38" x14ac:dyDescent="0.2">
      <c r="A367">
        <f t="shared" si="51"/>
        <v>90.75</v>
      </c>
      <c r="E367">
        <f t="shared" si="52"/>
        <v>90.75</v>
      </c>
      <c r="I367">
        <f t="shared" si="53"/>
        <v>90.75</v>
      </c>
      <c r="M367">
        <f t="shared" si="54"/>
        <v>90.75</v>
      </c>
      <c r="R367">
        <v>74</v>
      </c>
      <c r="S367" t="s">
        <v>166</v>
      </c>
      <c r="T367">
        <v>66</v>
      </c>
      <c r="U367">
        <f t="shared" si="55"/>
        <v>740.01154105206626</v>
      </c>
      <c r="V367">
        <f t="shared" si="57"/>
        <v>1</v>
      </c>
      <c r="W367">
        <v>74</v>
      </c>
      <c r="AB367">
        <v>87</v>
      </c>
      <c r="AC367" t="s">
        <v>169</v>
      </c>
      <c r="AD367">
        <v>42</v>
      </c>
      <c r="AE367">
        <f t="shared" si="56"/>
        <v>184.99908988354849</v>
      </c>
      <c r="AF367">
        <f t="shared" si="58"/>
        <v>2</v>
      </c>
      <c r="AG367" s="16">
        <v>2</v>
      </c>
      <c r="AH367">
        <v>87</v>
      </c>
      <c r="AI367" t="s">
        <v>487</v>
      </c>
      <c r="AJ367">
        <v>45</v>
      </c>
      <c r="AK367">
        <f t="shared" si="59"/>
        <v>220.00279814001337</v>
      </c>
      <c r="AL367">
        <f t="shared" si="60"/>
        <v>2</v>
      </c>
    </row>
    <row r="368" spans="1:38" x14ac:dyDescent="0.2">
      <c r="A368">
        <f t="shared" si="51"/>
        <v>91</v>
      </c>
      <c r="E368">
        <f t="shared" si="52"/>
        <v>91</v>
      </c>
      <c r="I368">
        <f t="shared" si="53"/>
        <v>91</v>
      </c>
      <c r="J368" t="s">
        <v>170</v>
      </c>
      <c r="K368">
        <v>37</v>
      </c>
      <c r="L368">
        <f>16.35117682*1.059464^K368</f>
        <v>138.5921304427338</v>
      </c>
      <c r="M368">
        <f t="shared" si="54"/>
        <v>91</v>
      </c>
      <c r="N368" t="s">
        <v>330</v>
      </c>
      <c r="O368">
        <v>41</v>
      </c>
      <c r="P368">
        <f>16.35117682*1.059464^O368</f>
        <v>174.61573954711864</v>
      </c>
      <c r="R368">
        <v>75</v>
      </c>
      <c r="S368" t="s">
        <v>166</v>
      </c>
      <c r="T368">
        <v>66</v>
      </c>
      <c r="U368">
        <f t="shared" si="55"/>
        <v>740.01154105206626</v>
      </c>
      <c r="V368">
        <f t="shared" si="57"/>
        <v>0</v>
      </c>
      <c r="W368">
        <v>75</v>
      </c>
      <c r="AB368">
        <v>88</v>
      </c>
      <c r="AC368" t="s">
        <v>29</v>
      </c>
      <c r="AD368">
        <v>40</v>
      </c>
      <c r="AE368">
        <f t="shared" si="56"/>
        <v>164.8151702626221</v>
      </c>
      <c r="AF368">
        <f t="shared" si="58"/>
        <v>2</v>
      </c>
      <c r="AG368" s="16">
        <v>2</v>
      </c>
      <c r="AH368">
        <v>88</v>
      </c>
      <c r="AI368" t="s">
        <v>444</v>
      </c>
      <c r="AJ368">
        <v>43</v>
      </c>
      <c r="AK368">
        <f t="shared" si="59"/>
        <v>195.99987576438383</v>
      </c>
      <c r="AL368">
        <f t="shared" si="60"/>
        <v>2</v>
      </c>
    </row>
    <row r="369" spans="1:38" x14ac:dyDescent="0.2">
      <c r="A369">
        <f t="shared" si="51"/>
        <v>91.25</v>
      </c>
      <c r="E369">
        <f t="shared" si="52"/>
        <v>91.25</v>
      </c>
      <c r="I369">
        <f t="shared" si="53"/>
        <v>91.25</v>
      </c>
      <c r="M369">
        <f t="shared" si="54"/>
        <v>91.25</v>
      </c>
      <c r="R369">
        <v>76.25</v>
      </c>
      <c r="S369" t="s">
        <v>245</v>
      </c>
      <c r="T369">
        <v>67</v>
      </c>
      <c r="U369">
        <f t="shared" si="55"/>
        <v>784.01558732918636</v>
      </c>
      <c r="V369">
        <f t="shared" si="57"/>
        <v>1</v>
      </c>
      <c r="W369">
        <v>76.25</v>
      </c>
      <c r="AB369">
        <v>89</v>
      </c>
      <c r="AC369" t="s">
        <v>28</v>
      </c>
      <c r="AD369">
        <v>38</v>
      </c>
      <c r="AE369">
        <f t="shared" si="56"/>
        <v>146.83337288738056</v>
      </c>
      <c r="AF369">
        <f t="shared" si="58"/>
        <v>2</v>
      </c>
      <c r="AG369" s="16">
        <v>2</v>
      </c>
      <c r="AH369">
        <v>89</v>
      </c>
      <c r="AI369" t="s">
        <v>318</v>
      </c>
      <c r="AJ369">
        <v>41</v>
      </c>
      <c r="AK369">
        <f t="shared" si="59"/>
        <v>174.61573954711864</v>
      </c>
      <c r="AL369">
        <f t="shared" si="60"/>
        <v>2</v>
      </c>
    </row>
    <row r="370" spans="1:38" x14ac:dyDescent="0.2">
      <c r="A370">
        <f t="shared" si="51"/>
        <v>91.5</v>
      </c>
      <c r="E370">
        <f t="shared" si="52"/>
        <v>91.5</v>
      </c>
      <c r="I370">
        <f t="shared" si="53"/>
        <v>91.5</v>
      </c>
      <c r="J370" t="s">
        <v>45</v>
      </c>
      <c r="K370">
        <v>31</v>
      </c>
      <c r="L370">
        <f>16.35117682*1.059464^K370</f>
        <v>97.998932630681253</v>
      </c>
      <c r="M370">
        <f t="shared" si="54"/>
        <v>91.5</v>
      </c>
      <c r="R370">
        <v>77</v>
      </c>
      <c r="S370" t="s">
        <v>245</v>
      </c>
      <c r="T370">
        <v>67</v>
      </c>
      <c r="U370">
        <f t="shared" si="55"/>
        <v>784.01558732918636</v>
      </c>
      <c r="V370">
        <f t="shared" si="57"/>
        <v>0</v>
      </c>
      <c r="W370">
        <v>77</v>
      </c>
      <c r="AB370">
        <v>90</v>
      </c>
      <c r="AC370" t="s">
        <v>29</v>
      </c>
      <c r="AD370">
        <v>38</v>
      </c>
      <c r="AE370">
        <f t="shared" si="56"/>
        <v>146.83337288738056</v>
      </c>
      <c r="AF370">
        <f t="shared" si="58"/>
        <v>0</v>
      </c>
      <c r="AG370" s="16">
        <v>2</v>
      </c>
      <c r="AH370">
        <v>90</v>
      </c>
      <c r="AI370" t="s">
        <v>318</v>
      </c>
      <c r="AJ370">
        <v>41</v>
      </c>
      <c r="AK370">
        <f t="shared" si="59"/>
        <v>174.61573954711864</v>
      </c>
      <c r="AL370">
        <f t="shared" si="60"/>
        <v>0</v>
      </c>
    </row>
    <row r="371" spans="1:38" x14ac:dyDescent="0.2">
      <c r="A371">
        <f t="shared" si="51"/>
        <v>91.75</v>
      </c>
      <c r="E371">
        <f t="shared" si="52"/>
        <v>91.75</v>
      </c>
      <c r="I371">
        <f t="shared" si="53"/>
        <v>91.75</v>
      </c>
      <c r="M371">
        <f t="shared" si="54"/>
        <v>91.75</v>
      </c>
      <c r="R371">
        <v>78</v>
      </c>
      <c r="S371" t="s">
        <v>240</v>
      </c>
      <c r="T371">
        <v>60</v>
      </c>
      <c r="U371">
        <f t="shared" ref="U371:U402" si="61">16.35117682*1.059464^T371</f>
        <v>523.26449507501752</v>
      </c>
      <c r="V371">
        <f t="shared" si="57"/>
        <v>7</v>
      </c>
      <c r="W371">
        <v>78</v>
      </c>
      <c r="AB371">
        <v>91</v>
      </c>
      <c r="AC371" t="s">
        <v>170</v>
      </c>
      <c r="AD371">
        <v>37</v>
      </c>
      <c r="AE371">
        <f t="shared" ref="AE371:AE402" si="62">16.35117682*1.059464^AD371</f>
        <v>138.5921304427338</v>
      </c>
      <c r="AF371">
        <f t="shared" si="58"/>
        <v>1</v>
      </c>
      <c r="AG371" s="16">
        <v>1</v>
      </c>
      <c r="AH371">
        <v>91</v>
      </c>
      <c r="AI371" t="s">
        <v>318</v>
      </c>
      <c r="AJ371">
        <v>41</v>
      </c>
      <c r="AK371">
        <f t="shared" si="59"/>
        <v>174.61573954711864</v>
      </c>
      <c r="AL371">
        <f t="shared" si="60"/>
        <v>0</v>
      </c>
    </row>
    <row r="372" spans="1:38" x14ac:dyDescent="0.2">
      <c r="A372">
        <f t="shared" si="51"/>
        <v>92</v>
      </c>
      <c r="B372" t="s">
        <v>29</v>
      </c>
      <c r="C372">
        <v>40</v>
      </c>
      <c r="D372">
        <f>16.35117682*1.059464^C372</f>
        <v>164.8151702626221</v>
      </c>
      <c r="E372">
        <f t="shared" si="52"/>
        <v>92</v>
      </c>
      <c r="I372">
        <f t="shared" si="53"/>
        <v>92</v>
      </c>
      <c r="J372" t="s">
        <v>27</v>
      </c>
      <c r="K372">
        <v>36</v>
      </c>
      <c r="L372">
        <f>16.35117682*1.059464^K372</f>
        <v>130.81344004395982</v>
      </c>
      <c r="M372">
        <f t="shared" si="54"/>
        <v>92</v>
      </c>
      <c r="R372">
        <v>78.75</v>
      </c>
      <c r="S372" t="s">
        <v>240</v>
      </c>
      <c r="T372">
        <v>60</v>
      </c>
      <c r="U372">
        <f t="shared" si="61"/>
        <v>523.26449507501752</v>
      </c>
      <c r="V372">
        <f t="shared" ref="V372:V403" si="63">ABS(T372-T371)</f>
        <v>0</v>
      </c>
      <c r="W372">
        <v>78.75</v>
      </c>
      <c r="AB372">
        <v>92</v>
      </c>
      <c r="AC372" t="s">
        <v>27</v>
      </c>
      <c r="AD372">
        <v>36</v>
      </c>
      <c r="AE372">
        <f t="shared" si="62"/>
        <v>130.81344004395982</v>
      </c>
      <c r="AF372">
        <f t="shared" ref="AF372:AF403" si="64">ABS(AD372-AD371)</f>
        <v>1</v>
      </c>
      <c r="AG372" s="16">
        <v>3</v>
      </c>
      <c r="AH372">
        <v>92</v>
      </c>
    </row>
    <row r="373" spans="1:38" x14ac:dyDescent="0.2">
      <c r="A373">
        <f t="shared" si="51"/>
        <v>92.25</v>
      </c>
      <c r="B373" t="s">
        <v>44</v>
      </c>
      <c r="C373">
        <v>43</v>
      </c>
      <c r="D373">
        <f>16.35117682*1.059464^C373</f>
        <v>195.99987576438383</v>
      </c>
      <c r="E373">
        <f t="shared" si="52"/>
        <v>92.25</v>
      </c>
      <c r="I373">
        <f t="shared" si="53"/>
        <v>92.25</v>
      </c>
      <c r="M373">
        <f t="shared" si="54"/>
        <v>92.25</v>
      </c>
      <c r="R373">
        <v>79.5</v>
      </c>
      <c r="S373" t="s">
        <v>240</v>
      </c>
      <c r="T373">
        <v>60</v>
      </c>
      <c r="U373">
        <f t="shared" si="61"/>
        <v>523.26449507501752</v>
      </c>
      <c r="V373">
        <f t="shared" si="63"/>
        <v>0</v>
      </c>
      <c r="W373">
        <v>79.5</v>
      </c>
      <c r="AB373">
        <v>93</v>
      </c>
      <c r="AC373" t="s">
        <v>412</v>
      </c>
      <c r="AD373">
        <v>35</v>
      </c>
      <c r="AE373">
        <f t="shared" si="62"/>
        <v>123.4713402663609</v>
      </c>
      <c r="AF373">
        <f t="shared" si="64"/>
        <v>1</v>
      </c>
      <c r="AG373" s="16">
        <v>1</v>
      </c>
      <c r="AH373">
        <v>93</v>
      </c>
    </row>
    <row r="374" spans="1:38" x14ac:dyDescent="0.2">
      <c r="A374">
        <f t="shared" si="51"/>
        <v>92.5</v>
      </c>
      <c r="E374">
        <f t="shared" si="52"/>
        <v>92.5</v>
      </c>
      <c r="I374">
        <f t="shared" si="53"/>
        <v>92.5</v>
      </c>
      <c r="J374" t="s">
        <v>479</v>
      </c>
      <c r="K374">
        <v>48</v>
      </c>
      <c r="L374">
        <f>16.35117682*1.059464^K374</f>
        <v>261.62956379894968</v>
      </c>
      <c r="M374">
        <f t="shared" si="54"/>
        <v>92.5</v>
      </c>
      <c r="R374">
        <v>80.25</v>
      </c>
      <c r="S374" t="s">
        <v>240</v>
      </c>
      <c r="T374">
        <v>60</v>
      </c>
      <c r="U374">
        <f t="shared" si="61"/>
        <v>523.26449507501752</v>
      </c>
      <c r="V374">
        <f t="shared" si="63"/>
        <v>0</v>
      </c>
      <c r="W374">
        <v>80.25</v>
      </c>
      <c r="AB374">
        <v>94</v>
      </c>
      <c r="AC374" t="s">
        <v>414</v>
      </c>
      <c r="AD374">
        <v>33</v>
      </c>
      <c r="AE374">
        <f t="shared" si="62"/>
        <v>110.00027071140791</v>
      </c>
      <c r="AF374">
        <f t="shared" si="64"/>
        <v>2</v>
      </c>
      <c r="AG374" s="16">
        <v>2</v>
      </c>
      <c r="AH374">
        <v>94</v>
      </c>
    </row>
    <row r="375" spans="1:38" x14ac:dyDescent="0.2">
      <c r="A375">
        <f t="shared" si="51"/>
        <v>92.75</v>
      </c>
      <c r="B375" t="s">
        <v>29</v>
      </c>
      <c r="C375">
        <v>40</v>
      </c>
      <c r="D375">
        <f>16.35117682*1.059464^C375</f>
        <v>164.8151702626221</v>
      </c>
      <c r="E375">
        <f t="shared" si="52"/>
        <v>92.75</v>
      </c>
      <c r="I375">
        <f t="shared" si="53"/>
        <v>92.75</v>
      </c>
      <c r="M375">
        <f t="shared" si="54"/>
        <v>92.75</v>
      </c>
      <c r="R375">
        <v>81</v>
      </c>
      <c r="S375" t="s">
        <v>240</v>
      </c>
      <c r="T375">
        <v>60</v>
      </c>
      <c r="U375">
        <f t="shared" si="61"/>
        <v>523.26449507501752</v>
      </c>
      <c r="V375">
        <f t="shared" si="63"/>
        <v>0</v>
      </c>
      <c r="W375">
        <v>81</v>
      </c>
      <c r="AB375">
        <v>95</v>
      </c>
      <c r="AC375" t="s">
        <v>45</v>
      </c>
      <c r="AD375">
        <v>31</v>
      </c>
      <c r="AE375">
        <f t="shared" si="62"/>
        <v>97.998932630681253</v>
      </c>
      <c r="AF375">
        <f t="shared" si="64"/>
        <v>2</v>
      </c>
      <c r="AG375" s="16">
        <v>2</v>
      </c>
      <c r="AH375">
        <v>95</v>
      </c>
    </row>
    <row r="376" spans="1:38" x14ac:dyDescent="0.2">
      <c r="A376">
        <f t="shared" si="51"/>
        <v>93</v>
      </c>
      <c r="B376" t="s">
        <v>44</v>
      </c>
      <c r="C376">
        <v>43</v>
      </c>
      <c r="D376">
        <f>16.35117682*1.059464^C376</f>
        <v>195.99987576438383</v>
      </c>
      <c r="E376">
        <f t="shared" si="52"/>
        <v>93</v>
      </c>
      <c r="I376">
        <f t="shared" si="53"/>
        <v>93</v>
      </c>
      <c r="J376" t="s">
        <v>412</v>
      </c>
      <c r="K376">
        <v>35</v>
      </c>
      <c r="L376">
        <f>16.35117682*1.059464^K376</f>
        <v>123.4713402663609</v>
      </c>
      <c r="M376">
        <f t="shared" si="54"/>
        <v>93</v>
      </c>
      <c r="R376">
        <v>81.75</v>
      </c>
      <c r="S376" t="s">
        <v>240</v>
      </c>
      <c r="T376">
        <v>60</v>
      </c>
      <c r="U376">
        <f t="shared" si="61"/>
        <v>523.26449507501752</v>
      </c>
      <c r="V376">
        <f t="shared" si="63"/>
        <v>0</v>
      </c>
      <c r="W376">
        <v>81.75</v>
      </c>
      <c r="AB376">
        <v>96</v>
      </c>
      <c r="AC376" t="s">
        <v>388</v>
      </c>
      <c r="AD376">
        <v>29</v>
      </c>
      <c r="AE376">
        <f t="shared" si="62"/>
        <v>87.306974197808145</v>
      </c>
      <c r="AF376">
        <f t="shared" si="64"/>
        <v>2</v>
      </c>
      <c r="AG376" s="16">
        <v>2</v>
      </c>
      <c r="AH376">
        <v>96</v>
      </c>
    </row>
    <row r="377" spans="1:38" x14ac:dyDescent="0.2">
      <c r="A377">
        <f t="shared" si="51"/>
        <v>93.25</v>
      </c>
      <c r="E377">
        <f t="shared" si="52"/>
        <v>93.25</v>
      </c>
      <c r="I377">
        <f t="shared" si="53"/>
        <v>93.25</v>
      </c>
      <c r="M377">
        <f t="shared" si="54"/>
        <v>93.25</v>
      </c>
      <c r="R377">
        <v>84</v>
      </c>
      <c r="S377" t="s">
        <v>239</v>
      </c>
      <c r="T377">
        <v>55</v>
      </c>
      <c r="U377">
        <f t="shared" si="61"/>
        <v>392.00377257605692</v>
      </c>
      <c r="V377">
        <f t="shared" si="63"/>
        <v>5</v>
      </c>
      <c r="W377">
        <v>84</v>
      </c>
      <c r="AB377">
        <v>97</v>
      </c>
      <c r="AC377" t="s">
        <v>389</v>
      </c>
      <c r="AD377">
        <v>28</v>
      </c>
      <c r="AE377">
        <f t="shared" si="62"/>
        <v>82.406739821087044</v>
      </c>
      <c r="AF377">
        <f t="shared" si="64"/>
        <v>1</v>
      </c>
      <c r="AG377" s="16">
        <v>1</v>
      </c>
      <c r="AH377">
        <v>97</v>
      </c>
    </row>
    <row r="378" spans="1:38" x14ac:dyDescent="0.2">
      <c r="A378">
        <f t="shared" si="51"/>
        <v>93.5</v>
      </c>
      <c r="B378" t="s">
        <v>29</v>
      </c>
      <c r="C378">
        <v>40</v>
      </c>
      <c r="D378">
        <f>16.35117682*1.059464^C378</f>
        <v>164.8151702626221</v>
      </c>
      <c r="E378">
        <f t="shared" si="52"/>
        <v>93.5</v>
      </c>
      <c r="I378">
        <f t="shared" si="53"/>
        <v>93.5</v>
      </c>
      <c r="J378" t="s">
        <v>47</v>
      </c>
      <c r="K378">
        <v>47</v>
      </c>
      <c r="L378">
        <f>16.35117682*1.059464^K378</f>
        <v>246.94521361646048</v>
      </c>
      <c r="M378">
        <f t="shared" si="54"/>
        <v>93.5</v>
      </c>
      <c r="R378">
        <v>84.75</v>
      </c>
      <c r="S378" t="s">
        <v>239</v>
      </c>
      <c r="T378">
        <v>55</v>
      </c>
      <c r="U378">
        <f t="shared" si="61"/>
        <v>392.00377257605692</v>
      </c>
      <c r="V378">
        <f t="shared" si="63"/>
        <v>0</v>
      </c>
      <c r="W378">
        <v>84.75</v>
      </c>
      <c r="AB378">
        <v>98</v>
      </c>
      <c r="AC378" t="s">
        <v>413</v>
      </c>
      <c r="AD378">
        <v>26</v>
      </c>
      <c r="AE378">
        <f t="shared" si="62"/>
        <v>73.415933359182759</v>
      </c>
      <c r="AF378">
        <f t="shared" si="64"/>
        <v>2</v>
      </c>
      <c r="AG378" s="16">
        <v>2</v>
      </c>
      <c r="AH378">
        <v>98</v>
      </c>
    </row>
    <row r="379" spans="1:38" x14ac:dyDescent="0.2">
      <c r="A379">
        <f t="shared" si="51"/>
        <v>93.75</v>
      </c>
      <c r="E379">
        <f t="shared" si="52"/>
        <v>93.75</v>
      </c>
      <c r="I379">
        <f t="shared" si="53"/>
        <v>93.75</v>
      </c>
      <c r="M379">
        <f t="shared" si="54"/>
        <v>93.75</v>
      </c>
      <c r="R379">
        <v>85.5</v>
      </c>
      <c r="S379" t="s">
        <v>239</v>
      </c>
      <c r="T379">
        <v>55</v>
      </c>
      <c r="U379">
        <f t="shared" si="61"/>
        <v>392.00377257605692</v>
      </c>
      <c r="V379">
        <f t="shared" si="63"/>
        <v>0</v>
      </c>
      <c r="W379">
        <v>85.5</v>
      </c>
      <c r="AB379">
        <v>99</v>
      </c>
      <c r="AC379" t="s">
        <v>388</v>
      </c>
      <c r="AD379">
        <v>29</v>
      </c>
      <c r="AE379">
        <f t="shared" si="62"/>
        <v>87.306974197808145</v>
      </c>
      <c r="AF379">
        <f t="shared" si="64"/>
        <v>3</v>
      </c>
      <c r="AG379" s="16">
        <v>3</v>
      </c>
      <c r="AH379">
        <v>99</v>
      </c>
    </row>
    <row r="380" spans="1:38" x14ac:dyDescent="0.2">
      <c r="A380">
        <f t="shared" si="51"/>
        <v>94</v>
      </c>
      <c r="B380" t="s">
        <v>27</v>
      </c>
      <c r="C380">
        <v>36</v>
      </c>
      <c r="D380">
        <f>16.35117682*1.059464^C380</f>
        <v>130.81344004395982</v>
      </c>
      <c r="E380">
        <f t="shared" si="52"/>
        <v>94</v>
      </c>
      <c r="I380">
        <f t="shared" si="53"/>
        <v>94</v>
      </c>
      <c r="J380" t="s">
        <v>414</v>
      </c>
      <c r="K380">
        <v>33</v>
      </c>
      <c r="L380">
        <f>16.35117682*1.059464^K380</f>
        <v>110.00027071140791</v>
      </c>
      <c r="M380">
        <f t="shared" si="54"/>
        <v>94</v>
      </c>
      <c r="R380">
        <v>86.25</v>
      </c>
      <c r="S380" t="s">
        <v>482</v>
      </c>
      <c r="T380">
        <v>53</v>
      </c>
      <c r="U380">
        <f t="shared" si="61"/>
        <v>349.23506143398839</v>
      </c>
      <c r="V380">
        <f t="shared" si="63"/>
        <v>2</v>
      </c>
      <c r="W380">
        <v>86.25</v>
      </c>
      <c r="AB380">
        <v>100</v>
      </c>
      <c r="AC380" t="s">
        <v>45</v>
      </c>
      <c r="AD380">
        <v>31</v>
      </c>
      <c r="AE380">
        <f t="shared" si="62"/>
        <v>97.998932630681253</v>
      </c>
      <c r="AF380">
        <f t="shared" si="64"/>
        <v>2</v>
      </c>
      <c r="AG380" s="16">
        <v>2</v>
      </c>
      <c r="AH380">
        <v>100</v>
      </c>
    </row>
    <row r="381" spans="1:38" x14ac:dyDescent="0.2">
      <c r="A381">
        <f t="shared" si="51"/>
        <v>94.25</v>
      </c>
      <c r="B381" t="s">
        <v>29</v>
      </c>
      <c r="C381">
        <v>40</v>
      </c>
      <c r="D381">
        <f>16.35117682*1.059464^C381</f>
        <v>164.8151702626221</v>
      </c>
      <c r="E381">
        <f t="shared" si="52"/>
        <v>94.25</v>
      </c>
      <c r="I381">
        <f t="shared" si="53"/>
        <v>94.25</v>
      </c>
      <c r="M381">
        <f t="shared" si="54"/>
        <v>94.25</v>
      </c>
      <c r="R381">
        <v>87</v>
      </c>
      <c r="S381" t="s">
        <v>479</v>
      </c>
      <c r="T381">
        <v>48</v>
      </c>
      <c r="U381">
        <f t="shared" si="61"/>
        <v>261.62956379894968</v>
      </c>
      <c r="V381">
        <f t="shared" si="63"/>
        <v>5</v>
      </c>
      <c r="W381">
        <v>87</v>
      </c>
      <c r="AB381">
        <v>100.75</v>
      </c>
      <c r="AC381" t="s">
        <v>27</v>
      </c>
      <c r="AD381">
        <v>36</v>
      </c>
      <c r="AE381">
        <f t="shared" si="62"/>
        <v>130.81344004395982</v>
      </c>
      <c r="AF381">
        <f t="shared" si="64"/>
        <v>5</v>
      </c>
      <c r="AG381" s="16">
        <v>5</v>
      </c>
      <c r="AH381">
        <v>100.75</v>
      </c>
    </row>
    <row r="382" spans="1:38" x14ac:dyDescent="0.2">
      <c r="A382">
        <f t="shared" si="51"/>
        <v>94.5</v>
      </c>
      <c r="E382">
        <f t="shared" si="52"/>
        <v>94.5</v>
      </c>
      <c r="I382">
        <f t="shared" si="53"/>
        <v>94.5</v>
      </c>
      <c r="J382" t="s">
        <v>46</v>
      </c>
      <c r="K382">
        <v>45</v>
      </c>
      <c r="L382">
        <f>16.35117682*1.059464^K382</f>
        <v>220.00279814001337</v>
      </c>
      <c r="M382">
        <f t="shared" si="54"/>
        <v>94.5</v>
      </c>
      <c r="R382">
        <v>88.25</v>
      </c>
      <c r="S382" t="s">
        <v>480</v>
      </c>
      <c r="T382">
        <v>50</v>
      </c>
      <c r="U382">
        <f t="shared" si="61"/>
        <v>293.66975814369101</v>
      </c>
      <c r="V382">
        <f t="shared" si="63"/>
        <v>2</v>
      </c>
      <c r="W382">
        <v>88.25</v>
      </c>
      <c r="AB382">
        <v>102.25</v>
      </c>
      <c r="AC382" t="s">
        <v>46</v>
      </c>
      <c r="AD382">
        <v>45</v>
      </c>
      <c r="AE382">
        <f t="shared" si="62"/>
        <v>220.00279814001337</v>
      </c>
      <c r="AF382">
        <f t="shared" si="64"/>
        <v>9</v>
      </c>
      <c r="AG382" s="16">
        <v>9</v>
      </c>
      <c r="AH382">
        <v>102.25</v>
      </c>
    </row>
    <row r="383" spans="1:38" x14ac:dyDescent="0.2">
      <c r="A383">
        <f t="shared" si="51"/>
        <v>94.75</v>
      </c>
      <c r="B383" t="s">
        <v>27</v>
      </c>
      <c r="C383">
        <v>36</v>
      </c>
      <c r="D383">
        <f>16.35117682*1.059464^C383</f>
        <v>130.81344004395982</v>
      </c>
      <c r="E383">
        <f t="shared" si="52"/>
        <v>94.75</v>
      </c>
      <c r="I383">
        <f t="shared" si="53"/>
        <v>94.75</v>
      </c>
      <c r="M383">
        <f t="shared" si="54"/>
        <v>94.75</v>
      </c>
      <c r="R383">
        <v>89</v>
      </c>
      <c r="S383" t="s">
        <v>44</v>
      </c>
      <c r="T383">
        <v>43</v>
      </c>
      <c r="U383">
        <f t="shared" si="61"/>
        <v>195.99987576438383</v>
      </c>
      <c r="V383">
        <f t="shared" si="63"/>
        <v>7</v>
      </c>
      <c r="W383">
        <v>89</v>
      </c>
      <c r="AB383">
        <v>104</v>
      </c>
      <c r="AC383" t="s">
        <v>243</v>
      </c>
      <c r="AD383">
        <v>57</v>
      </c>
      <c r="AE383">
        <f t="shared" si="62"/>
        <v>440.01010976071973</v>
      </c>
      <c r="AF383">
        <f t="shared" si="64"/>
        <v>12</v>
      </c>
      <c r="AG383" s="16">
        <v>12</v>
      </c>
      <c r="AH383">
        <v>104</v>
      </c>
    </row>
    <row r="384" spans="1:38" x14ac:dyDescent="0.2">
      <c r="A384">
        <f t="shared" si="51"/>
        <v>95</v>
      </c>
      <c r="B384" t="s">
        <v>29</v>
      </c>
      <c r="C384">
        <v>40</v>
      </c>
      <c r="D384">
        <f>16.35117682*1.059464^C384</f>
        <v>164.8151702626221</v>
      </c>
      <c r="E384">
        <f t="shared" si="52"/>
        <v>95</v>
      </c>
      <c r="I384">
        <f t="shared" si="53"/>
        <v>95</v>
      </c>
      <c r="J384" t="s">
        <v>45</v>
      </c>
      <c r="K384">
        <v>31</v>
      </c>
      <c r="L384">
        <f>16.35117682*1.059464^K384</f>
        <v>97.998932630681253</v>
      </c>
      <c r="M384">
        <f t="shared" si="54"/>
        <v>95</v>
      </c>
      <c r="R384">
        <v>89.75</v>
      </c>
      <c r="S384" t="s">
        <v>47</v>
      </c>
      <c r="T384">
        <v>47</v>
      </c>
      <c r="U384">
        <f t="shared" si="61"/>
        <v>246.94521361646048</v>
      </c>
      <c r="V384">
        <f t="shared" si="63"/>
        <v>4</v>
      </c>
      <c r="W384">
        <v>89.75</v>
      </c>
      <c r="AB384">
        <v>104.75</v>
      </c>
      <c r="AC384" t="s">
        <v>242</v>
      </c>
      <c r="AD384">
        <v>62</v>
      </c>
      <c r="AE384">
        <f t="shared" si="62"/>
        <v>587.34554108704231</v>
      </c>
      <c r="AF384">
        <f t="shared" si="64"/>
        <v>5</v>
      </c>
      <c r="AG384" s="16">
        <v>5</v>
      </c>
      <c r="AH384">
        <v>104.75</v>
      </c>
    </row>
    <row r="385" spans="1:34" x14ac:dyDescent="0.2">
      <c r="A385">
        <f t="shared" si="51"/>
        <v>95.25</v>
      </c>
      <c r="E385">
        <f t="shared" si="52"/>
        <v>95.25</v>
      </c>
      <c r="I385">
        <f t="shared" si="53"/>
        <v>95.25</v>
      </c>
      <c r="M385">
        <f t="shared" si="54"/>
        <v>95.25</v>
      </c>
      <c r="R385">
        <v>92</v>
      </c>
      <c r="S385" t="s">
        <v>29</v>
      </c>
      <c r="T385">
        <v>40</v>
      </c>
      <c r="U385">
        <f t="shared" si="61"/>
        <v>164.8151702626221</v>
      </c>
      <c r="V385">
        <f t="shared" si="63"/>
        <v>7</v>
      </c>
      <c r="W385">
        <v>92</v>
      </c>
      <c r="AB385">
        <v>106</v>
      </c>
      <c r="AC385" t="s">
        <v>240</v>
      </c>
      <c r="AD385">
        <v>60</v>
      </c>
      <c r="AE385">
        <f t="shared" si="62"/>
        <v>523.26449507501752</v>
      </c>
      <c r="AF385">
        <f t="shared" si="64"/>
        <v>2</v>
      </c>
      <c r="AG385" s="16">
        <v>2</v>
      </c>
      <c r="AH385">
        <v>106</v>
      </c>
    </row>
    <row r="386" spans="1:34" x14ac:dyDescent="0.2">
      <c r="A386">
        <f t="shared" si="51"/>
        <v>95.5</v>
      </c>
      <c r="B386" t="s">
        <v>27</v>
      </c>
      <c r="C386">
        <v>36</v>
      </c>
      <c r="D386">
        <f>16.35117682*1.059464^C386</f>
        <v>130.81344004395982</v>
      </c>
      <c r="E386">
        <f t="shared" si="52"/>
        <v>95.5</v>
      </c>
      <c r="I386">
        <f t="shared" si="53"/>
        <v>95.5</v>
      </c>
      <c r="J386" t="s">
        <v>44</v>
      </c>
      <c r="K386">
        <v>43</v>
      </c>
      <c r="L386">
        <f>16.35117682*1.059464^K386</f>
        <v>195.99987576438383</v>
      </c>
      <c r="M386">
        <f t="shared" si="54"/>
        <v>95.5</v>
      </c>
      <c r="R386">
        <v>92.75</v>
      </c>
      <c r="S386" t="s">
        <v>29</v>
      </c>
      <c r="T386">
        <v>40</v>
      </c>
      <c r="U386">
        <f t="shared" si="61"/>
        <v>164.8151702626221</v>
      </c>
      <c r="V386">
        <f t="shared" si="63"/>
        <v>0</v>
      </c>
      <c r="W386">
        <v>92.75</v>
      </c>
      <c r="AB386">
        <v>108</v>
      </c>
      <c r="AC386" t="s">
        <v>479</v>
      </c>
      <c r="AD386">
        <v>48</v>
      </c>
      <c r="AE386">
        <f t="shared" si="62"/>
        <v>261.62956379894968</v>
      </c>
      <c r="AF386">
        <f t="shared" si="64"/>
        <v>12</v>
      </c>
      <c r="AG386" s="16">
        <v>12</v>
      </c>
      <c r="AH386">
        <v>108</v>
      </c>
    </row>
    <row r="387" spans="1:34" x14ac:dyDescent="0.2">
      <c r="A387">
        <f t="shared" si="51"/>
        <v>95.75</v>
      </c>
      <c r="E387">
        <f t="shared" si="52"/>
        <v>95.75</v>
      </c>
      <c r="I387">
        <f t="shared" si="53"/>
        <v>95.75</v>
      </c>
      <c r="M387">
        <f t="shared" si="54"/>
        <v>95.75</v>
      </c>
      <c r="R387">
        <v>93.5</v>
      </c>
      <c r="S387" t="s">
        <v>29</v>
      </c>
      <c r="T387">
        <v>40</v>
      </c>
      <c r="U387">
        <f t="shared" si="61"/>
        <v>164.8151702626221</v>
      </c>
      <c r="V387">
        <f t="shared" si="63"/>
        <v>0</v>
      </c>
      <c r="W387">
        <v>93.5</v>
      </c>
      <c r="AB387">
        <v>110</v>
      </c>
      <c r="AC387" t="s">
        <v>318</v>
      </c>
      <c r="AD387">
        <v>41</v>
      </c>
      <c r="AE387">
        <f t="shared" si="62"/>
        <v>174.61573954711864</v>
      </c>
      <c r="AF387">
        <f t="shared" si="64"/>
        <v>7</v>
      </c>
      <c r="AG387" s="16">
        <v>7</v>
      </c>
      <c r="AH387">
        <v>110</v>
      </c>
    </row>
    <row r="388" spans="1:34" x14ac:dyDescent="0.2">
      <c r="A388">
        <f t="shared" si="51"/>
        <v>96</v>
      </c>
      <c r="B388" t="s">
        <v>414</v>
      </c>
      <c r="C388">
        <v>33</v>
      </c>
      <c r="D388">
        <f>16.35117682*1.059464^C388</f>
        <v>110.00027071140791</v>
      </c>
      <c r="E388">
        <f t="shared" si="52"/>
        <v>96</v>
      </c>
      <c r="I388">
        <f t="shared" si="53"/>
        <v>96</v>
      </c>
      <c r="J388" t="s">
        <v>388</v>
      </c>
      <c r="K388">
        <v>29</v>
      </c>
      <c r="L388">
        <f>16.35117682*1.059464^K388</f>
        <v>87.306974197808145</v>
      </c>
      <c r="M388">
        <f t="shared" si="54"/>
        <v>96</v>
      </c>
      <c r="R388">
        <v>94.25</v>
      </c>
      <c r="S388" t="s">
        <v>29</v>
      </c>
      <c r="T388">
        <v>40</v>
      </c>
      <c r="U388">
        <f t="shared" si="61"/>
        <v>164.8151702626221</v>
      </c>
      <c r="V388">
        <f t="shared" si="63"/>
        <v>0</v>
      </c>
      <c r="W388">
        <v>94.25</v>
      </c>
      <c r="AB388">
        <v>112</v>
      </c>
      <c r="AC388" t="s">
        <v>333</v>
      </c>
      <c r="AD388">
        <v>40</v>
      </c>
      <c r="AE388">
        <f t="shared" si="62"/>
        <v>164.8151702626221</v>
      </c>
      <c r="AF388">
        <f t="shared" si="64"/>
        <v>1</v>
      </c>
      <c r="AG388" s="16">
        <v>1</v>
      </c>
      <c r="AH388">
        <v>112</v>
      </c>
    </row>
    <row r="389" spans="1:34" x14ac:dyDescent="0.2">
      <c r="A389">
        <f t="shared" ref="A389:A452" si="65">A388+0.25</f>
        <v>96.25</v>
      </c>
      <c r="B389" t="s">
        <v>27</v>
      </c>
      <c r="C389">
        <v>36</v>
      </c>
      <c r="D389">
        <f>16.35117682*1.059464^C389</f>
        <v>130.81344004395982</v>
      </c>
      <c r="E389">
        <f t="shared" ref="E389:E452" si="66">E388+0.25</f>
        <v>96.25</v>
      </c>
      <c r="I389">
        <f t="shared" ref="I389:I452" si="67">I388+0.25</f>
        <v>96.25</v>
      </c>
      <c r="M389">
        <f t="shared" ref="M389:M452" si="68">M388+0.25</f>
        <v>96.25</v>
      </c>
      <c r="R389">
        <v>95</v>
      </c>
      <c r="S389" t="s">
        <v>29</v>
      </c>
      <c r="T389">
        <v>40</v>
      </c>
      <c r="U389">
        <f t="shared" si="61"/>
        <v>164.8151702626221</v>
      </c>
      <c r="V389">
        <f t="shared" si="63"/>
        <v>0</v>
      </c>
      <c r="W389">
        <v>95</v>
      </c>
      <c r="AB389">
        <v>113.5</v>
      </c>
      <c r="AC389" t="s">
        <v>47</v>
      </c>
      <c r="AD389">
        <v>47</v>
      </c>
      <c r="AE389">
        <f t="shared" si="62"/>
        <v>246.94521361646048</v>
      </c>
      <c r="AF389">
        <f t="shared" si="64"/>
        <v>7</v>
      </c>
      <c r="AG389" s="16">
        <v>7</v>
      </c>
      <c r="AH389">
        <v>113.5</v>
      </c>
    </row>
    <row r="390" spans="1:34" x14ac:dyDescent="0.2">
      <c r="A390">
        <f t="shared" si="65"/>
        <v>96.5</v>
      </c>
      <c r="E390">
        <f t="shared" si="66"/>
        <v>96.5</v>
      </c>
      <c r="I390">
        <f t="shared" si="67"/>
        <v>96.5</v>
      </c>
      <c r="J390" t="s">
        <v>30</v>
      </c>
      <c r="K390">
        <v>41</v>
      </c>
      <c r="L390">
        <f>16.35117682*1.059464^K390</f>
        <v>174.61573954711864</v>
      </c>
      <c r="M390">
        <f t="shared" si="68"/>
        <v>96.5</v>
      </c>
      <c r="R390">
        <v>96</v>
      </c>
      <c r="S390" t="s">
        <v>414</v>
      </c>
      <c r="T390">
        <v>33</v>
      </c>
      <c r="U390">
        <f t="shared" si="61"/>
        <v>110.00027071140791</v>
      </c>
      <c r="V390">
        <f t="shared" si="63"/>
        <v>7</v>
      </c>
      <c r="W390">
        <v>96</v>
      </c>
      <c r="AB390">
        <v>115.5</v>
      </c>
      <c r="AC390" t="s">
        <v>67</v>
      </c>
      <c r="AD390">
        <v>33</v>
      </c>
      <c r="AE390">
        <f t="shared" si="62"/>
        <v>110.00027071140791</v>
      </c>
      <c r="AF390">
        <f t="shared" si="64"/>
        <v>14</v>
      </c>
      <c r="AG390" s="16">
        <v>14</v>
      </c>
      <c r="AH390">
        <v>115.5</v>
      </c>
    </row>
    <row r="391" spans="1:34" x14ac:dyDescent="0.2">
      <c r="A391">
        <f t="shared" si="65"/>
        <v>96.75</v>
      </c>
      <c r="B391" t="s">
        <v>414</v>
      </c>
      <c r="C391">
        <v>33</v>
      </c>
      <c r="D391">
        <f>16.35117682*1.059464^C391</f>
        <v>110.00027071140791</v>
      </c>
      <c r="E391">
        <f t="shared" si="66"/>
        <v>96.75</v>
      </c>
      <c r="I391">
        <f t="shared" si="67"/>
        <v>96.75</v>
      </c>
      <c r="M391">
        <f t="shared" si="68"/>
        <v>96.75</v>
      </c>
      <c r="R391">
        <v>96.75</v>
      </c>
      <c r="S391" t="s">
        <v>414</v>
      </c>
      <c r="T391">
        <v>33</v>
      </c>
      <c r="U391">
        <f t="shared" si="61"/>
        <v>110.00027071140791</v>
      </c>
      <c r="V391">
        <f t="shared" si="63"/>
        <v>0</v>
      </c>
      <c r="W391">
        <v>96.75</v>
      </c>
      <c r="AB391">
        <v>116.5</v>
      </c>
      <c r="AC391" t="s">
        <v>82</v>
      </c>
      <c r="AD391">
        <v>38</v>
      </c>
      <c r="AE391">
        <f t="shared" si="62"/>
        <v>146.83337288738056</v>
      </c>
      <c r="AF391">
        <f t="shared" si="64"/>
        <v>5</v>
      </c>
      <c r="AG391" s="16">
        <v>5</v>
      </c>
      <c r="AH391">
        <v>116.5</v>
      </c>
    </row>
    <row r="392" spans="1:34" x14ac:dyDescent="0.2">
      <c r="A392">
        <f t="shared" si="65"/>
        <v>97</v>
      </c>
      <c r="B392" t="s">
        <v>27</v>
      </c>
      <c r="C392">
        <v>36</v>
      </c>
      <c r="D392">
        <f>16.35117682*1.059464^C392</f>
        <v>130.81344004395982</v>
      </c>
      <c r="E392">
        <f t="shared" si="66"/>
        <v>97</v>
      </c>
      <c r="I392">
        <f t="shared" si="67"/>
        <v>97</v>
      </c>
      <c r="J392" t="s">
        <v>389</v>
      </c>
      <c r="K392">
        <v>28</v>
      </c>
      <c r="L392">
        <f>16.35117682*1.059464^K392</f>
        <v>82.406739821087044</v>
      </c>
      <c r="M392">
        <f t="shared" si="68"/>
        <v>97</v>
      </c>
      <c r="R392">
        <v>97.5</v>
      </c>
      <c r="S392" t="s">
        <v>414</v>
      </c>
      <c r="T392">
        <v>33</v>
      </c>
      <c r="U392">
        <f t="shared" si="61"/>
        <v>110.00027071140791</v>
      </c>
      <c r="V392">
        <f t="shared" si="63"/>
        <v>0</v>
      </c>
      <c r="W392">
        <v>97.5</v>
      </c>
      <c r="AB392">
        <v>117.5</v>
      </c>
      <c r="AC392" t="s">
        <v>444</v>
      </c>
      <c r="AD392">
        <v>43</v>
      </c>
      <c r="AE392">
        <f t="shared" si="62"/>
        <v>195.99987576438383</v>
      </c>
      <c r="AF392">
        <f t="shared" si="64"/>
        <v>5</v>
      </c>
      <c r="AG392" s="16">
        <v>5</v>
      </c>
      <c r="AH392">
        <v>117.5</v>
      </c>
    </row>
    <row r="393" spans="1:34" x14ac:dyDescent="0.2">
      <c r="A393">
        <f t="shared" si="65"/>
        <v>97.25</v>
      </c>
      <c r="E393">
        <f t="shared" si="66"/>
        <v>97.25</v>
      </c>
      <c r="I393">
        <f t="shared" si="67"/>
        <v>97.25</v>
      </c>
      <c r="M393">
        <f t="shared" si="68"/>
        <v>97.25</v>
      </c>
      <c r="R393">
        <v>98</v>
      </c>
      <c r="S393" t="s">
        <v>414</v>
      </c>
      <c r="T393">
        <v>33</v>
      </c>
      <c r="U393">
        <f t="shared" si="61"/>
        <v>110.00027071140791</v>
      </c>
      <c r="V393">
        <f t="shared" si="63"/>
        <v>0</v>
      </c>
      <c r="W393">
        <v>98</v>
      </c>
      <c r="AB393">
        <v>118.5</v>
      </c>
      <c r="AC393" t="s">
        <v>223</v>
      </c>
      <c r="AD393">
        <v>50</v>
      </c>
      <c r="AE393">
        <f t="shared" si="62"/>
        <v>293.66975814369101</v>
      </c>
      <c r="AF393">
        <f t="shared" si="64"/>
        <v>7</v>
      </c>
      <c r="AG393" s="16">
        <v>7</v>
      </c>
      <c r="AH393">
        <v>118.5</v>
      </c>
    </row>
    <row r="394" spans="1:34" x14ac:dyDescent="0.2">
      <c r="A394">
        <f t="shared" si="65"/>
        <v>97.5</v>
      </c>
      <c r="B394" t="s">
        <v>414</v>
      </c>
      <c r="C394">
        <v>33</v>
      </c>
      <c r="D394">
        <f>16.35117682*1.059464^C394</f>
        <v>110.00027071140791</v>
      </c>
      <c r="E394">
        <f t="shared" si="66"/>
        <v>97.5</v>
      </c>
      <c r="I394">
        <f t="shared" si="67"/>
        <v>97.5</v>
      </c>
      <c r="J394" t="s">
        <v>29</v>
      </c>
      <c r="K394">
        <v>40</v>
      </c>
      <c r="L394">
        <f>16.35117682*1.059464^K394</f>
        <v>164.8151702626221</v>
      </c>
      <c r="M394">
        <f t="shared" si="68"/>
        <v>97.5</v>
      </c>
      <c r="R394">
        <v>101.5</v>
      </c>
      <c r="S394" t="s">
        <v>29</v>
      </c>
      <c r="T394">
        <v>40</v>
      </c>
      <c r="U394">
        <f t="shared" si="61"/>
        <v>164.8151702626221</v>
      </c>
      <c r="V394">
        <f t="shared" si="63"/>
        <v>7</v>
      </c>
      <c r="W394">
        <v>101.5</v>
      </c>
      <c r="AB394">
        <v>119.5</v>
      </c>
      <c r="AC394" t="s">
        <v>223</v>
      </c>
      <c r="AD394">
        <v>50</v>
      </c>
      <c r="AE394">
        <f t="shared" si="62"/>
        <v>293.66975814369101</v>
      </c>
      <c r="AF394">
        <f t="shared" si="64"/>
        <v>0</v>
      </c>
      <c r="AG394" s="16">
        <v>0</v>
      </c>
      <c r="AH394">
        <v>119.5</v>
      </c>
    </row>
    <row r="395" spans="1:34" x14ac:dyDescent="0.2">
      <c r="A395">
        <f t="shared" si="65"/>
        <v>97.75</v>
      </c>
      <c r="B395" t="s">
        <v>27</v>
      </c>
      <c r="C395">
        <v>36</v>
      </c>
      <c r="D395">
        <f>16.35117682*1.059464^C395</f>
        <v>130.81344004395982</v>
      </c>
      <c r="E395">
        <f t="shared" si="66"/>
        <v>97.75</v>
      </c>
      <c r="I395">
        <f t="shared" si="67"/>
        <v>97.75</v>
      </c>
      <c r="M395">
        <f t="shared" si="68"/>
        <v>97.75</v>
      </c>
      <c r="R395">
        <v>103.5</v>
      </c>
      <c r="S395" t="s">
        <v>481</v>
      </c>
      <c r="T395">
        <v>52</v>
      </c>
      <c r="U395">
        <f t="shared" si="61"/>
        <v>329.63372180082422</v>
      </c>
      <c r="V395">
        <f t="shared" si="63"/>
        <v>12</v>
      </c>
      <c r="W395">
        <v>103.5</v>
      </c>
      <c r="AB395">
        <v>123.5</v>
      </c>
      <c r="AC395" t="s">
        <v>307</v>
      </c>
      <c r="AD395">
        <v>47</v>
      </c>
      <c r="AE395">
        <f t="shared" si="62"/>
        <v>246.94521361646048</v>
      </c>
      <c r="AF395">
        <f t="shared" si="64"/>
        <v>3</v>
      </c>
      <c r="AG395" s="16">
        <v>3</v>
      </c>
      <c r="AH395">
        <v>123.5</v>
      </c>
    </row>
    <row r="396" spans="1:34" x14ac:dyDescent="0.2">
      <c r="A396">
        <f t="shared" si="65"/>
        <v>98</v>
      </c>
      <c r="B396" t="s">
        <v>414</v>
      </c>
      <c r="C396">
        <v>33</v>
      </c>
      <c r="D396">
        <f>16.35117682*1.059464^C396</f>
        <v>110.00027071140791</v>
      </c>
      <c r="E396">
        <f t="shared" si="66"/>
        <v>98</v>
      </c>
      <c r="I396">
        <f t="shared" si="67"/>
        <v>98</v>
      </c>
      <c r="J396" t="s">
        <v>413</v>
      </c>
      <c r="K396">
        <v>26</v>
      </c>
      <c r="L396">
        <f>16.35117682*1.059464^K396</f>
        <v>73.415933359182759</v>
      </c>
      <c r="M396">
        <f t="shared" si="68"/>
        <v>98</v>
      </c>
      <c r="R396">
        <v>105</v>
      </c>
      <c r="S396" t="s">
        <v>255</v>
      </c>
      <c r="T396">
        <v>64</v>
      </c>
      <c r="U396">
        <f t="shared" si="61"/>
        <v>659.27420622217721</v>
      </c>
      <c r="V396">
        <f t="shared" si="63"/>
        <v>12</v>
      </c>
      <c r="W396">
        <v>105</v>
      </c>
      <c r="AB396">
        <v>125.5</v>
      </c>
      <c r="AC396" t="s">
        <v>487</v>
      </c>
      <c r="AD396">
        <v>45</v>
      </c>
      <c r="AE396">
        <f t="shared" si="62"/>
        <v>220.00279814001337</v>
      </c>
      <c r="AF396">
        <f t="shared" si="64"/>
        <v>2</v>
      </c>
      <c r="AG396" s="16">
        <v>2</v>
      </c>
      <c r="AH396">
        <v>125.5</v>
      </c>
    </row>
    <row r="397" spans="1:34" x14ac:dyDescent="0.2">
      <c r="A397">
        <f t="shared" si="65"/>
        <v>98.25</v>
      </c>
      <c r="E397">
        <f t="shared" si="66"/>
        <v>98.25</v>
      </c>
      <c r="I397">
        <f t="shared" si="67"/>
        <v>98.25</v>
      </c>
      <c r="M397">
        <f t="shared" si="68"/>
        <v>98.25</v>
      </c>
      <c r="R397">
        <v>105.75</v>
      </c>
      <c r="S397" t="s">
        <v>256</v>
      </c>
      <c r="T397">
        <v>69</v>
      </c>
      <c r="U397">
        <f t="shared" si="61"/>
        <v>880.02924657542201</v>
      </c>
      <c r="V397">
        <f t="shared" si="63"/>
        <v>5</v>
      </c>
      <c r="W397">
        <v>105.75</v>
      </c>
      <c r="AB397">
        <v>127.5</v>
      </c>
      <c r="AC397" t="s">
        <v>82</v>
      </c>
      <c r="AD397">
        <v>38</v>
      </c>
      <c r="AE397">
        <f t="shared" si="62"/>
        <v>146.83337288738056</v>
      </c>
      <c r="AF397">
        <f t="shared" si="64"/>
        <v>7</v>
      </c>
      <c r="AG397" s="16">
        <v>7</v>
      </c>
      <c r="AH397">
        <v>127.5</v>
      </c>
    </row>
    <row r="398" spans="1:34" x14ac:dyDescent="0.2">
      <c r="A398">
        <f t="shared" si="65"/>
        <v>98.5</v>
      </c>
      <c r="E398">
        <f t="shared" si="66"/>
        <v>98.5</v>
      </c>
      <c r="I398">
        <f t="shared" si="67"/>
        <v>98.5</v>
      </c>
      <c r="J398" t="s">
        <v>28</v>
      </c>
      <c r="K398">
        <v>38</v>
      </c>
      <c r="L398">
        <f>16.35117682*1.059464^K398</f>
        <v>146.83337288738056</v>
      </c>
      <c r="M398">
        <f t="shared" si="68"/>
        <v>98.5</v>
      </c>
      <c r="R398">
        <v>107.5</v>
      </c>
      <c r="S398" s="1" t="s">
        <v>244</v>
      </c>
      <c r="T398">
        <v>59</v>
      </c>
      <c r="U398">
        <f t="shared" si="61"/>
        <v>493.89549345236594</v>
      </c>
      <c r="V398">
        <f t="shared" si="63"/>
        <v>10</v>
      </c>
      <c r="W398">
        <v>107.5</v>
      </c>
      <c r="AB398">
        <v>129</v>
      </c>
      <c r="AC398" t="s">
        <v>82</v>
      </c>
      <c r="AD398">
        <v>38</v>
      </c>
      <c r="AE398">
        <f t="shared" si="62"/>
        <v>146.83337288738056</v>
      </c>
      <c r="AF398">
        <f t="shared" si="64"/>
        <v>0</v>
      </c>
      <c r="AG398" s="16">
        <v>0</v>
      </c>
      <c r="AH398">
        <v>129</v>
      </c>
    </row>
    <row r="399" spans="1:34" x14ac:dyDescent="0.2">
      <c r="A399">
        <f t="shared" si="65"/>
        <v>98.75</v>
      </c>
      <c r="E399">
        <f t="shared" si="66"/>
        <v>98.75</v>
      </c>
      <c r="I399">
        <f t="shared" si="67"/>
        <v>98.75</v>
      </c>
      <c r="M399">
        <f t="shared" si="68"/>
        <v>98.75</v>
      </c>
      <c r="R399">
        <v>108.5</v>
      </c>
      <c r="S399" t="s">
        <v>411</v>
      </c>
      <c r="T399">
        <v>58</v>
      </c>
      <c r="U399">
        <f t="shared" si="61"/>
        <v>466.17487092753117</v>
      </c>
      <c r="V399">
        <f t="shared" si="63"/>
        <v>1</v>
      </c>
      <c r="W399">
        <v>108.5</v>
      </c>
      <c r="X399" t="s">
        <v>481</v>
      </c>
      <c r="Y399">
        <v>52</v>
      </c>
      <c r="Z399">
        <f>16.35117682*1.059464^Y399</f>
        <v>329.63372180082422</v>
      </c>
      <c r="AA399">
        <f>ABS(Y399-T398)</f>
        <v>7</v>
      </c>
      <c r="AB399">
        <v>130</v>
      </c>
      <c r="AC399" t="s">
        <v>488</v>
      </c>
      <c r="AD399">
        <v>36</v>
      </c>
      <c r="AE399">
        <f t="shared" si="62"/>
        <v>130.81344004395982</v>
      </c>
      <c r="AF399">
        <f t="shared" si="64"/>
        <v>2</v>
      </c>
      <c r="AG399" s="16">
        <v>2</v>
      </c>
      <c r="AH399">
        <v>130</v>
      </c>
    </row>
    <row r="400" spans="1:34" x14ac:dyDescent="0.2">
      <c r="A400">
        <f t="shared" si="65"/>
        <v>99</v>
      </c>
      <c r="E400">
        <f t="shared" si="66"/>
        <v>99</v>
      </c>
      <c r="I400">
        <f t="shared" si="67"/>
        <v>99</v>
      </c>
      <c r="J400" t="s">
        <v>388</v>
      </c>
      <c r="K400">
        <v>29</v>
      </c>
      <c r="L400">
        <f>16.35117682*1.059464^K400</f>
        <v>87.306974197808145</v>
      </c>
      <c r="M400">
        <f t="shared" si="68"/>
        <v>99</v>
      </c>
      <c r="R400">
        <v>110</v>
      </c>
      <c r="S400" t="s">
        <v>482</v>
      </c>
      <c r="T400">
        <v>53</v>
      </c>
      <c r="U400">
        <f t="shared" si="61"/>
        <v>349.23506143398839</v>
      </c>
      <c r="V400">
        <f t="shared" si="63"/>
        <v>5</v>
      </c>
      <c r="W400">
        <v>110</v>
      </c>
      <c r="AB400">
        <v>132</v>
      </c>
      <c r="AC400" t="s">
        <v>81</v>
      </c>
      <c r="AD400">
        <v>34</v>
      </c>
      <c r="AE400">
        <f t="shared" si="62"/>
        <v>116.54132680899107</v>
      </c>
      <c r="AF400">
        <f t="shared" si="64"/>
        <v>2</v>
      </c>
      <c r="AG400" s="16">
        <v>2</v>
      </c>
      <c r="AH400">
        <v>132</v>
      </c>
    </row>
    <row r="401" spans="1:38" x14ac:dyDescent="0.2">
      <c r="A401">
        <f t="shared" si="65"/>
        <v>99.25</v>
      </c>
      <c r="E401">
        <f t="shared" si="66"/>
        <v>99.25</v>
      </c>
      <c r="I401">
        <f t="shared" si="67"/>
        <v>99.25</v>
      </c>
      <c r="M401">
        <f t="shared" si="68"/>
        <v>99.25</v>
      </c>
      <c r="R401">
        <v>111.5</v>
      </c>
      <c r="S401" t="s">
        <v>480</v>
      </c>
      <c r="T401">
        <v>50</v>
      </c>
      <c r="U401">
        <f t="shared" si="61"/>
        <v>293.66975814369101</v>
      </c>
      <c r="V401">
        <f t="shared" si="63"/>
        <v>3</v>
      </c>
      <c r="W401">
        <v>111.5</v>
      </c>
      <c r="AB401">
        <v>133</v>
      </c>
      <c r="AC401" t="s">
        <v>318</v>
      </c>
      <c r="AD401">
        <v>41</v>
      </c>
      <c r="AE401">
        <f t="shared" si="62"/>
        <v>174.61573954711864</v>
      </c>
      <c r="AF401">
        <f t="shared" si="64"/>
        <v>7</v>
      </c>
      <c r="AG401" s="16">
        <v>7</v>
      </c>
      <c r="AH401">
        <v>133</v>
      </c>
    </row>
    <row r="402" spans="1:38" x14ac:dyDescent="0.2">
      <c r="A402">
        <f t="shared" si="65"/>
        <v>99.5</v>
      </c>
      <c r="E402">
        <f t="shared" si="66"/>
        <v>99.5</v>
      </c>
      <c r="I402">
        <f t="shared" si="67"/>
        <v>99.5</v>
      </c>
      <c r="J402" t="s">
        <v>30</v>
      </c>
      <c r="K402">
        <v>41</v>
      </c>
      <c r="L402">
        <f>16.35117682*1.059464^K402</f>
        <v>174.61573954711864</v>
      </c>
      <c r="M402">
        <f t="shared" si="68"/>
        <v>99.5</v>
      </c>
      <c r="R402">
        <v>112.5</v>
      </c>
      <c r="S402" t="s">
        <v>239</v>
      </c>
      <c r="T402">
        <v>55</v>
      </c>
      <c r="U402">
        <f t="shared" si="61"/>
        <v>392.00377257605692</v>
      </c>
      <c r="V402">
        <f t="shared" si="63"/>
        <v>5</v>
      </c>
      <c r="W402">
        <v>112.5</v>
      </c>
      <c r="X402" t="s">
        <v>47</v>
      </c>
      <c r="Y402">
        <v>47</v>
      </c>
      <c r="Z402">
        <f>16.35117682*1.059464^Y402</f>
        <v>246.94521361646048</v>
      </c>
      <c r="AA402">
        <f>ABS(Y402-T401)</f>
        <v>3</v>
      </c>
      <c r="AB402">
        <v>134</v>
      </c>
      <c r="AC402" t="s">
        <v>325</v>
      </c>
      <c r="AD402">
        <v>46</v>
      </c>
      <c r="AE402">
        <f t="shared" si="62"/>
        <v>233.08504452861115</v>
      </c>
      <c r="AF402">
        <f t="shared" si="64"/>
        <v>5</v>
      </c>
      <c r="AG402" s="16">
        <v>5</v>
      </c>
      <c r="AH402">
        <v>134</v>
      </c>
    </row>
    <row r="403" spans="1:38" x14ac:dyDescent="0.2">
      <c r="A403">
        <f t="shared" si="65"/>
        <v>99.75</v>
      </c>
      <c r="E403">
        <f t="shared" si="66"/>
        <v>99.75</v>
      </c>
      <c r="I403">
        <f t="shared" si="67"/>
        <v>99.75</v>
      </c>
      <c r="M403">
        <f t="shared" si="68"/>
        <v>99.75</v>
      </c>
      <c r="R403">
        <v>113.5</v>
      </c>
      <c r="S403" t="s">
        <v>239</v>
      </c>
      <c r="T403">
        <v>55</v>
      </c>
      <c r="U403">
        <f t="shared" ref="U403:U434" si="69">16.35117682*1.059464^T403</f>
        <v>392.00377257605692</v>
      </c>
      <c r="V403">
        <f t="shared" si="63"/>
        <v>0</v>
      </c>
      <c r="W403">
        <v>113.5</v>
      </c>
      <c r="X403" t="s">
        <v>482</v>
      </c>
      <c r="Y403">
        <v>53</v>
      </c>
      <c r="Z403">
        <f>16.35117682*1.059464^Y403</f>
        <v>349.23506143398839</v>
      </c>
      <c r="AA403">
        <f>ABS(Y403-T402)</f>
        <v>2</v>
      </c>
      <c r="AB403">
        <v>135</v>
      </c>
      <c r="AC403" t="s">
        <v>308</v>
      </c>
      <c r="AD403">
        <v>53</v>
      </c>
      <c r="AE403">
        <f t="shared" ref="AE403:AE434" si="70">16.35117682*1.059464^AD403</f>
        <v>349.23506143398839</v>
      </c>
      <c r="AF403">
        <f t="shared" si="64"/>
        <v>7</v>
      </c>
      <c r="AG403" s="16">
        <v>7</v>
      </c>
      <c r="AH403">
        <v>135</v>
      </c>
    </row>
    <row r="404" spans="1:38" x14ac:dyDescent="0.2">
      <c r="A404">
        <f t="shared" si="65"/>
        <v>100</v>
      </c>
      <c r="E404">
        <f t="shared" si="66"/>
        <v>100</v>
      </c>
      <c r="I404">
        <f t="shared" si="67"/>
        <v>100</v>
      </c>
      <c r="J404" t="s">
        <v>45</v>
      </c>
      <c r="K404">
        <v>31</v>
      </c>
      <c r="L404">
        <f>16.35117682*1.059464^K404</f>
        <v>97.998932630681253</v>
      </c>
      <c r="M404">
        <f t="shared" si="68"/>
        <v>100</v>
      </c>
      <c r="R404">
        <v>114.5</v>
      </c>
      <c r="S404" t="s">
        <v>481</v>
      </c>
      <c r="T404">
        <v>52</v>
      </c>
      <c r="U404">
        <f t="shared" si="69"/>
        <v>329.63372180082422</v>
      </c>
      <c r="V404">
        <f t="shared" ref="V404:V435" si="71">ABS(T404-T403)</f>
        <v>3</v>
      </c>
      <c r="W404">
        <v>114.5</v>
      </c>
      <c r="X404" t="s">
        <v>239</v>
      </c>
      <c r="Y404">
        <v>55</v>
      </c>
      <c r="Z404">
        <f>16.35117682*1.059464^Y404</f>
        <v>392.00377257605692</v>
      </c>
      <c r="AA404">
        <f>ABS(Y404-T403)</f>
        <v>0</v>
      </c>
      <c r="AB404">
        <v>136</v>
      </c>
      <c r="AC404" t="s">
        <v>390</v>
      </c>
      <c r="AD404">
        <v>53</v>
      </c>
      <c r="AE404">
        <f t="shared" si="70"/>
        <v>349.23506143398839</v>
      </c>
      <c r="AF404">
        <f t="shared" ref="AF404:AF437" si="72">ABS(AD404-AD403)</f>
        <v>0</v>
      </c>
      <c r="AG404" s="16">
        <v>0</v>
      </c>
      <c r="AH404">
        <v>136</v>
      </c>
    </row>
    <row r="405" spans="1:38" x14ac:dyDescent="0.2">
      <c r="A405">
        <f t="shared" si="65"/>
        <v>100.25</v>
      </c>
      <c r="E405">
        <f t="shared" si="66"/>
        <v>100.25</v>
      </c>
      <c r="I405">
        <f t="shared" si="67"/>
        <v>100.25</v>
      </c>
      <c r="J405" t="s">
        <v>414</v>
      </c>
      <c r="K405">
        <v>33</v>
      </c>
      <c r="L405">
        <f>16.35117682*1.059464^K405</f>
        <v>110.00027071140791</v>
      </c>
      <c r="M405">
        <f t="shared" si="68"/>
        <v>100.25</v>
      </c>
      <c r="R405">
        <v>116</v>
      </c>
      <c r="S405" t="s">
        <v>292</v>
      </c>
      <c r="T405">
        <v>46</v>
      </c>
      <c r="U405">
        <f t="shared" si="69"/>
        <v>233.08504452861115</v>
      </c>
      <c r="V405">
        <f t="shared" si="71"/>
        <v>6</v>
      </c>
      <c r="W405">
        <v>116</v>
      </c>
      <c r="AB405">
        <v>137</v>
      </c>
      <c r="AC405" t="s">
        <v>308</v>
      </c>
      <c r="AD405">
        <v>53</v>
      </c>
      <c r="AE405">
        <f t="shared" si="70"/>
        <v>349.23506143398839</v>
      </c>
      <c r="AF405">
        <f t="shared" si="72"/>
        <v>0</v>
      </c>
      <c r="AG405" s="16">
        <v>0</v>
      </c>
      <c r="AH405">
        <v>137</v>
      </c>
    </row>
    <row r="406" spans="1:38" x14ac:dyDescent="0.2">
      <c r="A406">
        <f t="shared" si="65"/>
        <v>100.5</v>
      </c>
      <c r="E406">
        <f t="shared" si="66"/>
        <v>100.5</v>
      </c>
      <c r="I406">
        <f t="shared" si="67"/>
        <v>100.5</v>
      </c>
      <c r="M406">
        <f t="shared" si="68"/>
        <v>100.5</v>
      </c>
      <c r="R406">
        <v>117</v>
      </c>
      <c r="S406" t="s">
        <v>482</v>
      </c>
      <c r="T406">
        <v>53</v>
      </c>
      <c r="U406">
        <f t="shared" si="69"/>
        <v>349.23506143398839</v>
      </c>
      <c r="V406">
        <f t="shared" si="71"/>
        <v>7</v>
      </c>
      <c r="W406">
        <v>117</v>
      </c>
      <c r="AB406">
        <v>138</v>
      </c>
      <c r="AC406" t="s">
        <v>390</v>
      </c>
      <c r="AD406">
        <v>53</v>
      </c>
      <c r="AE406">
        <f t="shared" si="70"/>
        <v>349.23506143398839</v>
      </c>
      <c r="AF406">
        <f t="shared" si="72"/>
        <v>0</v>
      </c>
      <c r="AG406" s="16">
        <v>0</v>
      </c>
      <c r="AH406">
        <v>138</v>
      </c>
    </row>
    <row r="407" spans="1:38" x14ac:dyDescent="0.2">
      <c r="A407">
        <f t="shared" si="65"/>
        <v>100.75</v>
      </c>
      <c r="E407">
        <f t="shared" si="66"/>
        <v>100.75</v>
      </c>
      <c r="I407">
        <f t="shared" si="67"/>
        <v>100.75</v>
      </c>
      <c r="J407" t="s">
        <v>27</v>
      </c>
      <c r="K407">
        <v>36</v>
      </c>
      <c r="L407">
        <f>16.35117682*1.059464^K407</f>
        <v>130.81344004395982</v>
      </c>
      <c r="M407">
        <f t="shared" si="68"/>
        <v>100.75</v>
      </c>
      <c r="R407">
        <v>118</v>
      </c>
      <c r="S407" t="s">
        <v>411</v>
      </c>
      <c r="T407">
        <v>58</v>
      </c>
      <c r="U407">
        <f t="shared" si="69"/>
        <v>466.17487092753117</v>
      </c>
      <c r="V407">
        <f t="shared" si="71"/>
        <v>5</v>
      </c>
      <c r="W407">
        <v>118</v>
      </c>
      <c r="AB407">
        <v>139</v>
      </c>
      <c r="AC407" t="s">
        <v>390</v>
      </c>
      <c r="AD407">
        <v>53</v>
      </c>
      <c r="AE407">
        <f t="shared" si="70"/>
        <v>349.23506143398839</v>
      </c>
      <c r="AF407">
        <f t="shared" si="72"/>
        <v>0</v>
      </c>
      <c r="AG407" s="16">
        <v>0</v>
      </c>
      <c r="AH407">
        <v>139</v>
      </c>
    </row>
    <row r="408" spans="1:38" x14ac:dyDescent="0.2">
      <c r="A408">
        <f t="shared" si="65"/>
        <v>101</v>
      </c>
      <c r="B408" t="s">
        <v>28</v>
      </c>
      <c r="C408">
        <v>38</v>
      </c>
      <c r="D408">
        <f>16.35117682*1.059464^C408</f>
        <v>146.83337288738056</v>
      </c>
      <c r="E408">
        <f t="shared" si="66"/>
        <v>101</v>
      </c>
      <c r="I408">
        <f t="shared" si="67"/>
        <v>101</v>
      </c>
      <c r="M408">
        <f t="shared" si="68"/>
        <v>101</v>
      </c>
      <c r="R408">
        <v>119</v>
      </c>
      <c r="S408" t="s">
        <v>456</v>
      </c>
      <c r="T408">
        <v>65</v>
      </c>
      <c r="U408">
        <f t="shared" si="69"/>
        <v>698.47728762097279</v>
      </c>
      <c r="V408">
        <f t="shared" si="71"/>
        <v>7</v>
      </c>
      <c r="W408">
        <v>119</v>
      </c>
      <c r="AB408">
        <v>140</v>
      </c>
      <c r="AC408" t="s">
        <v>391</v>
      </c>
      <c r="AD408">
        <v>54</v>
      </c>
      <c r="AE408">
        <f t="shared" si="70"/>
        <v>370.00197512709912</v>
      </c>
      <c r="AF408">
        <f t="shared" si="72"/>
        <v>1</v>
      </c>
      <c r="AG408" s="16">
        <v>1</v>
      </c>
      <c r="AH408">
        <v>140</v>
      </c>
    </row>
    <row r="409" spans="1:38" x14ac:dyDescent="0.2">
      <c r="A409">
        <f t="shared" si="65"/>
        <v>101.25</v>
      </c>
      <c r="E409">
        <f t="shared" si="66"/>
        <v>101.25</v>
      </c>
      <c r="I409">
        <f t="shared" si="67"/>
        <v>101.25</v>
      </c>
      <c r="M409">
        <f t="shared" si="68"/>
        <v>101.25</v>
      </c>
      <c r="R409">
        <v>120</v>
      </c>
      <c r="S409" t="s">
        <v>411</v>
      </c>
      <c r="T409">
        <v>58</v>
      </c>
      <c r="U409">
        <f t="shared" si="69"/>
        <v>466.17487092753117</v>
      </c>
      <c r="V409">
        <f t="shared" si="71"/>
        <v>7</v>
      </c>
      <c r="W409">
        <v>120</v>
      </c>
      <c r="AB409">
        <v>141</v>
      </c>
      <c r="AC409" t="s">
        <v>18</v>
      </c>
      <c r="AD409">
        <v>54</v>
      </c>
      <c r="AE409">
        <f t="shared" si="70"/>
        <v>370.00197512709912</v>
      </c>
      <c r="AF409">
        <f t="shared" si="72"/>
        <v>0</v>
      </c>
      <c r="AG409" s="16">
        <v>0</v>
      </c>
      <c r="AH409">
        <v>141</v>
      </c>
    </row>
    <row r="410" spans="1:38" x14ac:dyDescent="0.2">
      <c r="A410">
        <f t="shared" si="65"/>
        <v>101.5</v>
      </c>
      <c r="B410" t="s">
        <v>29</v>
      </c>
      <c r="C410">
        <v>40</v>
      </c>
      <c r="D410">
        <f>16.35117682*1.059464^C410</f>
        <v>164.8151702626221</v>
      </c>
      <c r="E410">
        <f t="shared" si="66"/>
        <v>101.5</v>
      </c>
      <c r="I410">
        <f t="shared" si="67"/>
        <v>101.5</v>
      </c>
      <c r="M410">
        <f t="shared" si="68"/>
        <v>101.5</v>
      </c>
      <c r="R410">
        <v>121.5</v>
      </c>
      <c r="S410" t="s">
        <v>162</v>
      </c>
      <c r="T410">
        <v>54</v>
      </c>
      <c r="U410">
        <f t="shared" si="69"/>
        <v>370.00197512709912</v>
      </c>
      <c r="V410">
        <f t="shared" si="71"/>
        <v>4</v>
      </c>
      <c r="W410">
        <v>121.5</v>
      </c>
      <c r="X410" t="s">
        <v>163</v>
      </c>
      <c r="Y410">
        <v>49</v>
      </c>
      <c r="Z410">
        <f>16.35117682*1.059464^Y410</f>
        <v>277.18710418069043</v>
      </c>
      <c r="AA410">
        <f>ABS(Y410-T409)</f>
        <v>9</v>
      </c>
      <c r="AB410">
        <v>142</v>
      </c>
      <c r="AC410" t="s">
        <v>20</v>
      </c>
      <c r="AD410">
        <v>60</v>
      </c>
      <c r="AE410">
        <f t="shared" si="70"/>
        <v>523.26449507501752</v>
      </c>
      <c r="AF410">
        <f t="shared" si="72"/>
        <v>6</v>
      </c>
      <c r="AG410" s="16">
        <v>6</v>
      </c>
      <c r="AH410">
        <v>142</v>
      </c>
    </row>
    <row r="411" spans="1:38" x14ac:dyDescent="0.2">
      <c r="A411">
        <f t="shared" si="65"/>
        <v>101.75</v>
      </c>
      <c r="E411">
        <f t="shared" si="66"/>
        <v>101.75</v>
      </c>
      <c r="I411">
        <f t="shared" si="67"/>
        <v>101.75</v>
      </c>
      <c r="M411">
        <f t="shared" si="68"/>
        <v>101.75</v>
      </c>
      <c r="R411">
        <v>123.5</v>
      </c>
      <c r="S411" t="s">
        <v>244</v>
      </c>
      <c r="T411">
        <v>59</v>
      </c>
      <c r="U411">
        <f t="shared" si="69"/>
        <v>493.89549345236594</v>
      </c>
      <c r="V411">
        <f t="shared" si="71"/>
        <v>5</v>
      </c>
      <c r="W411">
        <v>123.5</v>
      </c>
      <c r="AB411">
        <v>144</v>
      </c>
      <c r="AC411" t="s">
        <v>22</v>
      </c>
      <c r="AD411">
        <v>57</v>
      </c>
      <c r="AE411">
        <f t="shared" si="70"/>
        <v>440.01010976071973</v>
      </c>
      <c r="AF411">
        <f t="shared" si="72"/>
        <v>3</v>
      </c>
      <c r="AG411" s="16">
        <v>3</v>
      </c>
      <c r="AH411">
        <v>144</v>
      </c>
    </row>
    <row r="412" spans="1:38" x14ac:dyDescent="0.2">
      <c r="A412">
        <f t="shared" si="65"/>
        <v>102</v>
      </c>
      <c r="E412">
        <f t="shared" si="66"/>
        <v>102</v>
      </c>
      <c r="I412">
        <f t="shared" si="67"/>
        <v>102</v>
      </c>
      <c r="J412" t="s">
        <v>44</v>
      </c>
      <c r="K412">
        <v>43</v>
      </c>
      <c r="L412">
        <f>16.35117682*1.059464^K412</f>
        <v>195.99987576438383</v>
      </c>
      <c r="M412">
        <f t="shared" si="68"/>
        <v>102</v>
      </c>
      <c r="R412">
        <v>124.5</v>
      </c>
      <c r="S412" t="s">
        <v>411</v>
      </c>
      <c r="T412">
        <v>58</v>
      </c>
      <c r="U412">
        <f t="shared" si="69"/>
        <v>466.17487092753117</v>
      </c>
      <c r="V412">
        <f t="shared" si="71"/>
        <v>1</v>
      </c>
      <c r="W412">
        <v>124.5</v>
      </c>
      <c r="X412" t="s">
        <v>481</v>
      </c>
      <c r="Y412">
        <v>52</v>
      </c>
      <c r="Z412">
        <f>16.35117682*1.059464^Y412</f>
        <v>329.63372180082422</v>
      </c>
      <c r="AA412">
        <f>ABS(Y412-T411)</f>
        <v>7</v>
      </c>
      <c r="AB412">
        <v>146</v>
      </c>
      <c r="AC412" t="s">
        <v>480</v>
      </c>
      <c r="AD412">
        <v>50</v>
      </c>
      <c r="AE412">
        <f t="shared" si="70"/>
        <v>293.66975814369101</v>
      </c>
      <c r="AF412">
        <f t="shared" si="72"/>
        <v>7</v>
      </c>
      <c r="AG412" s="16">
        <v>7</v>
      </c>
      <c r="AH412">
        <v>146</v>
      </c>
      <c r="AI412" t="s">
        <v>390</v>
      </c>
      <c r="AJ412">
        <v>53</v>
      </c>
      <c r="AK412">
        <f t="shared" ref="AK412:AK423" si="73">16.35117682*1.059464^AJ412</f>
        <v>349.23506143398839</v>
      </c>
      <c r="AL412">
        <f>ABS(AJ412-AD411)</f>
        <v>4</v>
      </c>
    </row>
    <row r="413" spans="1:38" x14ac:dyDescent="0.2">
      <c r="A413">
        <f t="shared" si="65"/>
        <v>102.25</v>
      </c>
      <c r="E413">
        <f t="shared" si="66"/>
        <v>102.25</v>
      </c>
      <c r="I413">
        <f t="shared" si="67"/>
        <v>102.25</v>
      </c>
      <c r="J413" t="s">
        <v>46</v>
      </c>
      <c r="K413">
        <v>45</v>
      </c>
      <c r="L413">
        <f>16.35117682*1.059464^K413</f>
        <v>220.00279814001337</v>
      </c>
      <c r="M413">
        <f t="shared" si="68"/>
        <v>102.25</v>
      </c>
      <c r="R413">
        <v>126</v>
      </c>
      <c r="S413" t="s">
        <v>482</v>
      </c>
      <c r="T413">
        <v>53</v>
      </c>
      <c r="U413">
        <f t="shared" si="69"/>
        <v>349.23506143398839</v>
      </c>
      <c r="V413">
        <f t="shared" si="71"/>
        <v>5</v>
      </c>
      <c r="W413">
        <v>126</v>
      </c>
      <c r="AB413">
        <v>147</v>
      </c>
      <c r="AC413" t="s">
        <v>481</v>
      </c>
      <c r="AD413">
        <v>52</v>
      </c>
      <c r="AE413">
        <f t="shared" si="70"/>
        <v>329.63372180082422</v>
      </c>
      <c r="AF413">
        <f t="shared" si="72"/>
        <v>2</v>
      </c>
      <c r="AG413" s="16">
        <v>2</v>
      </c>
      <c r="AH413">
        <v>147</v>
      </c>
      <c r="AI413" t="s">
        <v>392</v>
      </c>
      <c r="AJ413">
        <v>55</v>
      </c>
      <c r="AK413">
        <f t="shared" si="73"/>
        <v>392.00377257605692</v>
      </c>
      <c r="AL413">
        <f t="shared" ref="AL413:AL423" si="74">ABS(AJ413-AJ412)</f>
        <v>2</v>
      </c>
    </row>
    <row r="414" spans="1:38" x14ac:dyDescent="0.2">
      <c r="A414">
        <f t="shared" si="65"/>
        <v>102.5</v>
      </c>
      <c r="E414">
        <f t="shared" si="66"/>
        <v>102.5</v>
      </c>
      <c r="I414">
        <f t="shared" si="67"/>
        <v>102.5</v>
      </c>
      <c r="M414">
        <f t="shared" si="68"/>
        <v>102.5</v>
      </c>
      <c r="R414">
        <v>127.5</v>
      </c>
      <c r="S414" t="s">
        <v>480</v>
      </c>
      <c r="T414">
        <v>50</v>
      </c>
      <c r="U414">
        <f t="shared" si="69"/>
        <v>293.66975814369101</v>
      </c>
      <c r="V414">
        <f t="shared" si="71"/>
        <v>3</v>
      </c>
      <c r="W414">
        <v>127.5</v>
      </c>
      <c r="AB414">
        <v>148</v>
      </c>
      <c r="AC414" t="s">
        <v>480</v>
      </c>
      <c r="AD414">
        <v>50</v>
      </c>
      <c r="AE414">
        <f t="shared" si="70"/>
        <v>293.66975814369101</v>
      </c>
      <c r="AF414">
        <f t="shared" si="72"/>
        <v>2</v>
      </c>
      <c r="AG414" s="16">
        <v>2</v>
      </c>
      <c r="AH414">
        <v>148</v>
      </c>
      <c r="AI414" t="s">
        <v>390</v>
      </c>
      <c r="AJ414">
        <v>53</v>
      </c>
      <c r="AK414">
        <f t="shared" si="73"/>
        <v>349.23506143398839</v>
      </c>
      <c r="AL414">
        <f t="shared" si="74"/>
        <v>2</v>
      </c>
    </row>
    <row r="415" spans="1:38" x14ac:dyDescent="0.2">
      <c r="A415">
        <f t="shared" si="65"/>
        <v>102.75</v>
      </c>
      <c r="E415">
        <f t="shared" si="66"/>
        <v>102.75</v>
      </c>
      <c r="I415">
        <f t="shared" si="67"/>
        <v>102.75</v>
      </c>
      <c r="J415" t="s">
        <v>479</v>
      </c>
      <c r="K415">
        <v>48</v>
      </c>
      <c r="L415">
        <f>16.35117682*1.059464^K415</f>
        <v>261.62956379894968</v>
      </c>
      <c r="M415">
        <f t="shared" si="68"/>
        <v>102.75</v>
      </c>
      <c r="R415">
        <v>128.5</v>
      </c>
      <c r="S415" t="s">
        <v>239</v>
      </c>
      <c r="T415">
        <v>54</v>
      </c>
      <c r="U415">
        <f t="shared" si="69"/>
        <v>370.00197512709912</v>
      </c>
      <c r="V415">
        <f t="shared" si="71"/>
        <v>4</v>
      </c>
      <c r="W415">
        <v>128.5</v>
      </c>
      <c r="X415" t="s">
        <v>47</v>
      </c>
      <c r="Y415">
        <v>47</v>
      </c>
      <c r="Z415">
        <f>16.35117682*1.059464^Y415</f>
        <v>246.94521361646048</v>
      </c>
      <c r="AA415">
        <f>ABS(Y415-T414)</f>
        <v>3</v>
      </c>
      <c r="AB415">
        <v>149</v>
      </c>
      <c r="AC415" t="s">
        <v>480</v>
      </c>
      <c r="AD415">
        <v>50</v>
      </c>
      <c r="AE415">
        <f t="shared" si="70"/>
        <v>293.66975814369101</v>
      </c>
      <c r="AF415">
        <f t="shared" si="72"/>
        <v>0</v>
      </c>
      <c r="AG415" s="16">
        <v>0</v>
      </c>
      <c r="AH415">
        <v>149</v>
      </c>
      <c r="AI415" t="s">
        <v>390</v>
      </c>
      <c r="AJ415">
        <v>53</v>
      </c>
      <c r="AK415">
        <f t="shared" si="73"/>
        <v>349.23506143398839</v>
      </c>
      <c r="AL415">
        <f t="shared" si="74"/>
        <v>0</v>
      </c>
    </row>
    <row r="416" spans="1:38" x14ac:dyDescent="0.2">
      <c r="A416">
        <f t="shared" si="65"/>
        <v>103</v>
      </c>
      <c r="B416" t="s">
        <v>480</v>
      </c>
      <c r="C416">
        <v>50</v>
      </c>
      <c r="D416">
        <f>16.35117682*1.059464^C416</f>
        <v>293.66975814369101</v>
      </c>
      <c r="E416">
        <f t="shared" si="66"/>
        <v>103</v>
      </c>
      <c r="I416">
        <f t="shared" si="67"/>
        <v>103</v>
      </c>
      <c r="M416">
        <f t="shared" si="68"/>
        <v>103</v>
      </c>
      <c r="R416">
        <v>129.5</v>
      </c>
      <c r="S416" t="s">
        <v>239</v>
      </c>
      <c r="T416">
        <v>54</v>
      </c>
      <c r="U416">
        <f t="shared" si="69"/>
        <v>370.00197512709912</v>
      </c>
      <c r="V416">
        <f t="shared" si="71"/>
        <v>0</v>
      </c>
      <c r="W416">
        <v>129.5</v>
      </c>
      <c r="X416" t="s">
        <v>482</v>
      </c>
      <c r="Y416">
        <v>53</v>
      </c>
      <c r="Z416">
        <f>16.35117682*1.059464^Y416</f>
        <v>349.23506143398839</v>
      </c>
      <c r="AA416">
        <f>ABS(Y416-T415)</f>
        <v>1</v>
      </c>
      <c r="AB416">
        <v>150</v>
      </c>
      <c r="AC416" t="s">
        <v>479</v>
      </c>
      <c r="AD416">
        <v>48</v>
      </c>
      <c r="AE416">
        <f t="shared" si="70"/>
        <v>261.62956379894968</v>
      </c>
      <c r="AF416">
        <f t="shared" si="72"/>
        <v>2</v>
      </c>
      <c r="AG416" s="16">
        <v>2</v>
      </c>
      <c r="AH416">
        <v>150</v>
      </c>
      <c r="AI416" t="s">
        <v>222</v>
      </c>
      <c r="AJ416">
        <v>51</v>
      </c>
      <c r="AK416">
        <f t="shared" si="73"/>
        <v>311.13253664194741</v>
      </c>
      <c r="AL416">
        <f t="shared" si="74"/>
        <v>2</v>
      </c>
    </row>
    <row r="417" spans="1:38" x14ac:dyDescent="0.2">
      <c r="A417">
        <f t="shared" si="65"/>
        <v>103.25</v>
      </c>
      <c r="E417">
        <f t="shared" si="66"/>
        <v>103.25</v>
      </c>
      <c r="I417">
        <f t="shared" si="67"/>
        <v>103.25</v>
      </c>
      <c r="M417">
        <f t="shared" si="68"/>
        <v>103.25</v>
      </c>
      <c r="R417">
        <v>130.5</v>
      </c>
      <c r="S417" t="s">
        <v>481</v>
      </c>
      <c r="T417">
        <v>52</v>
      </c>
      <c r="U417">
        <f t="shared" si="69"/>
        <v>329.63372180082422</v>
      </c>
      <c r="V417">
        <f t="shared" si="71"/>
        <v>2</v>
      </c>
      <c r="W417">
        <v>130.5</v>
      </c>
      <c r="X417" t="s">
        <v>239</v>
      </c>
      <c r="Y417">
        <v>55</v>
      </c>
      <c r="Z417">
        <f>16.35117682*1.059464^Y417</f>
        <v>392.00377257605692</v>
      </c>
      <c r="AA417">
        <f>ABS(Y417-T416)</f>
        <v>1</v>
      </c>
      <c r="AB417">
        <v>151</v>
      </c>
      <c r="AC417" t="s">
        <v>292</v>
      </c>
      <c r="AD417">
        <v>46</v>
      </c>
      <c r="AE417">
        <f t="shared" si="70"/>
        <v>233.08504452861115</v>
      </c>
      <c r="AF417">
        <f t="shared" si="72"/>
        <v>2</v>
      </c>
      <c r="AG417" s="16">
        <v>2</v>
      </c>
      <c r="AH417">
        <v>151</v>
      </c>
      <c r="AI417" t="s">
        <v>223</v>
      </c>
      <c r="AJ417">
        <v>49</v>
      </c>
      <c r="AK417">
        <f t="shared" si="73"/>
        <v>277.18710418069043</v>
      </c>
      <c r="AL417">
        <f t="shared" si="74"/>
        <v>2</v>
      </c>
    </row>
    <row r="418" spans="1:38" x14ac:dyDescent="0.2">
      <c r="A418">
        <f t="shared" si="65"/>
        <v>103.5</v>
      </c>
      <c r="B418" t="s">
        <v>481</v>
      </c>
      <c r="C418">
        <v>52</v>
      </c>
      <c r="D418">
        <f>16.35117682*1.059464^C418</f>
        <v>329.63372180082422</v>
      </c>
      <c r="E418">
        <f t="shared" si="66"/>
        <v>103.5</v>
      </c>
      <c r="I418">
        <f t="shared" si="67"/>
        <v>103.5</v>
      </c>
      <c r="M418">
        <f t="shared" si="68"/>
        <v>103.5</v>
      </c>
      <c r="R418">
        <v>132</v>
      </c>
      <c r="S418" t="s">
        <v>292</v>
      </c>
      <c r="T418">
        <v>46</v>
      </c>
      <c r="U418">
        <f t="shared" si="69"/>
        <v>233.08504452861115</v>
      </c>
      <c r="V418">
        <f t="shared" si="71"/>
        <v>6</v>
      </c>
      <c r="W418">
        <v>132</v>
      </c>
      <c r="AB418">
        <v>152</v>
      </c>
      <c r="AC418" t="s">
        <v>168</v>
      </c>
      <c r="AD418">
        <v>44</v>
      </c>
      <c r="AE418">
        <f t="shared" si="70"/>
        <v>207.65481237683719</v>
      </c>
      <c r="AF418">
        <f t="shared" si="72"/>
        <v>2</v>
      </c>
      <c r="AG418" s="16">
        <v>2</v>
      </c>
      <c r="AH418">
        <v>152</v>
      </c>
      <c r="AI418" t="s">
        <v>307</v>
      </c>
      <c r="AJ418">
        <v>47</v>
      </c>
      <c r="AK418">
        <f t="shared" si="73"/>
        <v>246.94521361646048</v>
      </c>
      <c r="AL418">
        <f t="shared" si="74"/>
        <v>2</v>
      </c>
    </row>
    <row r="419" spans="1:38" x14ac:dyDescent="0.2">
      <c r="A419">
        <f t="shared" si="65"/>
        <v>103.75</v>
      </c>
      <c r="B419" t="s">
        <v>239</v>
      </c>
      <c r="C419">
        <v>54</v>
      </c>
      <c r="D419">
        <f>16.35117682*1.059464^C419</f>
        <v>370.00197512709912</v>
      </c>
      <c r="E419">
        <f t="shared" si="66"/>
        <v>103.75</v>
      </c>
      <c r="I419">
        <f t="shared" si="67"/>
        <v>103.75</v>
      </c>
      <c r="M419">
        <f t="shared" si="68"/>
        <v>103.75</v>
      </c>
      <c r="R419">
        <v>133</v>
      </c>
      <c r="S419" t="s">
        <v>482</v>
      </c>
      <c r="T419">
        <v>53</v>
      </c>
      <c r="U419">
        <f t="shared" si="69"/>
        <v>349.23506143398839</v>
      </c>
      <c r="V419">
        <f t="shared" si="71"/>
        <v>7</v>
      </c>
      <c r="W419">
        <v>133</v>
      </c>
      <c r="AB419">
        <v>153</v>
      </c>
      <c r="AC419" t="s">
        <v>169</v>
      </c>
      <c r="AD419">
        <v>42</v>
      </c>
      <c r="AE419">
        <f t="shared" si="70"/>
        <v>184.99908988354849</v>
      </c>
      <c r="AF419">
        <f t="shared" si="72"/>
        <v>2</v>
      </c>
      <c r="AG419" s="16">
        <v>2</v>
      </c>
      <c r="AH419">
        <v>153</v>
      </c>
      <c r="AI419" t="s">
        <v>487</v>
      </c>
      <c r="AJ419">
        <v>45</v>
      </c>
      <c r="AK419">
        <f t="shared" si="73"/>
        <v>220.00279814001337</v>
      </c>
      <c r="AL419">
        <f t="shared" si="74"/>
        <v>2</v>
      </c>
    </row>
    <row r="420" spans="1:38" x14ac:dyDescent="0.2">
      <c r="A420">
        <f t="shared" si="65"/>
        <v>104</v>
      </c>
      <c r="E420">
        <f t="shared" si="66"/>
        <v>104</v>
      </c>
      <c r="I420">
        <f t="shared" si="67"/>
        <v>104</v>
      </c>
      <c r="J420" t="s">
        <v>243</v>
      </c>
      <c r="K420">
        <v>57</v>
      </c>
      <c r="L420">
        <f>16.35117682*1.059464^K420</f>
        <v>440.01010976071973</v>
      </c>
      <c r="M420">
        <f t="shared" si="68"/>
        <v>104</v>
      </c>
      <c r="R420">
        <v>134</v>
      </c>
      <c r="S420" t="s">
        <v>411</v>
      </c>
      <c r="T420">
        <v>58</v>
      </c>
      <c r="U420">
        <f t="shared" si="69"/>
        <v>466.17487092753117</v>
      </c>
      <c r="V420">
        <f t="shared" si="71"/>
        <v>5</v>
      </c>
      <c r="W420">
        <v>134</v>
      </c>
      <c r="AB420">
        <v>154</v>
      </c>
      <c r="AC420" t="s">
        <v>29</v>
      </c>
      <c r="AD420">
        <v>40</v>
      </c>
      <c r="AE420">
        <f t="shared" si="70"/>
        <v>164.8151702626221</v>
      </c>
      <c r="AF420">
        <f t="shared" si="72"/>
        <v>2</v>
      </c>
      <c r="AG420" s="16">
        <v>2</v>
      </c>
      <c r="AH420">
        <v>154</v>
      </c>
      <c r="AI420" t="s">
        <v>444</v>
      </c>
      <c r="AJ420">
        <v>43</v>
      </c>
      <c r="AK420">
        <f t="shared" si="73"/>
        <v>195.99987576438383</v>
      </c>
      <c r="AL420">
        <f t="shared" si="74"/>
        <v>2</v>
      </c>
    </row>
    <row r="421" spans="1:38" x14ac:dyDescent="0.2">
      <c r="A421">
        <f t="shared" si="65"/>
        <v>104.25</v>
      </c>
      <c r="E421">
        <f t="shared" si="66"/>
        <v>104.25</v>
      </c>
      <c r="I421">
        <f t="shared" si="67"/>
        <v>104.25</v>
      </c>
      <c r="J421" t="s">
        <v>240</v>
      </c>
      <c r="K421">
        <v>60</v>
      </c>
      <c r="L421">
        <f>16.35117682*1.059464^K421</f>
        <v>523.26449507501752</v>
      </c>
      <c r="M421">
        <f t="shared" si="68"/>
        <v>104.25</v>
      </c>
      <c r="R421">
        <v>135</v>
      </c>
      <c r="S421" t="s">
        <v>246</v>
      </c>
      <c r="T421">
        <v>65</v>
      </c>
      <c r="U421">
        <f t="shared" si="69"/>
        <v>698.47728762097279</v>
      </c>
      <c r="V421">
        <f t="shared" si="71"/>
        <v>7</v>
      </c>
      <c r="W421">
        <v>135</v>
      </c>
      <c r="AB421">
        <v>155</v>
      </c>
      <c r="AC421" t="s">
        <v>28</v>
      </c>
      <c r="AD421">
        <v>38</v>
      </c>
      <c r="AE421">
        <f t="shared" si="70"/>
        <v>146.83337288738056</v>
      </c>
      <c r="AF421">
        <f t="shared" si="72"/>
        <v>2</v>
      </c>
      <c r="AG421" s="16">
        <v>2</v>
      </c>
      <c r="AH421">
        <v>155</v>
      </c>
      <c r="AI421" t="s">
        <v>318</v>
      </c>
      <c r="AJ421">
        <v>41</v>
      </c>
      <c r="AK421">
        <f t="shared" si="73"/>
        <v>174.61573954711864</v>
      </c>
      <c r="AL421">
        <f t="shared" si="74"/>
        <v>2</v>
      </c>
    </row>
    <row r="422" spans="1:38" x14ac:dyDescent="0.2">
      <c r="A422">
        <f t="shared" si="65"/>
        <v>104.5</v>
      </c>
      <c r="E422">
        <f t="shared" si="66"/>
        <v>104.5</v>
      </c>
      <c r="I422">
        <f t="shared" si="67"/>
        <v>104.5</v>
      </c>
      <c r="M422">
        <f t="shared" si="68"/>
        <v>104.5</v>
      </c>
      <c r="R422">
        <v>136</v>
      </c>
      <c r="S422" t="s">
        <v>246</v>
      </c>
      <c r="T422">
        <v>65</v>
      </c>
      <c r="U422">
        <f t="shared" si="69"/>
        <v>698.47728762097279</v>
      </c>
      <c r="V422">
        <f t="shared" si="71"/>
        <v>0</v>
      </c>
      <c r="W422">
        <v>136</v>
      </c>
      <c r="AB422">
        <v>156</v>
      </c>
      <c r="AC422" t="s">
        <v>29</v>
      </c>
      <c r="AD422">
        <v>38</v>
      </c>
      <c r="AE422">
        <f t="shared" si="70"/>
        <v>146.83337288738056</v>
      </c>
      <c r="AF422">
        <f t="shared" si="72"/>
        <v>0</v>
      </c>
      <c r="AG422" s="16">
        <v>2</v>
      </c>
      <c r="AH422">
        <v>156</v>
      </c>
      <c r="AI422" t="s">
        <v>318</v>
      </c>
      <c r="AJ422">
        <v>41</v>
      </c>
      <c r="AK422">
        <f t="shared" si="73"/>
        <v>174.61573954711864</v>
      </c>
      <c r="AL422">
        <f t="shared" si="74"/>
        <v>0</v>
      </c>
    </row>
    <row r="423" spans="1:38" x14ac:dyDescent="0.2">
      <c r="A423">
        <f t="shared" si="65"/>
        <v>104.75</v>
      </c>
      <c r="E423">
        <f t="shared" si="66"/>
        <v>104.75</v>
      </c>
      <c r="I423">
        <f t="shared" si="67"/>
        <v>104.75</v>
      </c>
      <c r="J423" t="s">
        <v>242</v>
      </c>
      <c r="K423">
        <v>62</v>
      </c>
      <c r="L423">
        <f>16.35117682*1.059464^K423</f>
        <v>587.34554108704231</v>
      </c>
      <c r="M423">
        <f t="shared" si="68"/>
        <v>104.75</v>
      </c>
      <c r="R423">
        <v>137</v>
      </c>
      <c r="S423" t="s">
        <v>246</v>
      </c>
      <c r="T423">
        <v>65</v>
      </c>
      <c r="U423">
        <f t="shared" si="69"/>
        <v>698.47728762097279</v>
      </c>
      <c r="V423">
        <f t="shared" si="71"/>
        <v>0</v>
      </c>
      <c r="W423">
        <v>137</v>
      </c>
      <c r="AB423">
        <v>157</v>
      </c>
      <c r="AC423" t="s">
        <v>170</v>
      </c>
      <c r="AD423">
        <v>37</v>
      </c>
      <c r="AE423">
        <f t="shared" si="70"/>
        <v>138.5921304427338</v>
      </c>
      <c r="AF423">
        <f t="shared" si="72"/>
        <v>1</v>
      </c>
      <c r="AG423" s="16">
        <v>1</v>
      </c>
      <c r="AH423">
        <v>157</v>
      </c>
      <c r="AI423" t="s">
        <v>318</v>
      </c>
      <c r="AJ423">
        <v>41</v>
      </c>
      <c r="AK423">
        <f t="shared" si="73"/>
        <v>174.61573954711864</v>
      </c>
      <c r="AL423">
        <f t="shared" si="74"/>
        <v>0</v>
      </c>
    </row>
    <row r="424" spans="1:38" x14ac:dyDescent="0.2">
      <c r="A424">
        <f t="shared" si="65"/>
        <v>105</v>
      </c>
      <c r="B424" t="s">
        <v>255</v>
      </c>
      <c r="C424">
        <v>64</v>
      </c>
      <c r="D424">
        <f>16.35117682*1.059464^C424</f>
        <v>659.27420622217721</v>
      </c>
      <c r="E424">
        <f t="shared" si="66"/>
        <v>105</v>
      </c>
      <c r="I424">
        <f t="shared" si="67"/>
        <v>105</v>
      </c>
      <c r="M424">
        <f t="shared" si="68"/>
        <v>105</v>
      </c>
      <c r="R424">
        <v>138</v>
      </c>
      <c r="S424" t="s">
        <v>246</v>
      </c>
      <c r="T424">
        <v>65</v>
      </c>
      <c r="U424">
        <f t="shared" si="69"/>
        <v>698.47728762097279</v>
      </c>
      <c r="V424">
        <f t="shared" si="71"/>
        <v>0</v>
      </c>
      <c r="W424">
        <v>138</v>
      </c>
      <c r="AB424">
        <v>158</v>
      </c>
      <c r="AC424" t="s">
        <v>27</v>
      </c>
      <c r="AD424">
        <v>36</v>
      </c>
      <c r="AE424">
        <f t="shared" si="70"/>
        <v>130.81344004395982</v>
      </c>
      <c r="AF424">
        <f t="shared" si="72"/>
        <v>1</v>
      </c>
      <c r="AG424" s="16">
        <v>3</v>
      </c>
      <c r="AH424">
        <v>158</v>
      </c>
    </row>
    <row r="425" spans="1:38" x14ac:dyDescent="0.2">
      <c r="A425">
        <f t="shared" si="65"/>
        <v>105.25</v>
      </c>
      <c r="E425">
        <f t="shared" si="66"/>
        <v>105.25</v>
      </c>
      <c r="I425">
        <f t="shared" si="67"/>
        <v>105.25</v>
      </c>
      <c r="M425">
        <f t="shared" si="68"/>
        <v>105.25</v>
      </c>
      <c r="R425">
        <v>139</v>
      </c>
      <c r="S425" t="s">
        <v>246</v>
      </c>
      <c r="T425">
        <v>65</v>
      </c>
      <c r="U425">
        <f t="shared" si="69"/>
        <v>698.47728762097279</v>
      </c>
      <c r="V425">
        <f t="shared" si="71"/>
        <v>0</v>
      </c>
      <c r="W425">
        <v>139</v>
      </c>
      <c r="AB425">
        <v>159</v>
      </c>
      <c r="AC425" t="s">
        <v>412</v>
      </c>
      <c r="AD425">
        <v>35</v>
      </c>
      <c r="AE425">
        <f t="shared" si="70"/>
        <v>123.4713402663609</v>
      </c>
      <c r="AF425">
        <f t="shared" si="72"/>
        <v>1</v>
      </c>
      <c r="AG425" s="16">
        <v>1</v>
      </c>
      <c r="AH425">
        <v>159</v>
      </c>
    </row>
    <row r="426" spans="1:38" x14ac:dyDescent="0.2">
      <c r="A426">
        <f t="shared" si="65"/>
        <v>105.5</v>
      </c>
      <c r="B426" t="s">
        <v>245</v>
      </c>
      <c r="C426">
        <v>67</v>
      </c>
      <c r="D426">
        <f>16.35117682*1.059464^C426</f>
        <v>784.01558732918636</v>
      </c>
      <c r="E426">
        <f t="shared" si="66"/>
        <v>105.5</v>
      </c>
      <c r="I426">
        <f t="shared" si="67"/>
        <v>105.5</v>
      </c>
      <c r="J426" t="s">
        <v>242</v>
      </c>
      <c r="K426">
        <v>62</v>
      </c>
      <c r="L426">
        <f>16.35117682*1.059464^K426</f>
        <v>587.34554108704231</v>
      </c>
      <c r="M426">
        <f t="shared" si="68"/>
        <v>105.5</v>
      </c>
      <c r="R426">
        <v>140</v>
      </c>
      <c r="S426" t="s">
        <v>166</v>
      </c>
      <c r="T426">
        <v>66</v>
      </c>
      <c r="U426">
        <f t="shared" si="69"/>
        <v>740.01154105206626</v>
      </c>
      <c r="V426">
        <f t="shared" si="71"/>
        <v>1</v>
      </c>
      <c r="W426">
        <v>140</v>
      </c>
      <c r="AB426">
        <v>160</v>
      </c>
      <c r="AC426" t="s">
        <v>414</v>
      </c>
      <c r="AD426">
        <v>33</v>
      </c>
      <c r="AE426">
        <f t="shared" si="70"/>
        <v>110.00027071140791</v>
      </c>
      <c r="AF426">
        <f t="shared" si="72"/>
        <v>2</v>
      </c>
      <c r="AG426" s="16">
        <v>2</v>
      </c>
      <c r="AH426">
        <v>160</v>
      </c>
    </row>
    <row r="427" spans="1:38" x14ac:dyDescent="0.2">
      <c r="A427">
        <f t="shared" si="65"/>
        <v>105.75</v>
      </c>
      <c r="B427" t="s">
        <v>256</v>
      </c>
      <c r="C427">
        <v>69</v>
      </c>
      <c r="D427">
        <f>16.35117682*1.059464^C427</f>
        <v>880.02924657542201</v>
      </c>
      <c r="E427">
        <f t="shared" si="66"/>
        <v>105.75</v>
      </c>
      <c r="I427">
        <f t="shared" si="67"/>
        <v>105.75</v>
      </c>
      <c r="M427">
        <f t="shared" si="68"/>
        <v>105.75</v>
      </c>
      <c r="R427">
        <v>141</v>
      </c>
      <c r="S427" t="s">
        <v>166</v>
      </c>
      <c r="T427">
        <v>66</v>
      </c>
      <c r="U427">
        <f t="shared" si="69"/>
        <v>740.01154105206626</v>
      </c>
      <c r="V427">
        <f t="shared" si="71"/>
        <v>0</v>
      </c>
      <c r="W427">
        <v>141</v>
      </c>
      <c r="AB427">
        <v>161</v>
      </c>
      <c r="AC427" t="s">
        <v>45</v>
      </c>
      <c r="AD427">
        <v>31</v>
      </c>
      <c r="AE427">
        <f t="shared" si="70"/>
        <v>97.998932630681253</v>
      </c>
      <c r="AF427">
        <f t="shared" si="72"/>
        <v>2</v>
      </c>
      <c r="AG427" s="16">
        <v>2</v>
      </c>
      <c r="AH427">
        <v>161</v>
      </c>
    </row>
    <row r="428" spans="1:38" x14ac:dyDescent="0.2">
      <c r="A428">
        <f t="shared" si="65"/>
        <v>106</v>
      </c>
      <c r="B428" t="s">
        <v>410</v>
      </c>
      <c r="C428">
        <v>72</v>
      </c>
      <c r="D428">
        <f>16.35117682*1.059464^C428</f>
        <v>1046.5397252143878</v>
      </c>
      <c r="E428">
        <f t="shared" si="66"/>
        <v>106</v>
      </c>
      <c r="F428" t="s">
        <v>245</v>
      </c>
      <c r="G428">
        <v>67</v>
      </c>
      <c r="H428">
        <f>16.35117682*1.059464^G428</f>
        <v>784.01558732918636</v>
      </c>
      <c r="I428">
        <f t="shared" si="67"/>
        <v>106</v>
      </c>
      <c r="J428" t="s">
        <v>240</v>
      </c>
      <c r="K428">
        <v>60</v>
      </c>
      <c r="L428">
        <f>16.35117682*1.059464^K428</f>
        <v>523.26449507501752</v>
      </c>
      <c r="M428">
        <f t="shared" si="68"/>
        <v>106</v>
      </c>
      <c r="R428">
        <v>142.25</v>
      </c>
      <c r="S428" t="s">
        <v>245</v>
      </c>
      <c r="T428">
        <v>67</v>
      </c>
      <c r="U428">
        <f t="shared" si="69"/>
        <v>784.01558732918636</v>
      </c>
      <c r="V428">
        <f t="shared" si="71"/>
        <v>1</v>
      </c>
      <c r="W428">
        <v>142.25</v>
      </c>
      <c r="AB428">
        <v>162</v>
      </c>
      <c r="AC428" t="s">
        <v>388</v>
      </c>
      <c r="AD428">
        <v>29</v>
      </c>
      <c r="AE428">
        <f t="shared" si="70"/>
        <v>87.306974197808145</v>
      </c>
      <c r="AF428">
        <f t="shared" si="72"/>
        <v>2</v>
      </c>
      <c r="AG428" s="16">
        <v>2</v>
      </c>
      <c r="AH428">
        <v>162</v>
      </c>
    </row>
    <row r="429" spans="1:38" x14ac:dyDescent="0.2">
      <c r="A429">
        <f>A428+0.25</f>
        <v>106.25</v>
      </c>
      <c r="E429">
        <f>E428+0.25</f>
        <v>106.25</v>
      </c>
      <c r="I429">
        <f>I428+0.25</f>
        <v>106.25</v>
      </c>
      <c r="M429">
        <f>M428+0.25</f>
        <v>106.25</v>
      </c>
      <c r="R429">
        <v>143</v>
      </c>
      <c r="S429" t="s">
        <v>245</v>
      </c>
      <c r="T429">
        <v>67</v>
      </c>
      <c r="U429">
        <f t="shared" si="69"/>
        <v>784.01558732918636</v>
      </c>
      <c r="V429">
        <f t="shared" si="71"/>
        <v>0</v>
      </c>
      <c r="W429">
        <v>143</v>
      </c>
      <c r="AB429">
        <v>163</v>
      </c>
      <c r="AC429" t="s">
        <v>389</v>
      </c>
      <c r="AD429">
        <v>28</v>
      </c>
      <c r="AE429">
        <f t="shared" si="70"/>
        <v>82.406739821087044</v>
      </c>
      <c r="AF429">
        <f t="shared" si="72"/>
        <v>1</v>
      </c>
      <c r="AG429" s="16">
        <v>1</v>
      </c>
      <c r="AH429">
        <v>163</v>
      </c>
    </row>
    <row r="430" spans="1:38" x14ac:dyDescent="0.2">
      <c r="A430">
        <f t="shared" si="65"/>
        <v>106.5</v>
      </c>
      <c r="E430">
        <f t="shared" si="66"/>
        <v>106.5</v>
      </c>
      <c r="I430">
        <f t="shared" si="67"/>
        <v>106.5</v>
      </c>
      <c r="M430">
        <f t="shared" si="68"/>
        <v>106.5</v>
      </c>
      <c r="R430">
        <v>144</v>
      </c>
      <c r="S430" t="s">
        <v>240</v>
      </c>
      <c r="T430">
        <v>60</v>
      </c>
      <c r="U430">
        <f t="shared" si="69"/>
        <v>523.26449507501752</v>
      </c>
      <c r="V430">
        <f t="shared" si="71"/>
        <v>7</v>
      </c>
      <c r="W430">
        <v>144</v>
      </c>
      <c r="AB430">
        <v>164</v>
      </c>
      <c r="AC430" t="s">
        <v>413</v>
      </c>
      <c r="AD430">
        <v>26</v>
      </c>
      <c r="AE430">
        <f t="shared" si="70"/>
        <v>73.415933359182759</v>
      </c>
      <c r="AF430">
        <f t="shared" si="72"/>
        <v>2</v>
      </c>
      <c r="AG430" s="16">
        <v>2</v>
      </c>
      <c r="AH430">
        <v>164</v>
      </c>
    </row>
    <row r="431" spans="1:38" x14ac:dyDescent="0.2">
      <c r="A431">
        <f t="shared" si="65"/>
        <v>106.75</v>
      </c>
      <c r="E431">
        <f t="shared" si="66"/>
        <v>106.75</v>
      </c>
      <c r="I431">
        <f t="shared" si="67"/>
        <v>106.75</v>
      </c>
      <c r="M431">
        <f t="shared" si="68"/>
        <v>106.75</v>
      </c>
      <c r="R431">
        <v>144.75</v>
      </c>
      <c r="S431" t="s">
        <v>240</v>
      </c>
      <c r="T431">
        <v>60</v>
      </c>
      <c r="U431">
        <f t="shared" si="69"/>
        <v>523.26449507501752</v>
      </c>
      <c r="V431">
        <f t="shared" si="71"/>
        <v>0</v>
      </c>
      <c r="W431">
        <v>144.75</v>
      </c>
      <c r="AB431">
        <v>165</v>
      </c>
      <c r="AC431" t="s">
        <v>388</v>
      </c>
      <c r="AD431">
        <v>29</v>
      </c>
      <c r="AE431">
        <f t="shared" si="70"/>
        <v>87.306974197808145</v>
      </c>
      <c r="AF431">
        <f t="shared" si="72"/>
        <v>3</v>
      </c>
      <c r="AG431" s="16">
        <v>3</v>
      </c>
      <c r="AH431">
        <v>165</v>
      </c>
    </row>
    <row r="432" spans="1:38" x14ac:dyDescent="0.2">
      <c r="A432">
        <f t="shared" si="65"/>
        <v>107</v>
      </c>
      <c r="E432">
        <f t="shared" si="66"/>
        <v>107</v>
      </c>
      <c r="I432">
        <f t="shared" si="67"/>
        <v>107</v>
      </c>
      <c r="M432">
        <f t="shared" si="68"/>
        <v>107</v>
      </c>
      <c r="R432">
        <v>145.5</v>
      </c>
      <c r="S432" t="s">
        <v>240</v>
      </c>
      <c r="T432">
        <v>60</v>
      </c>
      <c r="U432">
        <f t="shared" si="69"/>
        <v>523.26449507501752</v>
      </c>
      <c r="V432">
        <f t="shared" si="71"/>
        <v>0</v>
      </c>
      <c r="W432">
        <v>145.5</v>
      </c>
      <c r="AB432">
        <v>166</v>
      </c>
      <c r="AC432" t="s">
        <v>45</v>
      </c>
      <c r="AD432">
        <v>31</v>
      </c>
      <c r="AE432">
        <f t="shared" si="70"/>
        <v>97.998932630681253</v>
      </c>
      <c r="AF432">
        <f t="shared" si="72"/>
        <v>2</v>
      </c>
      <c r="AG432" s="16">
        <v>2</v>
      </c>
      <c r="AH432">
        <v>166</v>
      </c>
    </row>
    <row r="433" spans="1:49" x14ac:dyDescent="0.2">
      <c r="A433">
        <f t="shared" si="65"/>
        <v>107.25</v>
      </c>
      <c r="E433">
        <f t="shared" si="66"/>
        <v>107.25</v>
      </c>
      <c r="I433">
        <f t="shared" si="67"/>
        <v>107.25</v>
      </c>
      <c r="M433">
        <f t="shared" si="68"/>
        <v>107.25</v>
      </c>
      <c r="R433">
        <v>146.25</v>
      </c>
      <c r="S433" t="s">
        <v>240</v>
      </c>
      <c r="T433">
        <v>60</v>
      </c>
      <c r="U433">
        <f t="shared" si="69"/>
        <v>523.26449507501752</v>
      </c>
      <c r="V433">
        <f t="shared" si="71"/>
        <v>0</v>
      </c>
      <c r="W433">
        <v>146.25</v>
      </c>
      <c r="AB433">
        <v>166.75</v>
      </c>
      <c r="AC433" t="s">
        <v>27</v>
      </c>
      <c r="AD433">
        <v>36</v>
      </c>
      <c r="AE433">
        <f t="shared" si="70"/>
        <v>130.81344004395982</v>
      </c>
      <c r="AF433">
        <f t="shared" si="72"/>
        <v>5</v>
      </c>
      <c r="AG433" s="16">
        <v>5</v>
      </c>
      <c r="AH433">
        <v>166.75</v>
      </c>
    </row>
    <row r="434" spans="1:49" x14ac:dyDescent="0.2">
      <c r="A434">
        <f t="shared" si="65"/>
        <v>107.5</v>
      </c>
      <c r="B434" s="1" t="s">
        <v>244</v>
      </c>
      <c r="C434">
        <v>59</v>
      </c>
      <c r="D434">
        <f>16.35117682*1.059464^C434</f>
        <v>493.89549345236594</v>
      </c>
      <c r="E434">
        <f t="shared" si="66"/>
        <v>107.5</v>
      </c>
      <c r="I434">
        <f t="shared" si="67"/>
        <v>107.5</v>
      </c>
      <c r="J434" t="s">
        <v>47</v>
      </c>
      <c r="K434">
        <v>47</v>
      </c>
      <c r="L434">
        <f>16.35117682*1.059464^K434</f>
        <v>246.94521361646048</v>
      </c>
      <c r="M434">
        <f t="shared" si="68"/>
        <v>107.5</v>
      </c>
      <c r="R434">
        <v>147</v>
      </c>
      <c r="S434" t="s">
        <v>240</v>
      </c>
      <c r="T434">
        <v>60</v>
      </c>
      <c r="U434">
        <f t="shared" si="69"/>
        <v>523.26449507501752</v>
      </c>
      <c r="V434">
        <f t="shared" si="71"/>
        <v>0</v>
      </c>
      <c r="W434">
        <v>147</v>
      </c>
      <c r="AB434">
        <v>168.25</v>
      </c>
      <c r="AC434" t="s">
        <v>46</v>
      </c>
      <c r="AD434">
        <v>45</v>
      </c>
      <c r="AE434">
        <f t="shared" si="70"/>
        <v>220.00279814001337</v>
      </c>
      <c r="AF434">
        <f t="shared" si="72"/>
        <v>9</v>
      </c>
      <c r="AG434" s="16">
        <v>9</v>
      </c>
      <c r="AH434">
        <v>168.25</v>
      </c>
    </row>
    <row r="435" spans="1:49" x14ac:dyDescent="0.2">
      <c r="A435">
        <f t="shared" si="65"/>
        <v>107.75</v>
      </c>
      <c r="E435">
        <f t="shared" si="66"/>
        <v>107.75</v>
      </c>
      <c r="I435">
        <f t="shared" si="67"/>
        <v>107.75</v>
      </c>
      <c r="M435">
        <f t="shared" si="68"/>
        <v>107.75</v>
      </c>
      <c r="R435">
        <v>147.75</v>
      </c>
      <c r="S435" t="s">
        <v>240</v>
      </c>
      <c r="T435">
        <v>60</v>
      </c>
      <c r="U435">
        <f t="shared" ref="U435:U456" si="75">16.35117682*1.059464^T435</f>
        <v>523.26449507501752</v>
      </c>
      <c r="V435">
        <f t="shared" si="71"/>
        <v>0</v>
      </c>
      <c r="W435">
        <v>147.75</v>
      </c>
      <c r="AB435">
        <v>170</v>
      </c>
      <c r="AC435" t="s">
        <v>243</v>
      </c>
      <c r="AD435">
        <v>57</v>
      </c>
      <c r="AE435">
        <f t="shared" ref="AE435:AE437" si="76">16.35117682*1.059464^AD435</f>
        <v>440.01010976071973</v>
      </c>
      <c r="AF435">
        <f t="shared" si="72"/>
        <v>12</v>
      </c>
      <c r="AG435" s="16">
        <v>12</v>
      </c>
      <c r="AH435">
        <v>170</v>
      </c>
    </row>
    <row r="436" spans="1:49" x14ac:dyDescent="0.2">
      <c r="A436">
        <f t="shared" si="65"/>
        <v>108</v>
      </c>
      <c r="B436" t="s">
        <v>240</v>
      </c>
      <c r="C436">
        <v>60</v>
      </c>
      <c r="D436">
        <f>16.35117682*1.059464^C436</f>
        <v>523.26449507501752</v>
      </c>
      <c r="E436">
        <f t="shared" si="66"/>
        <v>108</v>
      </c>
      <c r="I436">
        <f t="shared" si="67"/>
        <v>108</v>
      </c>
      <c r="J436" t="s">
        <v>479</v>
      </c>
      <c r="K436">
        <v>48</v>
      </c>
      <c r="L436">
        <f>16.35117682*1.059464^K436</f>
        <v>261.62956379894968</v>
      </c>
      <c r="M436">
        <f t="shared" si="68"/>
        <v>108</v>
      </c>
      <c r="R436">
        <v>150</v>
      </c>
      <c r="S436" t="s">
        <v>239</v>
      </c>
      <c r="T436">
        <v>55</v>
      </c>
      <c r="U436">
        <f t="shared" si="75"/>
        <v>392.00377257605692</v>
      </c>
      <c r="V436">
        <f t="shared" ref="V436:V456" si="77">ABS(T436-T435)</f>
        <v>5</v>
      </c>
      <c r="W436">
        <v>150</v>
      </c>
      <c r="AB436">
        <v>170.75</v>
      </c>
      <c r="AC436" t="s">
        <v>242</v>
      </c>
      <c r="AD436">
        <v>62</v>
      </c>
      <c r="AE436">
        <f t="shared" si="76"/>
        <v>587.34554108704231</v>
      </c>
      <c r="AF436">
        <f t="shared" si="72"/>
        <v>5</v>
      </c>
      <c r="AG436" s="16">
        <v>5</v>
      </c>
      <c r="AH436">
        <v>170.75</v>
      </c>
    </row>
    <row r="437" spans="1:49" x14ac:dyDescent="0.2">
      <c r="A437">
        <f t="shared" si="65"/>
        <v>108.25</v>
      </c>
      <c r="E437">
        <f t="shared" si="66"/>
        <v>108.25</v>
      </c>
      <c r="I437">
        <f t="shared" si="67"/>
        <v>108.25</v>
      </c>
      <c r="M437">
        <f t="shared" si="68"/>
        <v>108.25</v>
      </c>
      <c r="R437">
        <v>150.75</v>
      </c>
      <c r="S437" t="s">
        <v>239</v>
      </c>
      <c r="T437">
        <v>55</v>
      </c>
      <c r="U437">
        <f t="shared" si="75"/>
        <v>392.00377257605692</v>
      </c>
      <c r="V437">
        <f t="shared" si="77"/>
        <v>0</v>
      </c>
      <c r="W437">
        <v>150.75</v>
      </c>
      <c r="AB437">
        <v>172</v>
      </c>
      <c r="AC437" t="s">
        <v>240</v>
      </c>
      <c r="AD437">
        <v>60</v>
      </c>
      <c r="AE437">
        <f t="shared" si="76"/>
        <v>523.26449507501752</v>
      </c>
      <c r="AF437">
        <f t="shared" si="72"/>
        <v>2</v>
      </c>
      <c r="AG437" s="16">
        <v>2</v>
      </c>
      <c r="AH437">
        <v>172</v>
      </c>
      <c r="AI437" t="s">
        <v>25</v>
      </c>
      <c r="AJ437">
        <v>64</v>
      </c>
      <c r="AK437">
        <f>16.35117682*1.059464^AJ437</f>
        <v>659.27420622217721</v>
      </c>
      <c r="AL437">
        <f>ABS(AJ437-AD436)</f>
        <v>2</v>
      </c>
    </row>
    <row r="438" spans="1:49" x14ac:dyDescent="0.2">
      <c r="A438">
        <f t="shared" si="65"/>
        <v>108.5</v>
      </c>
      <c r="B438" t="s">
        <v>411</v>
      </c>
      <c r="C438">
        <v>58</v>
      </c>
      <c r="D438">
        <f>16.35117682*1.059464^C438</f>
        <v>466.17487092753117</v>
      </c>
      <c r="E438">
        <f t="shared" si="66"/>
        <v>108.5</v>
      </c>
      <c r="F438" t="s">
        <v>481</v>
      </c>
      <c r="G438">
        <v>52</v>
      </c>
      <c r="H438">
        <f>16.35117682*1.059464^G438</f>
        <v>329.63372180082422</v>
      </c>
      <c r="I438">
        <f t="shared" si="67"/>
        <v>108.5</v>
      </c>
      <c r="M438">
        <f t="shared" si="68"/>
        <v>108.5</v>
      </c>
      <c r="R438">
        <v>151.5</v>
      </c>
      <c r="S438" t="s">
        <v>239</v>
      </c>
      <c r="T438">
        <v>55</v>
      </c>
      <c r="U438">
        <f t="shared" si="75"/>
        <v>392.00377257605692</v>
      </c>
      <c r="V438">
        <f t="shared" si="77"/>
        <v>0</v>
      </c>
      <c r="W438">
        <v>151.5</v>
      </c>
      <c r="AG438" s="16">
        <v>13</v>
      </c>
    </row>
    <row r="439" spans="1:49" x14ac:dyDescent="0.2">
      <c r="A439">
        <f t="shared" si="65"/>
        <v>108.75</v>
      </c>
      <c r="E439">
        <f t="shared" si="66"/>
        <v>108.75</v>
      </c>
      <c r="I439">
        <f t="shared" si="67"/>
        <v>108.75</v>
      </c>
      <c r="M439">
        <f t="shared" si="68"/>
        <v>108.75</v>
      </c>
      <c r="R439">
        <v>152.25</v>
      </c>
      <c r="S439" t="s">
        <v>482</v>
      </c>
      <c r="T439">
        <v>53</v>
      </c>
      <c r="U439">
        <f t="shared" si="75"/>
        <v>349.23506143398839</v>
      </c>
      <c r="V439">
        <f t="shared" si="77"/>
        <v>2</v>
      </c>
      <c r="W439">
        <v>152.25</v>
      </c>
      <c r="AG439" s="16">
        <v>13</v>
      </c>
    </row>
    <row r="440" spans="1:49" x14ac:dyDescent="0.2">
      <c r="A440">
        <f t="shared" si="65"/>
        <v>109</v>
      </c>
      <c r="E440">
        <f t="shared" si="66"/>
        <v>109</v>
      </c>
      <c r="I440">
        <f t="shared" si="67"/>
        <v>109</v>
      </c>
      <c r="M440">
        <f t="shared" si="68"/>
        <v>109</v>
      </c>
      <c r="R440">
        <v>153</v>
      </c>
      <c r="S440" t="s">
        <v>479</v>
      </c>
      <c r="T440">
        <v>48</v>
      </c>
      <c r="U440">
        <f t="shared" si="75"/>
        <v>261.62956379894968</v>
      </c>
      <c r="V440">
        <f t="shared" si="77"/>
        <v>5</v>
      </c>
      <c r="W440">
        <v>153</v>
      </c>
      <c r="AG440" s="16">
        <v>12</v>
      </c>
      <c r="AW440" s="16">
        <v>13</v>
      </c>
    </row>
    <row r="441" spans="1:49" x14ac:dyDescent="0.2">
      <c r="A441">
        <f t="shared" si="65"/>
        <v>109.25</v>
      </c>
      <c r="E441">
        <f t="shared" si="66"/>
        <v>109.25</v>
      </c>
      <c r="I441">
        <f t="shared" si="67"/>
        <v>109.25</v>
      </c>
      <c r="M441">
        <f t="shared" si="68"/>
        <v>109.25</v>
      </c>
      <c r="R441">
        <v>154.25</v>
      </c>
      <c r="S441" t="s">
        <v>480</v>
      </c>
      <c r="T441">
        <v>50</v>
      </c>
      <c r="U441">
        <f t="shared" si="75"/>
        <v>293.66975814369101</v>
      </c>
      <c r="V441">
        <f t="shared" si="77"/>
        <v>2</v>
      </c>
      <c r="W441">
        <v>154.25</v>
      </c>
      <c r="AG441" s="16">
        <v>14</v>
      </c>
      <c r="AW441" s="16">
        <v>13</v>
      </c>
    </row>
    <row r="442" spans="1:49" x14ac:dyDescent="0.2">
      <c r="A442">
        <f t="shared" si="65"/>
        <v>109.5</v>
      </c>
      <c r="B442" t="s">
        <v>243</v>
      </c>
      <c r="C442">
        <v>57</v>
      </c>
      <c r="D442">
        <f>16.35117682*1.059464^C442</f>
        <v>440.01010976071973</v>
      </c>
      <c r="E442">
        <f t="shared" si="66"/>
        <v>109.5</v>
      </c>
      <c r="I442">
        <f t="shared" si="67"/>
        <v>109.5</v>
      </c>
      <c r="J442" t="s">
        <v>326</v>
      </c>
      <c r="K442">
        <v>45</v>
      </c>
      <c r="L442">
        <f>16.35117682*1.059464^K442</f>
        <v>220.00279814001337</v>
      </c>
      <c r="M442">
        <f t="shared" si="68"/>
        <v>109.5</v>
      </c>
      <c r="R442">
        <v>155</v>
      </c>
      <c r="S442" t="s">
        <v>44</v>
      </c>
      <c r="T442">
        <v>43</v>
      </c>
      <c r="U442">
        <f t="shared" si="75"/>
        <v>195.99987576438383</v>
      </c>
      <c r="V442">
        <f t="shared" si="77"/>
        <v>7</v>
      </c>
      <c r="W442">
        <v>155</v>
      </c>
      <c r="AG442" s="16">
        <v>12</v>
      </c>
      <c r="AW442" s="16">
        <v>12</v>
      </c>
    </row>
    <row r="443" spans="1:49" x14ac:dyDescent="0.2">
      <c r="A443">
        <f t="shared" si="65"/>
        <v>109.75</v>
      </c>
      <c r="E443">
        <f t="shared" si="66"/>
        <v>109.75</v>
      </c>
      <c r="I443">
        <f t="shared" si="67"/>
        <v>109.75</v>
      </c>
      <c r="M443">
        <f t="shared" si="68"/>
        <v>109.75</v>
      </c>
      <c r="R443">
        <v>155.75</v>
      </c>
      <c r="S443" t="s">
        <v>47</v>
      </c>
      <c r="T443">
        <v>47</v>
      </c>
      <c r="U443">
        <f t="shared" si="75"/>
        <v>246.94521361646048</v>
      </c>
      <c r="V443">
        <f t="shared" si="77"/>
        <v>4</v>
      </c>
      <c r="W443">
        <v>155.75</v>
      </c>
      <c r="AG443" s="16">
        <v>14</v>
      </c>
      <c r="AW443" s="16">
        <v>14</v>
      </c>
    </row>
    <row r="444" spans="1:49" x14ac:dyDescent="0.2">
      <c r="A444">
        <f t="shared" si="65"/>
        <v>110</v>
      </c>
      <c r="B444" t="s">
        <v>482</v>
      </c>
      <c r="C444">
        <v>53</v>
      </c>
      <c r="D444">
        <f>16.35117682*1.059464^C444</f>
        <v>349.23506143398839</v>
      </c>
      <c r="E444">
        <f t="shared" si="66"/>
        <v>110</v>
      </c>
      <c r="I444">
        <f t="shared" si="67"/>
        <v>110</v>
      </c>
      <c r="J444" t="s">
        <v>330</v>
      </c>
      <c r="K444">
        <v>41</v>
      </c>
      <c r="L444">
        <f>16.35117682*1.059464^K444</f>
        <v>174.61573954711864</v>
      </c>
      <c r="M444">
        <f t="shared" si="68"/>
        <v>110</v>
      </c>
      <c r="R444">
        <v>158</v>
      </c>
      <c r="S444" t="s">
        <v>29</v>
      </c>
      <c r="T444">
        <v>40</v>
      </c>
      <c r="U444">
        <f t="shared" si="75"/>
        <v>164.8151702626221</v>
      </c>
      <c r="V444">
        <f t="shared" si="77"/>
        <v>7</v>
      </c>
      <c r="W444">
        <v>158</v>
      </c>
      <c r="AG444" s="16">
        <v>12</v>
      </c>
      <c r="AW444" s="16">
        <v>12</v>
      </c>
    </row>
    <row r="445" spans="1:49" x14ac:dyDescent="0.2">
      <c r="A445">
        <f t="shared" si="65"/>
        <v>110.25</v>
      </c>
      <c r="E445">
        <f t="shared" si="66"/>
        <v>110.25</v>
      </c>
      <c r="I445">
        <f t="shared" si="67"/>
        <v>110.25</v>
      </c>
      <c r="M445">
        <f t="shared" si="68"/>
        <v>110.25</v>
      </c>
      <c r="R445">
        <v>158.75</v>
      </c>
      <c r="S445" t="s">
        <v>29</v>
      </c>
      <c r="T445">
        <v>40</v>
      </c>
      <c r="U445">
        <f t="shared" si="75"/>
        <v>164.8151702626221</v>
      </c>
      <c r="V445">
        <f t="shared" si="77"/>
        <v>0</v>
      </c>
      <c r="W445">
        <v>158.75</v>
      </c>
      <c r="AG445" s="16">
        <v>14</v>
      </c>
      <c r="AW445" s="16">
        <v>14</v>
      </c>
    </row>
    <row r="446" spans="1:49" x14ac:dyDescent="0.2">
      <c r="A446">
        <f t="shared" si="65"/>
        <v>110.5</v>
      </c>
      <c r="B446" t="s">
        <v>243</v>
      </c>
      <c r="C446">
        <v>57</v>
      </c>
      <c r="D446">
        <f>16.35117682*1.059464^C446</f>
        <v>440.01010976071973</v>
      </c>
      <c r="E446">
        <f t="shared" si="66"/>
        <v>110.5</v>
      </c>
      <c r="F446" t="s">
        <v>479</v>
      </c>
      <c r="G446">
        <v>48</v>
      </c>
      <c r="H446">
        <f>16.35117682*1.059464^G446</f>
        <v>261.62956379894968</v>
      </c>
      <c r="I446">
        <f t="shared" si="67"/>
        <v>110.5</v>
      </c>
      <c r="M446">
        <f t="shared" si="68"/>
        <v>110.5</v>
      </c>
      <c r="R446">
        <v>159.5</v>
      </c>
      <c r="S446" t="s">
        <v>29</v>
      </c>
      <c r="T446">
        <v>40</v>
      </c>
      <c r="U446">
        <f t="shared" si="75"/>
        <v>164.8151702626221</v>
      </c>
      <c r="V446">
        <f t="shared" si="77"/>
        <v>0</v>
      </c>
      <c r="W446">
        <v>159.5</v>
      </c>
      <c r="AG446" s="16">
        <v>12</v>
      </c>
      <c r="AW446" s="16">
        <v>12</v>
      </c>
    </row>
    <row r="447" spans="1:49" x14ac:dyDescent="0.2">
      <c r="A447">
        <f t="shared" si="65"/>
        <v>110.75</v>
      </c>
      <c r="E447">
        <f t="shared" si="66"/>
        <v>110.75</v>
      </c>
      <c r="I447">
        <f t="shared" si="67"/>
        <v>110.75</v>
      </c>
      <c r="M447">
        <f t="shared" si="68"/>
        <v>110.75</v>
      </c>
      <c r="R447">
        <v>160.25</v>
      </c>
      <c r="S447" t="s">
        <v>29</v>
      </c>
      <c r="T447">
        <v>40</v>
      </c>
      <c r="U447">
        <f t="shared" si="75"/>
        <v>164.8151702626221</v>
      </c>
      <c r="V447">
        <f t="shared" si="77"/>
        <v>0</v>
      </c>
      <c r="W447">
        <v>160.25</v>
      </c>
      <c r="AG447" s="16">
        <v>13</v>
      </c>
      <c r="AW447" s="16">
        <v>14</v>
      </c>
    </row>
    <row r="448" spans="1:49" x14ac:dyDescent="0.2">
      <c r="A448">
        <f t="shared" si="65"/>
        <v>111</v>
      </c>
      <c r="E448">
        <f t="shared" si="66"/>
        <v>111</v>
      </c>
      <c r="I448">
        <f t="shared" si="67"/>
        <v>111</v>
      </c>
      <c r="M448">
        <f t="shared" si="68"/>
        <v>111</v>
      </c>
      <c r="R448">
        <v>161.5</v>
      </c>
      <c r="S448" t="s">
        <v>27</v>
      </c>
      <c r="T448">
        <v>36</v>
      </c>
      <c r="U448">
        <f t="shared" si="75"/>
        <v>130.81344004395982</v>
      </c>
      <c r="V448">
        <f t="shared" si="77"/>
        <v>4</v>
      </c>
      <c r="W448">
        <v>161.5</v>
      </c>
      <c r="AG448" s="16">
        <v>12</v>
      </c>
      <c r="AW448" s="16">
        <v>12</v>
      </c>
    </row>
    <row r="449" spans="1:49" x14ac:dyDescent="0.2">
      <c r="A449">
        <f t="shared" si="65"/>
        <v>111.25</v>
      </c>
      <c r="E449">
        <f t="shared" si="66"/>
        <v>111.25</v>
      </c>
      <c r="I449">
        <f t="shared" si="67"/>
        <v>111.25</v>
      </c>
      <c r="M449">
        <f t="shared" si="68"/>
        <v>111.25</v>
      </c>
      <c r="R449">
        <v>162.25</v>
      </c>
      <c r="S449" t="s">
        <v>27</v>
      </c>
      <c r="T449">
        <v>36</v>
      </c>
      <c r="U449">
        <f t="shared" si="75"/>
        <v>130.81344004395982</v>
      </c>
      <c r="V449">
        <f t="shared" si="77"/>
        <v>0</v>
      </c>
      <c r="W449">
        <v>162.25</v>
      </c>
      <c r="AG449" s="16">
        <v>14</v>
      </c>
      <c r="AW449" s="16">
        <v>13</v>
      </c>
    </row>
    <row r="450" spans="1:49" x14ac:dyDescent="0.2">
      <c r="A450">
        <f t="shared" si="65"/>
        <v>111.5</v>
      </c>
      <c r="B450" t="s">
        <v>480</v>
      </c>
      <c r="C450">
        <v>50</v>
      </c>
      <c r="D450">
        <f>16.35117682*1.059464^C450</f>
        <v>293.66975814369101</v>
      </c>
      <c r="E450">
        <f t="shared" si="66"/>
        <v>111.5</v>
      </c>
      <c r="I450">
        <f t="shared" si="67"/>
        <v>111.5</v>
      </c>
      <c r="J450" t="s">
        <v>332</v>
      </c>
      <c r="K450">
        <v>38</v>
      </c>
      <c r="L450">
        <f>16.35117682*1.059464^K450</f>
        <v>146.83337288738056</v>
      </c>
      <c r="M450">
        <f t="shared" si="68"/>
        <v>111.5</v>
      </c>
      <c r="R450">
        <v>163</v>
      </c>
      <c r="S450" t="s">
        <v>27</v>
      </c>
      <c r="T450">
        <v>36</v>
      </c>
      <c r="U450">
        <f t="shared" si="75"/>
        <v>130.81344004395982</v>
      </c>
      <c r="V450">
        <f t="shared" si="77"/>
        <v>0</v>
      </c>
      <c r="W450">
        <v>163</v>
      </c>
      <c r="AG450" s="16">
        <v>12</v>
      </c>
      <c r="AW450" s="16">
        <v>12</v>
      </c>
    </row>
    <row r="451" spans="1:49" x14ac:dyDescent="0.2">
      <c r="A451">
        <f t="shared" si="65"/>
        <v>111.75</v>
      </c>
      <c r="E451">
        <f t="shared" si="66"/>
        <v>111.75</v>
      </c>
      <c r="I451">
        <f t="shared" si="67"/>
        <v>111.75</v>
      </c>
      <c r="M451">
        <f t="shared" si="68"/>
        <v>111.75</v>
      </c>
      <c r="R451">
        <v>163.75</v>
      </c>
      <c r="S451" t="s">
        <v>27</v>
      </c>
      <c r="T451">
        <v>36</v>
      </c>
      <c r="U451">
        <f t="shared" si="75"/>
        <v>130.81344004395982</v>
      </c>
      <c r="V451">
        <f t="shared" si="77"/>
        <v>0</v>
      </c>
      <c r="W451">
        <v>163.75</v>
      </c>
      <c r="AG451" s="16">
        <v>9</v>
      </c>
      <c r="AW451" s="16">
        <v>14</v>
      </c>
    </row>
    <row r="452" spans="1:49" x14ac:dyDescent="0.2">
      <c r="A452">
        <f t="shared" si="65"/>
        <v>112</v>
      </c>
      <c r="B452" t="s">
        <v>481</v>
      </c>
      <c r="C452">
        <v>52</v>
      </c>
      <c r="D452">
        <f>16.35117682*1.059464^C452</f>
        <v>329.63372180082422</v>
      </c>
      <c r="E452">
        <f t="shared" si="66"/>
        <v>112</v>
      </c>
      <c r="I452">
        <f t="shared" si="67"/>
        <v>112</v>
      </c>
      <c r="J452" t="s">
        <v>333</v>
      </c>
      <c r="K452">
        <v>40</v>
      </c>
      <c r="L452">
        <f>16.35117682*1.059464^K452</f>
        <v>164.8151702626221</v>
      </c>
      <c r="M452">
        <f t="shared" si="68"/>
        <v>112</v>
      </c>
      <c r="R452">
        <v>167</v>
      </c>
      <c r="S452" t="s">
        <v>28</v>
      </c>
      <c r="T452">
        <v>38</v>
      </c>
      <c r="U452">
        <f t="shared" si="75"/>
        <v>146.83337288738056</v>
      </c>
      <c r="V452">
        <f t="shared" si="77"/>
        <v>2</v>
      </c>
      <c r="W452">
        <v>167</v>
      </c>
      <c r="AG452" s="16">
        <v>12</v>
      </c>
      <c r="AW452" s="16">
        <v>12</v>
      </c>
    </row>
    <row r="453" spans="1:49" x14ac:dyDescent="0.2">
      <c r="A453">
        <f t="shared" ref="A453:A516" si="78">A452+0.25</f>
        <v>112.25</v>
      </c>
      <c r="E453">
        <f t="shared" ref="E453:E516" si="79">E452+0.25</f>
        <v>112.25</v>
      </c>
      <c r="I453">
        <f t="shared" ref="I453:I516" si="80">I452+0.25</f>
        <v>112.25</v>
      </c>
      <c r="M453">
        <f t="shared" ref="M453:M516" si="81">M452+0.25</f>
        <v>112.25</v>
      </c>
      <c r="R453">
        <v>169</v>
      </c>
      <c r="S453" t="s">
        <v>480</v>
      </c>
      <c r="T453">
        <v>50</v>
      </c>
      <c r="U453">
        <f t="shared" si="75"/>
        <v>293.66975814369101</v>
      </c>
      <c r="V453">
        <f t="shared" si="77"/>
        <v>12</v>
      </c>
      <c r="W453">
        <v>169</v>
      </c>
      <c r="AG453" s="16">
        <v>10</v>
      </c>
      <c r="AW453" s="16">
        <v>9</v>
      </c>
    </row>
    <row r="454" spans="1:49" x14ac:dyDescent="0.2">
      <c r="A454">
        <f t="shared" si="78"/>
        <v>112.5</v>
      </c>
      <c r="B454" t="s">
        <v>239</v>
      </c>
      <c r="C454">
        <v>55</v>
      </c>
      <c r="D454">
        <f>16.35117682*1.059464^C454</f>
        <v>392.00377257605692</v>
      </c>
      <c r="E454">
        <f t="shared" si="79"/>
        <v>112.5</v>
      </c>
      <c r="F454" t="s">
        <v>47</v>
      </c>
      <c r="G454">
        <v>47</v>
      </c>
      <c r="H454">
        <f>16.35117682*1.059464^G454</f>
        <v>246.94521361646048</v>
      </c>
      <c r="I454">
        <f t="shared" si="80"/>
        <v>112.5</v>
      </c>
      <c r="M454">
        <f t="shared" si="81"/>
        <v>112.5</v>
      </c>
      <c r="R454">
        <v>169.75</v>
      </c>
      <c r="S454" t="s">
        <v>239</v>
      </c>
      <c r="T454">
        <v>54</v>
      </c>
      <c r="U454">
        <f t="shared" si="75"/>
        <v>370.00197512709912</v>
      </c>
      <c r="V454">
        <f t="shared" si="77"/>
        <v>4</v>
      </c>
      <c r="W454">
        <v>169.75</v>
      </c>
      <c r="AG454" s="16">
        <v>2</v>
      </c>
      <c r="AW454" s="16">
        <v>12</v>
      </c>
    </row>
    <row r="455" spans="1:49" x14ac:dyDescent="0.2">
      <c r="A455">
        <f t="shared" si="78"/>
        <v>112.75</v>
      </c>
      <c r="E455">
        <f t="shared" si="79"/>
        <v>112.75</v>
      </c>
      <c r="I455">
        <f t="shared" si="80"/>
        <v>112.75</v>
      </c>
      <c r="M455">
        <f t="shared" si="81"/>
        <v>112.75</v>
      </c>
      <c r="R455">
        <v>171.5</v>
      </c>
      <c r="S455" t="s">
        <v>245</v>
      </c>
      <c r="T455">
        <v>67</v>
      </c>
      <c r="U455">
        <f t="shared" si="75"/>
        <v>784.01558732918636</v>
      </c>
      <c r="V455">
        <f t="shared" si="77"/>
        <v>13</v>
      </c>
      <c r="W455">
        <v>171.5</v>
      </c>
      <c r="AG455" s="16">
        <v>3</v>
      </c>
      <c r="AW455" s="16">
        <v>10</v>
      </c>
    </row>
    <row r="456" spans="1:49" x14ac:dyDescent="0.2">
      <c r="A456">
        <f t="shared" si="78"/>
        <v>113</v>
      </c>
      <c r="B456" t="s">
        <v>480</v>
      </c>
      <c r="C456">
        <v>50</v>
      </c>
      <c r="D456">
        <f>16.35117682*1.059464^C456</f>
        <v>293.66975814369101</v>
      </c>
      <c r="E456">
        <f t="shared" si="79"/>
        <v>113</v>
      </c>
      <c r="I456">
        <f t="shared" si="80"/>
        <v>113</v>
      </c>
      <c r="J456" t="s">
        <v>28</v>
      </c>
      <c r="K456">
        <v>38</v>
      </c>
      <c r="L456">
        <f>16.35117682*1.059464^K456</f>
        <v>146.83337288738056</v>
      </c>
      <c r="M456">
        <f t="shared" si="81"/>
        <v>113</v>
      </c>
      <c r="R456">
        <v>172</v>
      </c>
      <c r="S456" t="s">
        <v>410</v>
      </c>
      <c r="T456">
        <v>72</v>
      </c>
      <c r="U456">
        <f t="shared" si="75"/>
        <v>1046.5397252143878</v>
      </c>
      <c r="V456">
        <f t="shared" si="77"/>
        <v>5</v>
      </c>
      <c r="W456">
        <v>172</v>
      </c>
      <c r="X456" t="s">
        <v>245</v>
      </c>
      <c r="Y456">
        <v>67</v>
      </c>
      <c r="Z456">
        <f>16.35117682*1.059464^Y456</f>
        <v>784.01558732918636</v>
      </c>
      <c r="AA456">
        <f>ABS(Y456-T455)</f>
        <v>0</v>
      </c>
      <c r="AG456" s="16">
        <v>7</v>
      </c>
      <c r="AW456" s="16">
        <v>2</v>
      </c>
    </row>
    <row r="457" spans="1:49" x14ac:dyDescent="0.2">
      <c r="A457">
        <f t="shared" si="78"/>
        <v>113.25</v>
      </c>
      <c r="E457">
        <f t="shared" si="79"/>
        <v>113.25</v>
      </c>
      <c r="I457">
        <f t="shared" si="80"/>
        <v>113.25</v>
      </c>
      <c r="M457">
        <f t="shared" si="81"/>
        <v>113.25</v>
      </c>
      <c r="AG457" s="16">
        <v>2</v>
      </c>
      <c r="AW457" s="16">
        <v>3</v>
      </c>
    </row>
    <row r="458" spans="1:49" x14ac:dyDescent="0.2">
      <c r="A458">
        <f t="shared" si="78"/>
        <v>113.5</v>
      </c>
      <c r="B458" t="s">
        <v>239</v>
      </c>
      <c r="C458">
        <v>55</v>
      </c>
      <c r="D458">
        <f>16.35117682*1.059464^C458</f>
        <v>392.00377257605692</v>
      </c>
      <c r="E458">
        <f t="shared" si="79"/>
        <v>113.5</v>
      </c>
      <c r="F458" t="s">
        <v>482</v>
      </c>
      <c r="G458">
        <v>53</v>
      </c>
      <c r="H458">
        <f>16.35117682*1.059464^G458</f>
        <v>349.23506143398839</v>
      </c>
      <c r="I458">
        <f t="shared" si="80"/>
        <v>113.5</v>
      </c>
      <c r="J458" t="s">
        <v>47</v>
      </c>
      <c r="K458">
        <v>47</v>
      </c>
      <c r="L458">
        <f>16.35117682*1.059464^K458</f>
        <v>246.94521361646048</v>
      </c>
      <c r="M458">
        <f t="shared" si="81"/>
        <v>113.5</v>
      </c>
      <c r="R458" t="s">
        <v>258</v>
      </c>
      <c r="W458" t="s">
        <v>157</v>
      </c>
      <c r="AB458" t="s">
        <v>26</v>
      </c>
      <c r="AG458" s="16">
        <v>3</v>
      </c>
      <c r="AH458" t="s">
        <v>158</v>
      </c>
      <c r="AW458" s="16">
        <v>7</v>
      </c>
    </row>
    <row r="459" spans="1:49" x14ac:dyDescent="0.2">
      <c r="A459">
        <f t="shared" si="78"/>
        <v>113.75</v>
      </c>
      <c r="E459">
        <f t="shared" si="79"/>
        <v>113.75</v>
      </c>
      <c r="I459">
        <f t="shared" si="80"/>
        <v>113.75</v>
      </c>
      <c r="M459">
        <f t="shared" si="81"/>
        <v>113.75</v>
      </c>
      <c r="R459" t="s">
        <v>475</v>
      </c>
      <c r="S459" t="s">
        <v>350</v>
      </c>
      <c r="T459" t="s">
        <v>351</v>
      </c>
      <c r="U459" t="s">
        <v>160</v>
      </c>
      <c r="V459" t="s">
        <v>399</v>
      </c>
      <c r="W459" t="s">
        <v>475</v>
      </c>
      <c r="X459" t="s">
        <v>384</v>
      </c>
      <c r="Y459" t="s">
        <v>351</v>
      </c>
      <c r="Z459" t="s">
        <v>160</v>
      </c>
      <c r="AA459" t="s">
        <v>399</v>
      </c>
      <c r="AB459" t="s">
        <v>475</v>
      </c>
      <c r="AC459" t="s">
        <v>384</v>
      </c>
      <c r="AD459" t="s">
        <v>351</v>
      </c>
      <c r="AE459" t="s">
        <v>160</v>
      </c>
      <c r="AF459" t="s">
        <v>399</v>
      </c>
      <c r="AG459" s="16">
        <v>9</v>
      </c>
      <c r="AH459" t="s">
        <v>159</v>
      </c>
      <c r="AI459" t="s">
        <v>350</v>
      </c>
      <c r="AJ459" t="s">
        <v>351</v>
      </c>
      <c r="AK459" t="s">
        <v>160</v>
      </c>
      <c r="AN459" t="s">
        <v>401</v>
      </c>
      <c r="AW459" s="16">
        <v>2</v>
      </c>
    </row>
    <row r="460" spans="1:49" x14ac:dyDescent="0.2">
      <c r="A460">
        <f t="shared" si="78"/>
        <v>114</v>
      </c>
      <c r="B460" t="s">
        <v>479</v>
      </c>
      <c r="C460">
        <v>48</v>
      </c>
      <c r="D460">
        <f>16.35117682*1.059464^C460</f>
        <v>261.62956379894968</v>
      </c>
      <c r="E460">
        <f t="shared" si="79"/>
        <v>114</v>
      </c>
      <c r="I460">
        <f t="shared" si="80"/>
        <v>114</v>
      </c>
      <c r="J460" t="s">
        <v>334</v>
      </c>
      <c r="K460">
        <v>36</v>
      </c>
      <c r="L460">
        <f>16.35117682*1.059464^K460</f>
        <v>130.81344004395982</v>
      </c>
      <c r="M460">
        <f t="shared" si="81"/>
        <v>114</v>
      </c>
      <c r="R460">
        <v>0</v>
      </c>
      <c r="S460" t="s">
        <v>255</v>
      </c>
      <c r="T460">
        <v>64</v>
      </c>
      <c r="U460">
        <f t="shared" ref="U460:U491" si="82">16.35117682*1.059464^T460</f>
        <v>659.27420622217721</v>
      </c>
      <c r="W460">
        <v>0</v>
      </c>
      <c r="AB460">
        <v>4</v>
      </c>
      <c r="AC460" t="s">
        <v>480</v>
      </c>
      <c r="AD460">
        <v>50</v>
      </c>
      <c r="AE460">
        <f t="shared" ref="AE460:AE491" si="83">16.35117682*1.059464^AD460</f>
        <v>293.66975814369101</v>
      </c>
      <c r="AG460" s="16">
        <v>3</v>
      </c>
      <c r="AH460">
        <v>4</v>
      </c>
      <c r="AI460" t="s">
        <v>390</v>
      </c>
      <c r="AJ460">
        <v>53</v>
      </c>
      <c r="AK460">
        <f t="shared" ref="AK460:AK465" si="84">16.35117682*1.059464^AJ460</f>
        <v>349.23506143398839</v>
      </c>
      <c r="AW460" s="16">
        <v>3</v>
      </c>
    </row>
    <row r="461" spans="1:49" x14ac:dyDescent="0.2">
      <c r="A461">
        <f t="shared" si="78"/>
        <v>114.25</v>
      </c>
      <c r="E461">
        <f t="shared" si="79"/>
        <v>114.25</v>
      </c>
      <c r="I461">
        <f t="shared" si="80"/>
        <v>114.25</v>
      </c>
      <c r="M461">
        <f t="shared" si="81"/>
        <v>114.25</v>
      </c>
      <c r="R461">
        <v>1.5</v>
      </c>
      <c r="S461" t="s">
        <v>255</v>
      </c>
      <c r="T461">
        <v>64</v>
      </c>
      <c r="U461">
        <f t="shared" si="82"/>
        <v>659.27420622217721</v>
      </c>
      <c r="V461">
        <f t="shared" ref="V461:V492" si="85">ABS(T461-T460)</f>
        <v>0</v>
      </c>
      <c r="W461">
        <v>1.5</v>
      </c>
      <c r="AB461">
        <v>6</v>
      </c>
      <c r="AC461" t="s">
        <v>480</v>
      </c>
      <c r="AD461">
        <v>50</v>
      </c>
      <c r="AE461">
        <f t="shared" si="83"/>
        <v>293.66975814369101</v>
      </c>
      <c r="AF461">
        <f t="shared" ref="AF461:AF492" si="86">ABS(AD461-AD460)</f>
        <v>0</v>
      </c>
      <c r="AG461" s="16">
        <v>2</v>
      </c>
      <c r="AH461">
        <v>6</v>
      </c>
      <c r="AI461" t="s">
        <v>390</v>
      </c>
      <c r="AJ461">
        <v>53</v>
      </c>
      <c r="AK461">
        <f t="shared" si="84"/>
        <v>349.23506143398839</v>
      </c>
      <c r="AL461">
        <f>ABS(AJ461-AJ460)</f>
        <v>0</v>
      </c>
      <c r="AN461" t="s">
        <v>355</v>
      </c>
      <c r="AO461" t="s">
        <v>396</v>
      </c>
      <c r="AW461" s="16">
        <v>9</v>
      </c>
    </row>
    <row r="462" spans="1:49" x14ac:dyDescent="0.2">
      <c r="A462">
        <f t="shared" si="78"/>
        <v>114.5</v>
      </c>
      <c r="B462" t="s">
        <v>481</v>
      </c>
      <c r="C462">
        <v>52</v>
      </c>
      <c r="D462">
        <f>16.35117682*1.059464^C462</f>
        <v>329.63372180082422</v>
      </c>
      <c r="E462">
        <f t="shared" si="79"/>
        <v>114.5</v>
      </c>
      <c r="F462" t="s">
        <v>239</v>
      </c>
      <c r="G462">
        <v>55</v>
      </c>
      <c r="H462">
        <f>16.35117682*1.059464^G462</f>
        <v>392.00377257605692</v>
      </c>
      <c r="I462">
        <f t="shared" si="80"/>
        <v>114.5</v>
      </c>
      <c r="M462">
        <f t="shared" si="81"/>
        <v>114.5</v>
      </c>
      <c r="R462">
        <v>3</v>
      </c>
      <c r="S462" t="s">
        <v>255</v>
      </c>
      <c r="T462">
        <v>64</v>
      </c>
      <c r="U462">
        <f t="shared" si="82"/>
        <v>659.27420622217721</v>
      </c>
      <c r="V462">
        <f t="shared" si="85"/>
        <v>0</v>
      </c>
      <c r="W462">
        <v>3</v>
      </c>
      <c r="AB462">
        <v>8</v>
      </c>
      <c r="AC462" t="s">
        <v>479</v>
      </c>
      <c r="AD462">
        <v>48</v>
      </c>
      <c r="AE462">
        <f t="shared" si="83"/>
        <v>261.62956379894968</v>
      </c>
      <c r="AF462">
        <f t="shared" si="86"/>
        <v>2</v>
      </c>
      <c r="AG462" s="16">
        <v>0</v>
      </c>
      <c r="AH462">
        <v>8</v>
      </c>
      <c r="AI462" t="s">
        <v>222</v>
      </c>
      <c r="AJ462">
        <v>51</v>
      </c>
      <c r="AK462">
        <f t="shared" si="84"/>
        <v>311.13253664194741</v>
      </c>
      <c r="AL462">
        <f>ABS(AJ462-AJ461)</f>
        <v>2</v>
      </c>
      <c r="AN462">
        <f>SUM(AF461:AF525,AL461:AL465,AL487:AL492,AL513:AL518,AL525)</f>
        <v>385</v>
      </c>
      <c r="AO462">
        <f>(525-459)+(6)*3+1</f>
        <v>85</v>
      </c>
      <c r="AW462" s="16">
        <v>3</v>
      </c>
    </row>
    <row r="463" spans="1:49" x14ac:dyDescent="0.2">
      <c r="A463">
        <f t="shared" si="78"/>
        <v>114.75</v>
      </c>
      <c r="E463">
        <f t="shared" si="79"/>
        <v>114.75</v>
      </c>
      <c r="I463">
        <f t="shared" si="80"/>
        <v>114.75</v>
      </c>
      <c r="M463">
        <f t="shared" si="81"/>
        <v>114.75</v>
      </c>
      <c r="R463">
        <v>4.75</v>
      </c>
      <c r="S463" t="s">
        <v>243</v>
      </c>
      <c r="T463">
        <v>57</v>
      </c>
      <c r="U463">
        <f t="shared" si="82"/>
        <v>440.01010976071973</v>
      </c>
      <c r="V463">
        <f t="shared" si="85"/>
        <v>7</v>
      </c>
      <c r="W463">
        <v>4.75</v>
      </c>
      <c r="AB463">
        <v>10</v>
      </c>
      <c r="AC463" t="s">
        <v>168</v>
      </c>
      <c r="AD463">
        <v>44</v>
      </c>
      <c r="AE463">
        <f t="shared" si="83"/>
        <v>207.65481237683719</v>
      </c>
      <c r="AF463">
        <f t="shared" si="86"/>
        <v>4</v>
      </c>
      <c r="AG463" s="16">
        <v>2</v>
      </c>
      <c r="AH463">
        <v>10</v>
      </c>
      <c r="AI463" t="s">
        <v>307</v>
      </c>
      <c r="AJ463">
        <v>47</v>
      </c>
      <c r="AK463">
        <f t="shared" si="84"/>
        <v>246.94521361646048</v>
      </c>
      <c r="AL463">
        <f>ABS(AJ463-AJ462)</f>
        <v>4</v>
      </c>
      <c r="AW463" s="16">
        <v>2</v>
      </c>
    </row>
    <row r="464" spans="1:49" x14ac:dyDescent="0.2">
      <c r="A464">
        <f t="shared" si="78"/>
        <v>115</v>
      </c>
      <c r="E464">
        <f t="shared" si="79"/>
        <v>115</v>
      </c>
      <c r="I464">
        <f t="shared" si="80"/>
        <v>115</v>
      </c>
      <c r="M464">
        <f t="shared" si="81"/>
        <v>115</v>
      </c>
      <c r="R464">
        <v>6</v>
      </c>
      <c r="S464" t="s">
        <v>243</v>
      </c>
      <c r="T464">
        <v>57</v>
      </c>
      <c r="U464">
        <f t="shared" si="82"/>
        <v>440.01010976071973</v>
      </c>
      <c r="V464">
        <f t="shared" si="85"/>
        <v>0</v>
      </c>
      <c r="W464">
        <v>6</v>
      </c>
      <c r="AB464">
        <v>12</v>
      </c>
      <c r="AC464" t="s">
        <v>29</v>
      </c>
      <c r="AD464">
        <v>40</v>
      </c>
      <c r="AE464">
        <f t="shared" si="83"/>
        <v>164.8151702626221</v>
      </c>
      <c r="AF464">
        <f t="shared" si="86"/>
        <v>4</v>
      </c>
      <c r="AG464" s="16">
        <v>13</v>
      </c>
      <c r="AH464">
        <v>12</v>
      </c>
      <c r="AI464" t="s">
        <v>444</v>
      </c>
      <c r="AJ464">
        <v>43</v>
      </c>
      <c r="AK464">
        <f t="shared" si="84"/>
        <v>195.99987576438383</v>
      </c>
      <c r="AL464">
        <f>ABS(AJ464-AJ463)</f>
        <v>4</v>
      </c>
      <c r="AN464" t="s">
        <v>356</v>
      </c>
      <c r="AW464" s="16">
        <v>0</v>
      </c>
    </row>
    <row r="465" spans="1:49" x14ac:dyDescent="0.2">
      <c r="A465">
        <f t="shared" si="78"/>
        <v>115.25</v>
      </c>
      <c r="E465">
        <f t="shared" si="79"/>
        <v>115.25</v>
      </c>
      <c r="I465">
        <f t="shared" si="80"/>
        <v>115.25</v>
      </c>
      <c r="M465">
        <f t="shared" si="81"/>
        <v>115.25</v>
      </c>
      <c r="R465">
        <v>9</v>
      </c>
      <c r="S465" t="s">
        <v>481</v>
      </c>
      <c r="T465">
        <v>52</v>
      </c>
      <c r="U465">
        <f t="shared" si="82"/>
        <v>329.63372180082422</v>
      </c>
      <c r="V465">
        <f t="shared" si="85"/>
        <v>5</v>
      </c>
      <c r="W465">
        <v>9</v>
      </c>
      <c r="AB465">
        <v>14</v>
      </c>
      <c r="AC465" t="s">
        <v>35</v>
      </c>
      <c r="AD465">
        <v>38</v>
      </c>
      <c r="AE465">
        <f t="shared" si="83"/>
        <v>146.83337288738056</v>
      </c>
      <c r="AF465">
        <f t="shared" si="86"/>
        <v>2</v>
      </c>
      <c r="AG465" s="16">
        <v>1</v>
      </c>
      <c r="AH465">
        <v>14</v>
      </c>
      <c r="AI465" t="s">
        <v>318</v>
      </c>
      <c r="AJ465">
        <v>41</v>
      </c>
      <c r="AK465">
        <f t="shared" si="84"/>
        <v>174.61573954711864</v>
      </c>
      <c r="AL465">
        <f>ABS(AJ465-AJ464)</f>
        <v>2</v>
      </c>
      <c r="AN465">
        <f>AN462/(83)</f>
        <v>4.6385542168674698</v>
      </c>
      <c r="AW465" s="16">
        <v>2</v>
      </c>
    </row>
    <row r="466" spans="1:49" x14ac:dyDescent="0.2">
      <c r="A466">
        <f t="shared" si="78"/>
        <v>115.5</v>
      </c>
      <c r="B466" t="s">
        <v>46</v>
      </c>
      <c r="C466">
        <v>45</v>
      </c>
      <c r="D466">
        <f>16.35117682*1.059464^C466</f>
        <v>220.00279814001337</v>
      </c>
      <c r="E466">
        <f t="shared" si="79"/>
        <v>115.5</v>
      </c>
      <c r="I466">
        <f t="shared" si="80"/>
        <v>115.5</v>
      </c>
      <c r="J466" t="s">
        <v>67</v>
      </c>
      <c r="K466">
        <v>33</v>
      </c>
      <c r="L466">
        <f>16.35117682*1.059464^K466</f>
        <v>110.00027071140791</v>
      </c>
      <c r="M466">
        <f t="shared" si="81"/>
        <v>115.5</v>
      </c>
      <c r="R466">
        <v>10.75</v>
      </c>
      <c r="S466" t="s">
        <v>481</v>
      </c>
      <c r="T466">
        <v>52</v>
      </c>
      <c r="U466">
        <f t="shared" si="82"/>
        <v>329.63372180082422</v>
      </c>
      <c r="V466">
        <f t="shared" si="85"/>
        <v>0</v>
      </c>
      <c r="W466">
        <v>10.75</v>
      </c>
      <c r="AB466">
        <v>16</v>
      </c>
      <c r="AC466" t="s">
        <v>27</v>
      </c>
      <c r="AD466">
        <v>36</v>
      </c>
      <c r="AE466">
        <f t="shared" si="83"/>
        <v>130.81344004395982</v>
      </c>
      <c r="AF466">
        <f t="shared" si="86"/>
        <v>2</v>
      </c>
      <c r="AG466" s="16">
        <v>3</v>
      </c>
      <c r="AH466">
        <v>16</v>
      </c>
      <c r="AW466" s="16">
        <v>13</v>
      </c>
    </row>
    <row r="467" spans="1:49" x14ac:dyDescent="0.2">
      <c r="A467">
        <f t="shared" si="78"/>
        <v>115.75</v>
      </c>
      <c r="E467">
        <f t="shared" si="79"/>
        <v>115.75</v>
      </c>
      <c r="I467">
        <f t="shared" si="80"/>
        <v>115.75</v>
      </c>
      <c r="M467">
        <f t="shared" si="81"/>
        <v>115.75</v>
      </c>
      <c r="R467">
        <v>12.75</v>
      </c>
      <c r="S467" t="s">
        <v>479</v>
      </c>
      <c r="T467">
        <v>48</v>
      </c>
      <c r="U467">
        <f t="shared" si="82"/>
        <v>261.62956379894968</v>
      </c>
      <c r="V467">
        <f t="shared" si="85"/>
        <v>4</v>
      </c>
      <c r="W467">
        <v>12.75</v>
      </c>
      <c r="AB467">
        <v>18</v>
      </c>
      <c r="AC467" t="s">
        <v>414</v>
      </c>
      <c r="AD467">
        <v>33</v>
      </c>
      <c r="AE467">
        <f t="shared" si="83"/>
        <v>110.00027071140791</v>
      </c>
      <c r="AF467">
        <f t="shared" si="86"/>
        <v>3</v>
      </c>
      <c r="AG467" s="16">
        <v>4</v>
      </c>
      <c r="AH467">
        <v>18</v>
      </c>
      <c r="AW467" s="16">
        <v>1</v>
      </c>
    </row>
    <row r="468" spans="1:49" x14ac:dyDescent="0.2">
      <c r="A468">
        <f t="shared" si="78"/>
        <v>116</v>
      </c>
      <c r="B468" t="s">
        <v>292</v>
      </c>
      <c r="C468">
        <v>46</v>
      </c>
      <c r="D468">
        <f>16.35117682*1.059464^C468</f>
        <v>233.08504452861115</v>
      </c>
      <c r="E468">
        <f t="shared" si="79"/>
        <v>116</v>
      </c>
      <c r="I468">
        <f t="shared" si="80"/>
        <v>116</v>
      </c>
      <c r="J468" t="s">
        <v>68</v>
      </c>
      <c r="K468">
        <v>34</v>
      </c>
      <c r="L468">
        <f>16.35117682*1.059464^K468</f>
        <v>116.54132680899107</v>
      </c>
      <c r="M468">
        <f t="shared" si="81"/>
        <v>116</v>
      </c>
      <c r="R468">
        <v>14</v>
      </c>
      <c r="S468" t="s">
        <v>44</v>
      </c>
      <c r="T468">
        <v>43</v>
      </c>
      <c r="U468">
        <f t="shared" si="82"/>
        <v>195.99987576438383</v>
      </c>
      <c r="V468">
        <f t="shared" si="85"/>
        <v>5</v>
      </c>
      <c r="W468">
        <v>14</v>
      </c>
      <c r="AB468">
        <v>20</v>
      </c>
      <c r="AC468" t="s">
        <v>388</v>
      </c>
      <c r="AD468">
        <v>29</v>
      </c>
      <c r="AE468">
        <f t="shared" si="83"/>
        <v>87.306974197808145</v>
      </c>
      <c r="AF468">
        <f t="shared" si="86"/>
        <v>4</v>
      </c>
      <c r="AG468" s="16">
        <v>3</v>
      </c>
      <c r="AH468">
        <v>20</v>
      </c>
      <c r="AN468" t="s">
        <v>402</v>
      </c>
      <c r="AW468" s="16">
        <v>3</v>
      </c>
    </row>
    <row r="469" spans="1:49" x14ac:dyDescent="0.2">
      <c r="A469">
        <f t="shared" si="78"/>
        <v>116.25</v>
      </c>
      <c r="E469">
        <f t="shared" si="79"/>
        <v>116.25</v>
      </c>
      <c r="I469">
        <f t="shared" si="80"/>
        <v>116.25</v>
      </c>
      <c r="M469">
        <f t="shared" si="81"/>
        <v>116.25</v>
      </c>
      <c r="R469">
        <v>17</v>
      </c>
      <c r="S469" t="s">
        <v>44</v>
      </c>
      <c r="T469">
        <v>43</v>
      </c>
      <c r="U469">
        <f t="shared" si="82"/>
        <v>195.99987576438383</v>
      </c>
      <c r="V469">
        <f t="shared" si="85"/>
        <v>0</v>
      </c>
      <c r="W469">
        <v>17</v>
      </c>
      <c r="AB469">
        <v>22</v>
      </c>
      <c r="AC469" t="s">
        <v>413</v>
      </c>
      <c r="AD469">
        <v>26</v>
      </c>
      <c r="AE469">
        <f t="shared" si="83"/>
        <v>73.415933359182759</v>
      </c>
      <c r="AF469">
        <f t="shared" si="86"/>
        <v>3</v>
      </c>
      <c r="AG469" s="16">
        <v>2</v>
      </c>
      <c r="AH469">
        <v>22</v>
      </c>
      <c r="AW469" s="16">
        <v>4</v>
      </c>
    </row>
    <row r="470" spans="1:49" x14ac:dyDescent="0.2">
      <c r="A470">
        <f t="shared" si="78"/>
        <v>116.5</v>
      </c>
      <c r="B470" t="s">
        <v>480</v>
      </c>
      <c r="C470">
        <v>50</v>
      </c>
      <c r="D470">
        <f>16.35117682*1.059464^C470</f>
        <v>293.66975814369101</v>
      </c>
      <c r="E470">
        <f t="shared" si="79"/>
        <v>116.5</v>
      </c>
      <c r="I470">
        <f t="shared" si="80"/>
        <v>116.5</v>
      </c>
      <c r="J470" t="s">
        <v>69</v>
      </c>
      <c r="K470">
        <v>38</v>
      </c>
      <c r="L470">
        <f>16.35117682*1.059464^K470</f>
        <v>146.83337288738056</v>
      </c>
      <c r="M470">
        <f t="shared" si="81"/>
        <v>116.5</v>
      </c>
      <c r="R470">
        <v>18.75</v>
      </c>
      <c r="S470" t="s">
        <v>27</v>
      </c>
      <c r="T470">
        <v>36</v>
      </c>
      <c r="U470">
        <f t="shared" si="82"/>
        <v>130.81344004395982</v>
      </c>
      <c r="V470">
        <f t="shared" si="85"/>
        <v>7</v>
      </c>
      <c r="W470">
        <v>18.75</v>
      </c>
      <c r="AB470">
        <v>24</v>
      </c>
      <c r="AC470" t="s">
        <v>45</v>
      </c>
      <c r="AD470">
        <v>31</v>
      </c>
      <c r="AE470">
        <f t="shared" si="83"/>
        <v>97.998932630681253</v>
      </c>
      <c r="AF470">
        <f t="shared" si="86"/>
        <v>5</v>
      </c>
      <c r="AG470" s="16">
        <v>2</v>
      </c>
      <c r="AH470">
        <v>24</v>
      </c>
      <c r="AN470" t="s">
        <v>235</v>
      </c>
      <c r="AO470" t="s">
        <v>396</v>
      </c>
      <c r="AW470" s="16">
        <v>3</v>
      </c>
    </row>
    <row r="471" spans="1:49" x14ac:dyDescent="0.2">
      <c r="A471">
        <f t="shared" si="78"/>
        <v>116.75</v>
      </c>
      <c r="E471">
        <f t="shared" si="79"/>
        <v>116.75</v>
      </c>
      <c r="I471">
        <f t="shared" si="80"/>
        <v>116.75</v>
      </c>
      <c r="M471">
        <f t="shared" si="81"/>
        <v>116.75</v>
      </c>
      <c r="R471">
        <v>20.25</v>
      </c>
      <c r="S471" t="s">
        <v>27</v>
      </c>
      <c r="T471">
        <v>36</v>
      </c>
      <c r="U471">
        <f t="shared" si="82"/>
        <v>130.81344004395982</v>
      </c>
      <c r="V471">
        <f t="shared" si="85"/>
        <v>0</v>
      </c>
      <c r="W471">
        <v>20.25</v>
      </c>
      <c r="AB471">
        <v>26.25</v>
      </c>
      <c r="AC471" t="s">
        <v>46</v>
      </c>
      <c r="AD471">
        <v>45</v>
      </c>
      <c r="AE471">
        <f t="shared" si="83"/>
        <v>220.00279814001337</v>
      </c>
      <c r="AF471">
        <f t="shared" si="86"/>
        <v>14</v>
      </c>
      <c r="AG471" s="16">
        <v>9</v>
      </c>
      <c r="AH471">
        <v>26.25</v>
      </c>
      <c r="AN471">
        <f>SUM(V461:V534,AA478:AA479,AA482:AA483,AA485,AA506,AA508,AA514:AA515)</f>
        <v>405</v>
      </c>
      <c r="AO471">
        <f>(534-459)+9</f>
        <v>84</v>
      </c>
      <c r="AW471" s="16">
        <v>2</v>
      </c>
    </row>
    <row r="472" spans="1:49" x14ac:dyDescent="0.2">
      <c r="A472">
        <f t="shared" si="78"/>
        <v>117</v>
      </c>
      <c r="B472" t="s">
        <v>482</v>
      </c>
      <c r="C472">
        <v>53</v>
      </c>
      <c r="D472">
        <f>16.35117682*1.059464^C472</f>
        <v>349.23506143398839</v>
      </c>
      <c r="E472">
        <f t="shared" si="79"/>
        <v>117</v>
      </c>
      <c r="I472">
        <f t="shared" si="80"/>
        <v>117</v>
      </c>
      <c r="J472" t="s">
        <v>330</v>
      </c>
      <c r="K472">
        <v>41</v>
      </c>
      <c r="L472">
        <f>16.35117682*1.059464^K472</f>
        <v>174.61573954711864</v>
      </c>
      <c r="M472">
        <f t="shared" si="81"/>
        <v>117</v>
      </c>
      <c r="R472">
        <v>21.75</v>
      </c>
      <c r="S472" t="s">
        <v>27</v>
      </c>
      <c r="T472">
        <v>36</v>
      </c>
      <c r="U472">
        <f t="shared" si="82"/>
        <v>130.81344004395982</v>
      </c>
      <c r="V472">
        <f t="shared" si="85"/>
        <v>0</v>
      </c>
      <c r="W472">
        <v>21.75</v>
      </c>
      <c r="AB472">
        <v>28.75</v>
      </c>
      <c r="AC472" t="s">
        <v>242</v>
      </c>
      <c r="AD472">
        <v>62</v>
      </c>
      <c r="AE472">
        <f t="shared" si="83"/>
        <v>587.34554108704231</v>
      </c>
      <c r="AF472">
        <f t="shared" si="86"/>
        <v>17</v>
      </c>
      <c r="AG472" s="16">
        <v>11</v>
      </c>
      <c r="AH472">
        <v>28.75</v>
      </c>
      <c r="AW472" s="16">
        <v>2</v>
      </c>
    </row>
    <row r="473" spans="1:49" x14ac:dyDescent="0.2">
      <c r="A473">
        <f t="shared" si="78"/>
        <v>117.25</v>
      </c>
      <c r="E473">
        <f t="shared" si="79"/>
        <v>117.25</v>
      </c>
      <c r="I473">
        <f t="shared" si="80"/>
        <v>117.25</v>
      </c>
      <c r="M473">
        <f t="shared" si="81"/>
        <v>117.25</v>
      </c>
      <c r="R473">
        <v>27</v>
      </c>
      <c r="S473" t="s">
        <v>480</v>
      </c>
      <c r="T473">
        <v>50</v>
      </c>
      <c r="U473">
        <f t="shared" si="82"/>
        <v>293.66975814369101</v>
      </c>
      <c r="V473">
        <f t="shared" si="85"/>
        <v>14</v>
      </c>
      <c r="W473">
        <v>27</v>
      </c>
      <c r="AB473">
        <v>33.5</v>
      </c>
      <c r="AC473" t="s">
        <v>480</v>
      </c>
      <c r="AD473">
        <v>50</v>
      </c>
      <c r="AE473">
        <f t="shared" si="83"/>
        <v>293.66975814369101</v>
      </c>
      <c r="AF473">
        <f t="shared" si="86"/>
        <v>12</v>
      </c>
      <c r="AG473" s="16">
        <v>3</v>
      </c>
      <c r="AH473">
        <v>33.5</v>
      </c>
      <c r="AN473" t="s">
        <v>236</v>
      </c>
      <c r="AW473" s="16">
        <v>9</v>
      </c>
    </row>
    <row r="474" spans="1:49" x14ac:dyDescent="0.2">
      <c r="A474">
        <f t="shared" si="78"/>
        <v>117.5</v>
      </c>
      <c r="B474" t="s">
        <v>239</v>
      </c>
      <c r="C474">
        <v>55</v>
      </c>
      <c r="D474">
        <f>16.35117682*1.059464^C474</f>
        <v>392.00377257605692</v>
      </c>
      <c r="E474">
        <f t="shared" si="79"/>
        <v>117.5</v>
      </c>
      <c r="I474">
        <f t="shared" si="80"/>
        <v>117.5</v>
      </c>
      <c r="J474" t="s">
        <v>328</v>
      </c>
      <c r="K474">
        <v>43</v>
      </c>
      <c r="L474">
        <f>16.35117682*1.059464^K474</f>
        <v>195.99987576438383</v>
      </c>
      <c r="M474">
        <f t="shared" si="81"/>
        <v>117.5</v>
      </c>
      <c r="R474">
        <v>29.5</v>
      </c>
      <c r="S474" t="s">
        <v>245</v>
      </c>
      <c r="T474">
        <v>67</v>
      </c>
      <c r="U474">
        <f t="shared" si="82"/>
        <v>784.01558732918636</v>
      </c>
      <c r="V474">
        <f t="shared" si="85"/>
        <v>17</v>
      </c>
      <c r="W474">
        <v>29.5</v>
      </c>
      <c r="AB474">
        <v>43.5</v>
      </c>
      <c r="AC474" t="s">
        <v>487</v>
      </c>
      <c r="AD474">
        <v>45</v>
      </c>
      <c r="AE474">
        <f t="shared" si="83"/>
        <v>220.00279814001337</v>
      </c>
      <c r="AF474">
        <f t="shared" si="86"/>
        <v>5</v>
      </c>
      <c r="AH474">
        <v>43.5</v>
      </c>
      <c r="AN474">
        <f>AN471/(83)</f>
        <v>4.8795180722891569</v>
      </c>
      <c r="AW474" s="16">
        <v>11</v>
      </c>
    </row>
    <row r="475" spans="1:49" x14ac:dyDescent="0.2">
      <c r="A475">
        <f t="shared" si="78"/>
        <v>117.75</v>
      </c>
      <c r="E475">
        <f t="shared" si="79"/>
        <v>117.75</v>
      </c>
      <c r="I475">
        <f t="shared" si="80"/>
        <v>117.75</v>
      </c>
      <c r="M475">
        <f t="shared" si="81"/>
        <v>117.75</v>
      </c>
      <c r="R475">
        <v>34</v>
      </c>
      <c r="S475" t="s">
        <v>411</v>
      </c>
      <c r="T475">
        <v>58</v>
      </c>
      <c r="U475">
        <f t="shared" si="82"/>
        <v>466.17487092753117</v>
      </c>
      <c r="V475">
        <f t="shared" si="85"/>
        <v>9</v>
      </c>
      <c r="W475">
        <v>34</v>
      </c>
      <c r="AB475">
        <v>47</v>
      </c>
      <c r="AC475" t="s">
        <v>28</v>
      </c>
      <c r="AD475">
        <v>38</v>
      </c>
      <c r="AE475">
        <f t="shared" si="83"/>
        <v>146.83337288738056</v>
      </c>
      <c r="AF475">
        <f t="shared" si="86"/>
        <v>7</v>
      </c>
      <c r="AH475">
        <v>47</v>
      </c>
      <c r="AW475" s="16">
        <v>3</v>
      </c>
    </row>
    <row r="476" spans="1:49" x14ac:dyDescent="0.2">
      <c r="A476">
        <f t="shared" si="78"/>
        <v>118</v>
      </c>
      <c r="B476" t="s">
        <v>411</v>
      </c>
      <c r="C476">
        <v>58</v>
      </c>
      <c r="D476">
        <f>16.35117682*1.059464^C476</f>
        <v>466.17487092753117</v>
      </c>
      <c r="E476">
        <f t="shared" si="79"/>
        <v>118</v>
      </c>
      <c r="I476">
        <f t="shared" si="80"/>
        <v>118</v>
      </c>
      <c r="J476" t="s">
        <v>325</v>
      </c>
      <c r="K476">
        <v>46</v>
      </c>
      <c r="L476">
        <f>16.35117682*1.059464^K476</f>
        <v>233.08504452861115</v>
      </c>
      <c r="M476">
        <f t="shared" si="81"/>
        <v>118</v>
      </c>
      <c r="R476">
        <v>41.5</v>
      </c>
      <c r="S476" s="1" t="s">
        <v>244</v>
      </c>
      <c r="T476">
        <v>59</v>
      </c>
      <c r="U476">
        <f t="shared" si="82"/>
        <v>493.89549345236594</v>
      </c>
      <c r="V476">
        <f t="shared" si="85"/>
        <v>1</v>
      </c>
      <c r="W476">
        <v>41.5</v>
      </c>
      <c r="AB476">
        <v>50</v>
      </c>
      <c r="AC476" t="s">
        <v>81</v>
      </c>
      <c r="AD476">
        <v>34</v>
      </c>
      <c r="AE476">
        <f t="shared" si="83"/>
        <v>116.54132680899107</v>
      </c>
      <c r="AF476">
        <f t="shared" si="86"/>
        <v>4</v>
      </c>
      <c r="AH476">
        <v>50</v>
      </c>
    </row>
    <row r="477" spans="1:49" x14ac:dyDescent="0.2">
      <c r="A477">
        <f t="shared" si="78"/>
        <v>118.25</v>
      </c>
      <c r="E477">
        <f t="shared" si="79"/>
        <v>118.25</v>
      </c>
      <c r="I477">
        <f t="shared" si="80"/>
        <v>118.25</v>
      </c>
      <c r="M477">
        <f t="shared" si="81"/>
        <v>118.25</v>
      </c>
      <c r="R477">
        <v>44</v>
      </c>
      <c r="S477" t="s">
        <v>482</v>
      </c>
      <c r="T477">
        <v>53</v>
      </c>
      <c r="U477">
        <f t="shared" si="82"/>
        <v>349.23506143398839</v>
      </c>
      <c r="V477">
        <f t="shared" si="85"/>
        <v>6</v>
      </c>
      <c r="W477">
        <v>44</v>
      </c>
      <c r="AB477">
        <v>52</v>
      </c>
      <c r="AC477" t="s">
        <v>325</v>
      </c>
      <c r="AD477">
        <v>46</v>
      </c>
      <c r="AE477">
        <f t="shared" si="83"/>
        <v>233.08504452861115</v>
      </c>
      <c r="AF477">
        <f t="shared" si="86"/>
        <v>12</v>
      </c>
      <c r="AH477">
        <v>52</v>
      </c>
    </row>
    <row r="478" spans="1:49" x14ac:dyDescent="0.2">
      <c r="A478">
        <f t="shared" si="78"/>
        <v>118.5</v>
      </c>
      <c r="B478" t="s">
        <v>455</v>
      </c>
      <c r="C478">
        <v>62</v>
      </c>
      <c r="D478">
        <f>16.35117682*1.059464^C478</f>
        <v>587.34554108704231</v>
      </c>
      <c r="E478">
        <f t="shared" si="79"/>
        <v>118.5</v>
      </c>
      <c r="I478">
        <f t="shared" si="80"/>
        <v>118.5</v>
      </c>
      <c r="J478" t="s">
        <v>70</v>
      </c>
      <c r="K478">
        <v>50</v>
      </c>
      <c r="L478">
        <f>16.35117682*1.059464^K478</f>
        <v>293.66975814369101</v>
      </c>
      <c r="M478">
        <f t="shared" si="81"/>
        <v>118.5</v>
      </c>
      <c r="R478">
        <v>46.5</v>
      </c>
      <c r="S478" t="s">
        <v>239</v>
      </c>
      <c r="T478">
        <v>55</v>
      </c>
      <c r="U478">
        <f t="shared" si="82"/>
        <v>392.00377257605692</v>
      </c>
      <c r="V478">
        <f t="shared" si="85"/>
        <v>2</v>
      </c>
      <c r="W478">
        <v>46.5</v>
      </c>
      <c r="X478" t="s">
        <v>47</v>
      </c>
      <c r="Y478">
        <v>47</v>
      </c>
      <c r="Z478">
        <f>16.35117682*1.059464^Y478</f>
        <v>246.94521361646048</v>
      </c>
      <c r="AA478">
        <f>ABS(Y478-T477)</f>
        <v>6</v>
      </c>
      <c r="AB478">
        <v>54</v>
      </c>
      <c r="AC478" t="s">
        <v>325</v>
      </c>
      <c r="AD478">
        <v>46</v>
      </c>
      <c r="AE478">
        <f t="shared" si="83"/>
        <v>233.08504452861115</v>
      </c>
      <c r="AF478">
        <f t="shared" si="86"/>
        <v>0</v>
      </c>
      <c r="AH478">
        <v>54</v>
      </c>
    </row>
    <row r="479" spans="1:49" x14ac:dyDescent="0.2">
      <c r="A479">
        <f t="shared" si="78"/>
        <v>118.75</v>
      </c>
      <c r="E479">
        <f t="shared" si="79"/>
        <v>118.75</v>
      </c>
      <c r="I479">
        <f t="shared" si="80"/>
        <v>118.75</v>
      </c>
      <c r="M479">
        <f t="shared" si="81"/>
        <v>118.75</v>
      </c>
      <c r="R479">
        <v>48.5</v>
      </c>
      <c r="S479" t="s">
        <v>481</v>
      </c>
      <c r="T479">
        <v>52</v>
      </c>
      <c r="U479">
        <f t="shared" si="82"/>
        <v>329.63372180082422</v>
      </c>
      <c r="V479">
        <f t="shared" si="85"/>
        <v>3</v>
      </c>
      <c r="W479">
        <v>48.5</v>
      </c>
      <c r="X479" t="s">
        <v>239</v>
      </c>
      <c r="Y479">
        <v>55</v>
      </c>
      <c r="Z479">
        <f>16.35117682*1.059464^Y479</f>
        <v>392.00377257605692</v>
      </c>
      <c r="AA479">
        <f>ABS(Y479-T478)</f>
        <v>0</v>
      </c>
      <c r="AB479">
        <v>61.5</v>
      </c>
      <c r="AC479" t="s">
        <v>82</v>
      </c>
      <c r="AD479">
        <v>38</v>
      </c>
      <c r="AE479">
        <f t="shared" si="83"/>
        <v>146.83337288738056</v>
      </c>
      <c r="AF479">
        <f t="shared" si="86"/>
        <v>8</v>
      </c>
      <c r="AH479">
        <v>61.5</v>
      </c>
    </row>
    <row r="480" spans="1:49" x14ac:dyDescent="0.2">
      <c r="A480">
        <f t="shared" si="78"/>
        <v>119</v>
      </c>
      <c r="B480" t="s">
        <v>456</v>
      </c>
      <c r="C480">
        <v>65</v>
      </c>
      <c r="D480">
        <f>16.35117682*1.059464^C480</f>
        <v>698.47728762097279</v>
      </c>
      <c r="E480">
        <f t="shared" si="79"/>
        <v>119</v>
      </c>
      <c r="I480">
        <f t="shared" si="80"/>
        <v>119</v>
      </c>
      <c r="J480" t="s">
        <v>390</v>
      </c>
      <c r="K480">
        <v>53</v>
      </c>
      <c r="L480">
        <f>16.35117682*1.059464^K480</f>
        <v>349.23506143398839</v>
      </c>
      <c r="M480">
        <f t="shared" si="81"/>
        <v>119</v>
      </c>
      <c r="R480">
        <v>51</v>
      </c>
      <c r="S480" t="s">
        <v>482</v>
      </c>
      <c r="T480">
        <v>53</v>
      </c>
      <c r="U480">
        <f t="shared" si="82"/>
        <v>349.23506143398839</v>
      </c>
      <c r="V480">
        <f t="shared" si="85"/>
        <v>1</v>
      </c>
      <c r="W480">
        <v>51</v>
      </c>
      <c r="AB480">
        <v>64</v>
      </c>
      <c r="AC480" t="s">
        <v>488</v>
      </c>
      <c r="AD480">
        <v>36</v>
      </c>
      <c r="AE480">
        <f t="shared" si="83"/>
        <v>130.81344004395982</v>
      </c>
      <c r="AF480">
        <f t="shared" si="86"/>
        <v>2</v>
      </c>
      <c r="AH480">
        <v>64</v>
      </c>
    </row>
    <row r="481" spans="1:38" x14ac:dyDescent="0.2">
      <c r="A481">
        <f t="shared" si="78"/>
        <v>119.25</v>
      </c>
      <c r="E481">
        <f t="shared" si="79"/>
        <v>119.25</v>
      </c>
      <c r="I481">
        <f t="shared" si="80"/>
        <v>119.25</v>
      </c>
      <c r="M481">
        <f t="shared" si="81"/>
        <v>119.25</v>
      </c>
      <c r="R481">
        <v>53</v>
      </c>
      <c r="S481" t="s">
        <v>456</v>
      </c>
      <c r="T481">
        <v>65</v>
      </c>
      <c r="U481">
        <f t="shared" si="82"/>
        <v>698.47728762097279</v>
      </c>
      <c r="V481">
        <f t="shared" si="85"/>
        <v>12</v>
      </c>
      <c r="W481">
        <v>53</v>
      </c>
      <c r="AB481">
        <v>67</v>
      </c>
      <c r="AC481" t="s">
        <v>318</v>
      </c>
      <c r="AD481">
        <v>41</v>
      </c>
      <c r="AE481">
        <f t="shared" si="83"/>
        <v>174.61573954711864</v>
      </c>
      <c r="AF481">
        <f t="shared" si="86"/>
        <v>5</v>
      </c>
      <c r="AH481">
        <v>67</v>
      </c>
    </row>
    <row r="482" spans="1:38" x14ac:dyDescent="0.2">
      <c r="A482">
        <f t="shared" si="78"/>
        <v>119.5</v>
      </c>
      <c r="B482" t="s">
        <v>455</v>
      </c>
      <c r="C482">
        <v>62</v>
      </c>
      <c r="D482">
        <f>16.35117682*1.059464^C482</f>
        <v>587.34554108704231</v>
      </c>
      <c r="E482">
        <f t="shared" si="79"/>
        <v>119.5</v>
      </c>
      <c r="I482">
        <f t="shared" si="80"/>
        <v>119.5</v>
      </c>
      <c r="J482" t="s">
        <v>70</v>
      </c>
      <c r="K482">
        <v>50</v>
      </c>
      <c r="L482">
        <f>16.35117682*1.059464^K482</f>
        <v>293.66975814369101</v>
      </c>
      <c r="M482">
        <f t="shared" si="81"/>
        <v>119.5</v>
      </c>
      <c r="R482">
        <v>55.5</v>
      </c>
      <c r="S482" t="s">
        <v>162</v>
      </c>
      <c r="T482">
        <v>54</v>
      </c>
      <c r="U482">
        <f t="shared" si="82"/>
        <v>370.00197512709912</v>
      </c>
      <c r="V482">
        <f t="shared" si="85"/>
        <v>11</v>
      </c>
      <c r="W482">
        <v>55.5</v>
      </c>
      <c r="X482" t="s">
        <v>163</v>
      </c>
      <c r="Y482">
        <v>49</v>
      </c>
      <c r="Z482">
        <f>16.35117682*1.059464^Y482</f>
        <v>277.18710418069043</v>
      </c>
      <c r="AA482">
        <f>ABS(Y482-T481)</f>
        <v>16</v>
      </c>
      <c r="AB482">
        <v>69</v>
      </c>
      <c r="AC482" t="s">
        <v>308</v>
      </c>
      <c r="AD482">
        <v>53</v>
      </c>
      <c r="AE482">
        <f t="shared" si="83"/>
        <v>349.23506143398839</v>
      </c>
      <c r="AF482">
        <f t="shared" si="86"/>
        <v>12</v>
      </c>
      <c r="AH482">
        <v>69</v>
      </c>
    </row>
    <row r="483" spans="1:38" x14ac:dyDescent="0.2">
      <c r="A483">
        <f t="shared" si="78"/>
        <v>119.75</v>
      </c>
      <c r="E483">
        <f t="shared" si="79"/>
        <v>119.75</v>
      </c>
      <c r="I483">
        <f t="shared" si="80"/>
        <v>119.75</v>
      </c>
      <c r="M483">
        <f t="shared" si="81"/>
        <v>119.75</v>
      </c>
      <c r="R483">
        <v>58.5</v>
      </c>
      <c r="S483" t="s">
        <v>411</v>
      </c>
      <c r="T483">
        <v>58</v>
      </c>
      <c r="U483">
        <f t="shared" si="82"/>
        <v>466.17487092753117</v>
      </c>
      <c r="V483">
        <f t="shared" si="85"/>
        <v>4</v>
      </c>
      <c r="W483">
        <v>58.5</v>
      </c>
      <c r="X483" t="s">
        <v>481</v>
      </c>
      <c r="Y483">
        <v>52</v>
      </c>
      <c r="Z483">
        <f>16.35117682*1.059464^Y483</f>
        <v>329.63372180082422</v>
      </c>
      <c r="AA483">
        <f>ABS(Y483-T482)</f>
        <v>2</v>
      </c>
      <c r="AB483">
        <v>71</v>
      </c>
      <c r="AC483" t="s">
        <v>308</v>
      </c>
      <c r="AD483">
        <v>53</v>
      </c>
      <c r="AE483">
        <f t="shared" si="83"/>
        <v>349.23506143398839</v>
      </c>
      <c r="AF483">
        <f t="shared" si="86"/>
        <v>0</v>
      </c>
      <c r="AH483">
        <v>71</v>
      </c>
    </row>
    <row r="484" spans="1:38" x14ac:dyDescent="0.2">
      <c r="A484">
        <f t="shared" si="78"/>
        <v>120</v>
      </c>
      <c r="B484" t="s">
        <v>411</v>
      </c>
      <c r="C484">
        <v>58</v>
      </c>
      <c r="D484">
        <f>16.35117682*1.059464^C484</f>
        <v>466.17487092753117</v>
      </c>
      <c r="E484">
        <f t="shared" si="79"/>
        <v>120</v>
      </c>
      <c r="I484">
        <f t="shared" si="80"/>
        <v>120</v>
      </c>
      <c r="J484" t="s">
        <v>325</v>
      </c>
      <c r="K484">
        <v>46</v>
      </c>
      <c r="L484">
        <f>16.35117682*1.059464^K484</f>
        <v>233.08504452861115</v>
      </c>
      <c r="M484">
        <f t="shared" si="81"/>
        <v>120</v>
      </c>
      <c r="R484">
        <v>61.5</v>
      </c>
      <c r="S484" t="s">
        <v>480</v>
      </c>
      <c r="T484">
        <v>50</v>
      </c>
      <c r="U484">
        <f t="shared" si="82"/>
        <v>293.66975814369101</v>
      </c>
      <c r="V484">
        <f t="shared" si="85"/>
        <v>8</v>
      </c>
      <c r="W484">
        <v>61.5</v>
      </c>
      <c r="AB484">
        <v>73</v>
      </c>
      <c r="AC484" t="s">
        <v>390</v>
      </c>
      <c r="AD484">
        <v>53</v>
      </c>
      <c r="AE484">
        <f t="shared" si="83"/>
        <v>349.23506143398839</v>
      </c>
      <c r="AF484">
        <f t="shared" si="86"/>
        <v>0</v>
      </c>
      <c r="AH484">
        <v>73</v>
      </c>
    </row>
    <row r="485" spans="1:38" x14ac:dyDescent="0.2">
      <c r="A485">
        <f t="shared" si="78"/>
        <v>120.25</v>
      </c>
      <c r="E485">
        <f t="shared" si="79"/>
        <v>120.25</v>
      </c>
      <c r="I485">
        <f t="shared" si="80"/>
        <v>120.25</v>
      </c>
      <c r="M485">
        <f t="shared" si="81"/>
        <v>120.25</v>
      </c>
      <c r="R485">
        <v>63.5</v>
      </c>
      <c r="S485" t="s">
        <v>239</v>
      </c>
      <c r="T485">
        <v>54</v>
      </c>
      <c r="U485">
        <f t="shared" si="82"/>
        <v>370.00197512709912</v>
      </c>
      <c r="V485">
        <f t="shared" si="85"/>
        <v>4</v>
      </c>
      <c r="W485">
        <v>63.5</v>
      </c>
      <c r="X485" t="s">
        <v>482</v>
      </c>
      <c r="Y485">
        <v>53</v>
      </c>
      <c r="Z485">
        <f>16.35117682*1.059464^Y485</f>
        <v>349.23506143398839</v>
      </c>
      <c r="AA485">
        <f>ABS(Y485-T484)</f>
        <v>3</v>
      </c>
      <c r="AB485">
        <v>75</v>
      </c>
      <c r="AC485" t="s">
        <v>18</v>
      </c>
      <c r="AD485">
        <v>54</v>
      </c>
      <c r="AE485">
        <f t="shared" si="83"/>
        <v>370.00197512709912</v>
      </c>
      <c r="AF485">
        <f t="shared" si="86"/>
        <v>1</v>
      </c>
      <c r="AH485">
        <v>75</v>
      </c>
    </row>
    <row r="486" spans="1:38" x14ac:dyDescent="0.2">
      <c r="A486">
        <f t="shared" si="78"/>
        <v>120.5</v>
      </c>
      <c r="B486" t="s">
        <v>162</v>
      </c>
      <c r="C486">
        <v>54</v>
      </c>
      <c r="D486">
        <f>16.35117682*1.059464^C486</f>
        <v>370.00197512709912</v>
      </c>
      <c r="E486">
        <f t="shared" si="79"/>
        <v>120.5</v>
      </c>
      <c r="F486" t="s">
        <v>163</v>
      </c>
      <c r="G486">
        <v>49</v>
      </c>
      <c r="H486">
        <f>16.35117682*1.059464^G486</f>
        <v>277.18710418069043</v>
      </c>
      <c r="I486">
        <f t="shared" si="80"/>
        <v>120.5</v>
      </c>
      <c r="M486">
        <f t="shared" si="81"/>
        <v>120.5</v>
      </c>
      <c r="R486">
        <v>66</v>
      </c>
      <c r="S486" t="s">
        <v>292</v>
      </c>
      <c r="T486">
        <v>46</v>
      </c>
      <c r="U486">
        <f t="shared" si="82"/>
        <v>233.08504452861115</v>
      </c>
      <c r="V486">
        <f t="shared" si="85"/>
        <v>8</v>
      </c>
      <c r="W486">
        <v>66</v>
      </c>
      <c r="AB486">
        <v>78</v>
      </c>
      <c r="AC486" t="s">
        <v>22</v>
      </c>
      <c r="AD486">
        <v>57</v>
      </c>
      <c r="AE486">
        <f t="shared" si="83"/>
        <v>440.01010976071973</v>
      </c>
      <c r="AF486">
        <f t="shared" si="86"/>
        <v>3</v>
      </c>
      <c r="AH486">
        <v>78</v>
      </c>
    </row>
    <row r="487" spans="1:38" x14ac:dyDescent="0.2">
      <c r="A487">
        <f t="shared" si="78"/>
        <v>120.75</v>
      </c>
      <c r="E487">
        <f t="shared" si="79"/>
        <v>120.75</v>
      </c>
      <c r="I487">
        <f t="shared" si="80"/>
        <v>120.75</v>
      </c>
      <c r="M487">
        <f t="shared" si="81"/>
        <v>120.75</v>
      </c>
      <c r="R487">
        <v>68</v>
      </c>
      <c r="S487" t="s">
        <v>411</v>
      </c>
      <c r="T487">
        <v>58</v>
      </c>
      <c r="U487">
        <f t="shared" si="82"/>
        <v>466.17487092753117</v>
      </c>
      <c r="V487">
        <f t="shared" si="85"/>
        <v>12</v>
      </c>
      <c r="W487">
        <v>68</v>
      </c>
      <c r="AB487">
        <v>81</v>
      </c>
      <c r="AC487" t="s">
        <v>481</v>
      </c>
      <c r="AD487">
        <v>52</v>
      </c>
      <c r="AE487">
        <f t="shared" si="83"/>
        <v>329.63372180082422</v>
      </c>
      <c r="AF487">
        <f t="shared" si="86"/>
        <v>5</v>
      </c>
      <c r="AH487">
        <v>81</v>
      </c>
      <c r="AI487" t="s">
        <v>392</v>
      </c>
      <c r="AJ487">
        <v>55</v>
      </c>
      <c r="AK487">
        <f t="shared" ref="AK487:AK492" si="87">16.35117682*1.059464^AJ487</f>
        <v>392.00377257605692</v>
      </c>
      <c r="AL487">
        <f>ABS(AJ487-AD486)</f>
        <v>2</v>
      </c>
    </row>
    <row r="488" spans="1:38" x14ac:dyDescent="0.2">
      <c r="A488">
        <f t="shared" si="78"/>
        <v>121</v>
      </c>
      <c r="E488">
        <f t="shared" si="79"/>
        <v>121</v>
      </c>
      <c r="I488">
        <f t="shared" si="80"/>
        <v>121</v>
      </c>
      <c r="M488">
        <f t="shared" si="81"/>
        <v>121</v>
      </c>
      <c r="R488">
        <v>70</v>
      </c>
      <c r="S488" t="s">
        <v>246</v>
      </c>
      <c r="T488">
        <v>65</v>
      </c>
      <c r="U488">
        <f t="shared" si="82"/>
        <v>698.47728762097279</v>
      </c>
      <c r="V488">
        <f t="shared" si="85"/>
        <v>7</v>
      </c>
      <c r="W488">
        <v>70</v>
      </c>
      <c r="AB488">
        <v>83</v>
      </c>
      <c r="AC488" t="s">
        <v>480</v>
      </c>
      <c r="AD488">
        <v>50</v>
      </c>
      <c r="AE488">
        <f t="shared" si="83"/>
        <v>293.66975814369101</v>
      </c>
      <c r="AF488">
        <f t="shared" si="86"/>
        <v>2</v>
      </c>
      <c r="AH488">
        <v>83</v>
      </c>
      <c r="AI488" t="s">
        <v>390</v>
      </c>
      <c r="AJ488">
        <v>53</v>
      </c>
      <c r="AK488">
        <f t="shared" si="87"/>
        <v>349.23506143398839</v>
      </c>
      <c r="AL488">
        <f>ABS(AJ488-AJ487)</f>
        <v>2</v>
      </c>
    </row>
    <row r="489" spans="1:38" x14ac:dyDescent="0.2">
      <c r="A489">
        <f t="shared" si="78"/>
        <v>121.25</v>
      </c>
      <c r="E489">
        <f t="shared" si="79"/>
        <v>121.25</v>
      </c>
      <c r="I489">
        <f t="shared" si="80"/>
        <v>121.25</v>
      </c>
      <c r="M489">
        <f t="shared" si="81"/>
        <v>121.25</v>
      </c>
      <c r="R489">
        <v>72</v>
      </c>
      <c r="S489" t="s">
        <v>246</v>
      </c>
      <c r="T489">
        <v>65</v>
      </c>
      <c r="U489">
        <f t="shared" si="82"/>
        <v>698.47728762097279</v>
      </c>
      <c r="V489">
        <f t="shared" si="85"/>
        <v>0</v>
      </c>
      <c r="W489">
        <v>72</v>
      </c>
      <c r="AB489">
        <v>85</v>
      </c>
      <c r="AC489" t="s">
        <v>292</v>
      </c>
      <c r="AD489">
        <v>46</v>
      </c>
      <c r="AE489">
        <f t="shared" si="83"/>
        <v>233.08504452861115</v>
      </c>
      <c r="AF489">
        <f t="shared" si="86"/>
        <v>4</v>
      </c>
      <c r="AH489">
        <v>85</v>
      </c>
      <c r="AI489" t="s">
        <v>223</v>
      </c>
      <c r="AJ489">
        <v>49</v>
      </c>
      <c r="AK489">
        <f t="shared" si="87"/>
        <v>277.18710418069043</v>
      </c>
      <c r="AL489">
        <f>ABS(AJ489-AJ488)</f>
        <v>4</v>
      </c>
    </row>
    <row r="490" spans="1:38" x14ac:dyDescent="0.2">
      <c r="A490">
        <f t="shared" si="78"/>
        <v>121.5</v>
      </c>
      <c r="B490" t="s">
        <v>162</v>
      </c>
      <c r="C490">
        <v>54</v>
      </c>
      <c r="D490">
        <f>16.35117682*1.059464^C490</f>
        <v>370.00197512709912</v>
      </c>
      <c r="E490">
        <f t="shared" si="79"/>
        <v>121.5</v>
      </c>
      <c r="F490" t="s">
        <v>163</v>
      </c>
      <c r="G490">
        <v>49</v>
      </c>
      <c r="H490">
        <f>16.35117682*1.059464^G490</f>
        <v>277.18710418069043</v>
      </c>
      <c r="I490">
        <f t="shared" si="80"/>
        <v>121.5</v>
      </c>
      <c r="M490">
        <f t="shared" si="81"/>
        <v>121.5</v>
      </c>
      <c r="R490">
        <v>74</v>
      </c>
      <c r="S490" t="s">
        <v>166</v>
      </c>
      <c r="T490">
        <v>66</v>
      </c>
      <c r="U490">
        <f t="shared" si="82"/>
        <v>740.01154105206626</v>
      </c>
      <c r="V490">
        <f t="shared" si="85"/>
        <v>1</v>
      </c>
      <c r="W490">
        <v>74</v>
      </c>
      <c r="AB490">
        <v>87</v>
      </c>
      <c r="AC490" t="s">
        <v>169</v>
      </c>
      <c r="AD490">
        <v>42</v>
      </c>
      <c r="AE490">
        <f t="shared" si="83"/>
        <v>184.99908988354849</v>
      </c>
      <c r="AF490">
        <f t="shared" si="86"/>
        <v>4</v>
      </c>
      <c r="AH490">
        <v>87</v>
      </c>
      <c r="AI490" t="s">
        <v>487</v>
      </c>
      <c r="AJ490">
        <v>45</v>
      </c>
      <c r="AK490">
        <f t="shared" si="87"/>
        <v>220.00279814001337</v>
      </c>
      <c r="AL490">
        <f>ABS(AJ490-AJ489)</f>
        <v>4</v>
      </c>
    </row>
    <row r="491" spans="1:38" x14ac:dyDescent="0.2">
      <c r="A491">
        <f t="shared" si="78"/>
        <v>121.75</v>
      </c>
      <c r="E491">
        <f t="shared" si="79"/>
        <v>121.75</v>
      </c>
      <c r="I491">
        <f t="shared" si="80"/>
        <v>121.75</v>
      </c>
      <c r="M491">
        <f t="shared" si="81"/>
        <v>121.75</v>
      </c>
      <c r="R491">
        <v>76.25</v>
      </c>
      <c r="S491" t="s">
        <v>245</v>
      </c>
      <c r="T491">
        <v>67</v>
      </c>
      <c r="U491">
        <f t="shared" si="82"/>
        <v>784.01558732918636</v>
      </c>
      <c r="V491">
        <f t="shared" si="85"/>
        <v>1</v>
      </c>
      <c r="W491">
        <v>76.25</v>
      </c>
      <c r="AB491">
        <v>89</v>
      </c>
      <c r="AC491" t="s">
        <v>28</v>
      </c>
      <c r="AD491">
        <v>38</v>
      </c>
      <c r="AE491">
        <f t="shared" si="83"/>
        <v>146.83337288738056</v>
      </c>
      <c r="AF491">
        <f t="shared" si="86"/>
        <v>4</v>
      </c>
      <c r="AH491">
        <v>89</v>
      </c>
      <c r="AI491" t="s">
        <v>318</v>
      </c>
      <c r="AJ491">
        <v>41</v>
      </c>
      <c r="AK491">
        <f t="shared" si="87"/>
        <v>174.61573954711864</v>
      </c>
      <c r="AL491">
        <f>ABS(AJ491-AJ490)</f>
        <v>4</v>
      </c>
    </row>
    <row r="492" spans="1:38" x14ac:dyDescent="0.2">
      <c r="A492">
        <f t="shared" si="78"/>
        <v>122</v>
      </c>
      <c r="E492">
        <f t="shared" si="79"/>
        <v>122</v>
      </c>
      <c r="I492">
        <f t="shared" si="80"/>
        <v>122</v>
      </c>
      <c r="M492">
        <f t="shared" si="81"/>
        <v>122</v>
      </c>
      <c r="R492">
        <v>78</v>
      </c>
      <c r="S492" t="s">
        <v>240</v>
      </c>
      <c r="T492">
        <v>60</v>
      </c>
      <c r="U492">
        <f t="shared" ref="U492:U523" si="88">16.35117682*1.059464^T492</f>
        <v>523.26449507501752</v>
      </c>
      <c r="V492">
        <f t="shared" si="85"/>
        <v>7</v>
      </c>
      <c r="W492">
        <v>78</v>
      </c>
      <c r="AB492">
        <v>91</v>
      </c>
      <c r="AC492" t="s">
        <v>170</v>
      </c>
      <c r="AD492">
        <v>37</v>
      </c>
      <c r="AE492">
        <f t="shared" ref="AE492:AE523" si="89">16.35117682*1.059464^AD492</f>
        <v>138.5921304427338</v>
      </c>
      <c r="AF492">
        <f t="shared" si="86"/>
        <v>1</v>
      </c>
      <c r="AH492">
        <v>91</v>
      </c>
      <c r="AI492" t="s">
        <v>318</v>
      </c>
      <c r="AJ492">
        <v>41</v>
      </c>
      <c r="AK492">
        <f t="shared" si="87"/>
        <v>174.61573954711864</v>
      </c>
      <c r="AL492">
        <f>ABS(AJ492-AJ491)</f>
        <v>0</v>
      </c>
    </row>
    <row r="493" spans="1:38" x14ac:dyDescent="0.2">
      <c r="A493">
        <f t="shared" si="78"/>
        <v>122.25</v>
      </c>
      <c r="E493">
        <f t="shared" si="79"/>
        <v>122.25</v>
      </c>
      <c r="I493">
        <f t="shared" si="80"/>
        <v>122.25</v>
      </c>
      <c r="M493">
        <f t="shared" si="81"/>
        <v>122.25</v>
      </c>
      <c r="R493">
        <v>79.5</v>
      </c>
      <c r="S493" t="s">
        <v>240</v>
      </c>
      <c r="T493">
        <v>60</v>
      </c>
      <c r="U493">
        <f t="shared" si="88"/>
        <v>523.26449507501752</v>
      </c>
      <c r="V493">
        <f t="shared" ref="V493:V524" si="90">ABS(T493-T492)</f>
        <v>0</v>
      </c>
      <c r="W493">
        <v>79.5</v>
      </c>
      <c r="AB493">
        <v>93</v>
      </c>
      <c r="AC493" t="s">
        <v>412</v>
      </c>
      <c r="AD493">
        <v>35</v>
      </c>
      <c r="AE493">
        <f t="shared" si="89"/>
        <v>123.4713402663609</v>
      </c>
      <c r="AF493">
        <f t="shared" ref="AF493:AF525" si="91">ABS(AD493-AD492)</f>
        <v>2</v>
      </c>
      <c r="AH493">
        <v>93</v>
      </c>
    </row>
    <row r="494" spans="1:38" x14ac:dyDescent="0.2">
      <c r="A494">
        <f t="shared" si="78"/>
        <v>122.5</v>
      </c>
      <c r="B494" t="s">
        <v>162</v>
      </c>
      <c r="C494">
        <v>54</v>
      </c>
      <c r="D494">
        <f>16.35117682*1.059464^C494</f>
        <v>370.00197512709912</v>
      </c>
      <c r="E494">
        <f t="shared" si="79"/>
        <v>122.5</v>
      </c>
      <c r="F494" t="s">
        <v>163</v>
      </c>
      <c r="G494">
        <v>49</v>
      </c>
      <c r="H494">
        <f>16.35117682*1.059464^G494</f>
        <v>277.18710418069043</v>
      </c>
      <c r="I494">
        <f t="shared" si="80"/>
        <v>122.5</v>
      </c>
      <c r="M494">
        <f t="shared" si="81"/>
        <v>122.5</v>
      </c>
      <c r="R494">
        <v>81</v>
      </c>
      <c r="S494" t="s">
        <v>240</v>
      </c>
      <c r="T494">
        <v>60</v>
      </c>
      <c r="U494">
        <f t="shared" si="88"/>
        <v>523.26449507501752</v>
      </c>
      <c r="V494">
        <f t="shared" si="90"/>
        <v>0</v>
      </c>
      <c r="W494">
        <v>81</v>
      </c>
      <c r="AB494">
        <v>95</v>
      </c>
      <c r="AC494" t="s">
        <v>45</v>
      </c>
      <c r="AD494">
        <v>31</v>
      </c>
      <c r="AE494">
        <f t="shared" si="89"/>
        <v>97.998932630681253</v>
      </c>
      <c r="AF494">
        <f t="shared" si="91"/>
        <v>4</v>
      </c>
      <c r="AH494">
        <v>95</v>
      </c>
    </row>
    <row r="495" spans="1:38" x14ac:dyDescent="0.2">
      <c r="A495">
        <f t="shared" si="78"/>
        <v>122.75</v>
      </c>
      <c r="E495">
        <f t="shared" si="79"/>
        <v>122.75</v>
      </c>
      <c r="I495">
        <f t="shared" si="80"/>
        <v>122.75</v>
      </c>
      <c r="M495">
        <f t="shared" si="81"/>
        <v>122.75</v>
      </c>
      <c r="R495">
        <v>84</v>
      </c>
      <c r="S495" t="s">
        <v>239</v>
      </c>
      <c r="T495">
        <v>55</v>
      </c>
      <c r="U495">
        <f t="shared" si="88"/>
        <v>392.00377257605692</v>
      </c>
      <c r="V495">
        <f t="shared" si="90"/>
        <v>5</v>
      </c>
      <c r="W495">
        <v>84</v>
      </c>
      <c r="AB495">
        <v>97</v>
      </c>
      <c r="AC495" t="s">
        <v>389</v>
      </c>
      <c r="AD495">
        <v>28</v>
      </c>
      <c r="AE495">
        <f t="shared" si="89"/>
        <v>82.406739821087044</v>
      </c>
      <c r="AF495">
        <f t="shared" si="91"/>
        <v>3</v>
      </c>
      <c r="AH495">
        <v>97</v>
      </c>
    </row>
    <row r="496" spans="1:38" x14ac:dyDescent="0.2">
      <c r="A496">
        <f t="shared" si="78"/>
        <v>123</v>
      </c>
      <c r="E496">
        <f t="shared" si="79"/>
        <v>123</v>
      </c>
      <c r="I496">
        <f t="shared" si="80"/>
        <v>123</v>
      </c>
      <c r="M496">
        <f t="shared" si="81"/>
        <v>123</v>
      </c>
      <c r="R496">
        <v>85.5</v>
      </c>
      <c r="S496" t="s">
        <v>239</v>
      </c>
      <c r="T496">
        <v>55</v>
      </c>
      <c r="U496">
        <f t="shared" si="88"/>
        <v>392.00377257605692</v>
      </c>
      <c r="V496">
        <f t="shared" si="90"/>
        <v>0</v>
      </c>
      <c r="W496">
        <v>85.5</v>
      </c>
      <c r="AB496">
        <v>99</v>
      </c>
      <c r="AC496" t="s">
        <v>388</v>
      </c>
      <c r="AD496">
        <v>29</v>
      </c>
      <c r="AE496">
        <f t="shared" si="89"/>
        <v>87.306974197808145</v>
      </c>
      <c r="AF496">
        <f t="shared" si="91"/>
        <v>1</v>
      </c>
      <c r="AH496">
        <v>99</v>
      </c>
    </row>
    <row r="497" spans="1:34" x14ac:dyDescent="0.2">
      <c r="A497">
        <f t="shared" si="78"/>
        <v>123.25</v>
      </c>
      <c r="E497">
        <f t="shared" si="79"/>
        <v>123.25</v>
      </c>
      <c r="I497">
        <f t="shared" si="80"/>
        <v>123.25</v>
      </c>
      <c r="M497">
        <f t="shared" si="81"/>
        <v>123.25</v>
      </c>
      <c r="R497">
        <v>87</v>
      </c>
      <c r="S497" t="s">
        <v>479</v>
      </c>
      <c r="T497">
        <v>48</v>
      </c>
      <c r="U497">
        <f t="shared" si="88"/>
        <v>261.62956379894968</v>
      </c>
      <c r="V497">
        <f t="shared" si="90"/>
        <v>7</v>
      </c>
      <c r="W497">
        <v>87</v>
      </c>
      <c r="AB497">
        <v>100.75</v>
      </c>
      <c r="AC497" t="s">
        <v>27</v>
      </c>
      <c r="AD497">
        <v>36</v>
      </c>
      <c r="AE497">
        <f t="shared" si="89"/>
        <v>130.81344004395982</v>
      </c>
      <c r="AF497">
        <f t="shared" si="91"/>
        <v>7</v>
      </c>
      <c r="AH497">
        <v>100.75</v>
      </c>
    </row>
    <row r="498" spans="1:34" x14ac:dyDescent="0.2">
      <c r="A498">
        <f t="shared" si="78"/>
        <v>123.5</v>
      </c>
      <c r="B498" t="s">
        <v>244</v>
      </c>
      <c r="C498">
        <v>59</v>
      </c>
      <c r="D498">
        <f>16.35117682*1.059464^C498</f>
        <v>493.89549345236594</v>
      </c>
      <c r="E498">
        <f t="shared" si="79"/>
        <v>123.5</v>
      </c>
      <c r="I498">
        <f t="shared" si="80"/>
        <v>123.5</v>
      </c>
      <c r="J498" t="s">
        <v>324</v>
      </c>
      <c r="K498">
        <v>47</v>
      </c>
      <c r="L498">
        <f>16.35117682*1.059464^K498</f>
        <v>246.94521361646048</v>
      </c>
      <c r="M498">
        <f t="shared" si="81"/>
        <v>123.5</v>
      </c>
      <c r="R498">
        <v>89</v>
      </c>
      <c r="S498" t="s">
        <v>44</v>
      </c>
      <c r="T498">
        <v>43</v>
      </c>
      <c r="U498">
        <f t="shared" si="88"/>
        <v>195.99987576438383</v>
      </c>
      <c r="V498">
        <f t="shared" si="90"/>
        <v>5</v>
      </c>
      <c r="W498">
        <v>89</v>
      </c>
      <c r="AB498">
        <v>104</v>
      </c>
      <c r="AC498" t="s">
        <v>243</v>
      </c>
      <c r="AD498">
        <v>57</v>
      </c>
      <c r="AE498">
        <f t="shared" si="89"/>
        <v>440.01010976071973</v>
      </c>
      <c r="AF498">
        <f t="shared" si="91"/>
        <v>21</v>
      </c>
      <c r="AH498">
        <v>104</v>
      </c>
    </row>
    <row r="499" spans="1:34" x14ac:dyDescent="0.2">
      <c r="A499">
        <f t="shared" si="78"/>
        <v>123.75</v>
      </c>
      <c r="E499">
        <f t="shared" si="79"/>
        <v>123.75</v>
      </c>
      <c r="I499">
        <f t="shared" si="80"/>
        <v>123.75</v>
      </c>
      <c r="M499">
        <f t="shared" si="81"/>
        <v>123.75</v>
      </c>
      <c r="R499">
        <v>92</v>
      </c>
      <c r="S499" t="s">
        <v>29</v>
      </c>
      <c r="T499">
        <v>40</v>
      </c>
      <c r="U499">
        <f t="shared" si="88"/>
        <v>164.8151702626221</v>
      </c>
      <c r="V499">
        <f t="shared" si="90"/>
        <v>3</v>
      </c>
      <c r="W499">
        <v>92</v>
      </c>
      <c r="AB499">
        <v>106</v>
      </c>
      <c r="AC499" t="s">
        <v>240</v>
      </c>
      <c r="AD499">
        <v>60</v>
      </c>
      <c r="AE499">
        <f t="shared" si="89"/>
        <v>523.26449507501752</v>
      </c>
      <c r="AF499">
        <f t="shared" si="91"/>
        <v>3</v>
      </c>
      <c r="AH499">
        <v>106</v>
      </c>
    </row>
    <row r="500" spans="1:34" x14ac:dyDescent="0.2">
      <c r="A500">
        <f t="shared" si="78"/>
        <v>124</v>
      </c>
      <c r="B500" t="s">
        <v>240</v>
      </c>
      <c r="C500">
        <v>60</v>
      </c>
      <c r="D500">
        <f>16.35117682*1.059464^C500</f>
        <v>523.26449507501752</v>
      </c>
      <c r="E500">
        <f t="shared" si="79"/>
        <v>124</v>
      </c>
      <c r="F500" t="s">
        <v>242</v>
      </c>
      <c r="G500">
        <v>50</v>
      </c>
      <c r="H500">
        <f>16.35117682*1.059464^G500</f>
        <v>293.66975814369101</v>
      </c>
      <c r="I500">
        <f t="shared" si="80"/>
        <v>124</v>
      </c>
      <c r="J500" t="s">
        <v>489</v>
      </c>
      <c r="K500">
        <v>48</v>
      </c>
      <c r="L500">
        <f>16.35117682*1.059464^K500</f>
        <v>261.62956379894968</v>
      </c>
      <c r="M500">
        <f t="shared" si="81"/>
        <v>124</v>
      </c>
      <c r="R500">
        <v>93.5</v>
      </c>
      <c r="S500" t="s">
        <v>29</v>
      </c>
      <c r="T500">
        <v>40</v>
      </c>
      <c r="U500">
        <f t="shared" si="88"/>
        <v>164.8151702626221</v>
      </c>
      <c r="V500">
        <f t="shared" si="90"/>
        <v>0</v>
      </c>
      <c r="W500">
        <v>93.5</v>
      </c>
      <c r="AB500">
        <v>110</v>
      </c>
      <c r="AC500" t="s">
        <v>318</v>
      </c>
      <c r="AD500">
        <v>41</v>
      </c>
      <c r="AE500">
        <f t="shared" si="89"/>
        <v>174.61573954711864</v>
      </c>
      <c r="AF500">
        <f t="shared" si="91"/>
        <v>19</v>
      </c>
      <c r="AH500">
        <v>110</v>
      </c>
    </row>
    <row r="501" spans="1:34" x14ac:dyDescent="0.2">
      <c r="A501">
        <f t="shared" si="78"/>
        <v>124.25</v>
      </c>
      <c r="E501">
        <f t="shared" si="79"/>
        <v>124.25</v>
      </c>
      <c r="I501">
        <f t="shared" si="80"/>
        <v>124.25</v>
      </c>
      <c r="M501">
        <f t="shared" si="81"/>
        <v>124.25</v>
      </c>
      <c r="R501">
        <v>95</v>
      </c>
      <c r="S501" t="s">
        <v>29</v>
      </c>
      <c r="T501">
        <v>40</v>
      </c>
      <c r="U501">
        <f t="shared" si="88"/>
        <v>164.8151702626221</v>
      </c>
      <c r="V501">
        <f t="shared" si="90"/>
        <v>0</v>
      </c>
      <c r="W501">
        <v>95</v>
      </c>
      <c r="AB501">
        <v>113.5</v>
      </c>
      <c r="AC501" t="s">
        <v>47</v>
      </c>
      <c r="AD501">
        <v>47</v>
      </c>
      <c r="AE501">
        <f t="shared" si="89"/>
        <v>246.94521361646048</v>
      </c>
      <c r="AF501">
        <f t="shared" si="91"/>
        <v>6</v>
      </c>
      <c r="AH501">
        <v>113.5</v>
      </c>
    </row>
    <row r="502" spans="1:34" x14ac:dyDescent="0.2">
      <c r="A502">
        <f t="shared" si="78"/>
        <v>124.5</v>
      </c>
      <c r="B502" t="s">
        <v>411</v>
      </c>
      <c r="C502">
        <v>58</v>
      </c>
      <c r="D502">
        <f>16.35117682*1.059464^C502</f>
        <v>466.17487092753117</v>
      </c>
      <c r="E502">
        <f t="shared" si="79"/>
        <v>124.5</v>
      </c>
      <c r="F502" t="s">
        <v>481</v>
      </c>
      <c r="G502">
        <v>52</v>
      </c>
      <c r="H502">
        <f>16.35117682*1.059464^G502</f>
        <v>329.63372180082422</v>
      </c>
      <c r="I502">
        <f t="shared" si="80"/>
        <v>124.5</v>
      </c>
      <c r="M502">
        <f t="shared" si="81"/>
        <v>124.5</v>
      </c>
      <c r="R502">
        <v>96.75</v>
      </c>
      <c r="S502" t="s">
        <v>414</v>
      </c>
      <c r="T502">
        <v>33</v>
      </c>
      <c r="U502">
        <f t="shared" si="88"/>
        <v>110.00027071140791</v>
      </c>
      <c r="V502">
        <f t="shared" si="90"/>
        <v>7</v>
      </c>
      <c r="W502">
        <v>96.75</v>
      </c>
      <c r="AB502">
        <v>116.5</v>
      </c>
      <c r="AC502" t="s">
        <v>82</v>
      </c>
      <c r="AD502">
        <v>38</v>
      </c>
      <c r="AE502">
        <f t="shared" si="89"/>
        <v>146.83337288738056</v>
      </c>
      <c r="AF502">
        <f t="shared" si="91"/>
        <v>9</v>
      </c>
      <c r="AH502">
        <v>116.5</v>
      </c>
    </row>
    <row r="503" spans="1:34" x14ac:dyDescent="0.2">
      <c r="A503">
        <f t="shared" si="78"/>
        <v>124.75</v>
      </c>
      <c r="E503">
        <f t="shared" si="79"/>
        <v>124.75</v>
      </c>
      <c r="I503">
        <f t="shared" si="80"/>
        <v>124.75</v>
      </c>
      <c r="M503">
        <f t="shared" si="81"/>
        <v>124.75</v>
      </c>
      <c r="R503">
        <v>98</v>
      </c>
      <c r="S503" t="s">
        <v>414</v>
      </c>
      <c r="T503">
        <v>33</v>
      </c>
      <c r="U503">
        <f t="shared" si="88"/>
        <v>110.00027071140791</v>
      </c>
      <c r="V503">
        <f t="shared" si="90"/>
        <v>0</v>
      </c>
      <c r="W503">
        <v>98</v>
      </c>
      <c r="AB503">
        <v>118.5</v>
      </c>
      <c r="AC503" t="s">
        <v>223</v>
      </c>
      <c r="AD503">
        <v>50</v>
      </c>
      <c r="AE503">
        <f t="shared" si="89"/>
        <v>293.66975814369101</v>
      </c>
      <c r="AF503">
        <f t="shared" si="91"/>
        <v>12</v>
      </c>
      <c r="AH503">
        <v>118.5</v>
      </c>
    </row>
    <row r="504" spans="1:34" x14ac:dyDescent="0.2">
      <c r="A504">
        <f t="shared" si="78"/>
        <v>125</v>
      </c>
      <c r="E504">
        <f t="shared" si="79"/>
        <v>125</v>
      </c>
      <c r="I504">
        <f t="shared" si="80"/>
        <v>125</v>
      </c>
      <c r="M504">
        <f t="shared" si="81"/>
        <v>125</v>
      </c>
      <c r="R504">
        <v>103.5</v>
      </c>
      <c r="S504" t="s">
        <v>481</v>
      </c>
      <c r="T504">
        <v>52</v>
      </c>
      <c r="U504">
        <f t="shared" si="88"/>
        <v>329.63372180082422</v>
      </c>
      <c r="V504">
        <f t="shared" si="90"/>
        <v>19</v>
      </c>
      <c r="W504">
        <v>103.5</v>
      </c>
      <c r="AB504">
        <v>123.5</v>
      </c>
      <c r="AC504" t="s">
        <v>307</v>
      </c>
      <c r="AD504">
        <v>47</v>
      </c>
      <c r="AE504">
        <f t="shared" si="89"/>
        <v>246.94521361646048</v>
      </c>
      <c r="AF504">
        <f t="shared" si="91"/>
        <v>3</v>
      </c>
      <c r="AH504">
        <v>123.5</v>
      </c>
    </row>
    <row r="505" spans="1:34" x14ac:dyDescent="0.2">
      <c r="A505">
        <f t="shared" si="78"/>
        <v>125.25</v>
      </c>
      <c r="E505">
        <f t="shared" si="79"/>
        <v>125.25</v>
      </c>
      <c r="I505">
        <f t="shared" si="80"/>
        <v>125.25</v>
      </c>
      <c r="M505">
        <f t="shared" si="81"/>
        <v>125.25</v>
      </c>
      <c r="R505">
        <v>105.75</v>
      </c>
      <c r="S505" t="s">
        <v>256</v>
      </c>
      <c r="T505">
        <v>69</v>
      </c>
      <c r="U505">
        <f t="shared" si="88"/>
        <v>880.02924657542201</v>
      </c>
      <c r="V505">
        <f t="shared" si="90"/>
        <v>17</v>
      </c>
      <c r="W505">
        <v>105.75</v>
      </c>
      <c r="AB505">
        <v>127.5</v>
      </c>
      <c r="AC505" t="s">
        <v>82</v>
      </c>
      <c r="AD505">
        <v>38</v>
      </c>
      <c r="AE505">
        <f t="shared" si="89"/>
        <v>146.83337288738056</v>
      </c>
      <c r="AF505">
        <f t="shared" si="91"/>
        <v>9</v>
      </c>
      <c r="AH505">
        <v>127.5</v>
      </c>
    </row>
    <row r="506" spans="1:34" x14ac:dyDescent="0.2">
      <c r="A506">
        <f t="shared" si="78"/>
        <v>125.5</v>
      </c>
      <c r="B506" t="s">
        <v>243</v>
      </c>
      <c r="C506">
        <v>57</v>
      </c>
      <c r="D506">
        <f>16.35117682*1.059464^C506</f>
        <v>440.01010976071973</v>
      </c>
      <c r="E506">
        <f t="shared" si="79"/>
        <v>125.5</v>
      </c>
      <c r="I506">
        <f t="shared" si="80"/>
        <v>125.5</v>
      </c>
      <c r="J506" t="s">
        <v>326</v>
      </c>
      <c r="K506">
        <v>45</v>
      </c>
      <c r="L506">
        <f>16.35117682*1.059464^K506</f>
        <v>220.00279814001337</v>
      </c>
      <c r="M506">
        <f t="shared" si="81"/>
        <v>125.5</v>
      </c>
      <c r="R506">
        <v>108.5</v>
      </c>
      <c r="S506" t="s">
        <v>411</v>
      </c>
      <c r="T506">
        <v>58</v>
      </c>
      <c r="U506">
        <f t="shared" si="88"/>
        <v>466.17487092753117</v>
      </c>
      <c r="V506">
        <f t="shared" si="90"/>
        <v>11</v>
      </c>
      <c r="W506">
        <v>108.5</v>
      </c>
      <c r="X506" t="s">
        <v>481</v>
      </c>
      <c r="Y506">
        <v>52</v>
      </c>
      <c r="Z506">
        <f>16.35117682*1.059464^Y506</f>
        <v>329.63372180082422</v>
      </c>
      <c r="AA506">
        <f>ABS(Y506-T505)</f>
        <v>17</v>
      </c>
      <c r="AB506">
        <v>130</v>
      </c>
      <c r="AC506" t="s">
        <v>488</v>
      </c>
      <c r="AD506">
        <v>36</v>
      </c>
      <c r="AE506">
        <f t="shared" si="89"/>
        <v>130.81344004395982</v>
      </c>
      <c r="AF506">
        <f t="shared" si="91"/>
        <v>2</v>
      </c>
      <c r="AH506">
        <v>130</v>
      </c>
    </row>
    <row r="507" spans="1:34" x14ac:dyDescent="0.2">
      <c r="A507">
        <f t="shared" si="78"/>
        <v>125.75</v>
      </c>
      <c r="E507">
        <f t="shared" si="79"/>
        <v>125.75</v>
      </c>
      <c r="I507">
        <f t="shared" si="80"/>
        <v>125.75</v>
      </c>
      <c r="M507">
        <f t="shared" si="81"/>
        <v>125.75</v>
      </c>
      <c r="R507">
        <v>111.5</v>
      </c>
      <c r="S507" t="s">
        <v>480</v>
      </c>
      <c r="T507">
        <v>50</v>
      </c>
      <c r="U507">
        <f t="shared" si="88"/>
        <v>293.66975814369101</v>
      </c>
      <c r="V507">
        <f t="shared" si="90"/>
        <v>8</v>
      </c>
      <c r="W507">
        <v>111.5</v>
      </c>
      <c r="AB507">
        <v>133</v>
      </c>
      <c r="AC507" t="s">
        <v>318</v>
      </c>
      <c r="AD507">
        <v>41</v>
      </c>
      <c r="AE507">
        <f t="shared" si="89"/>
        <v>174.61573954711864</v>
      </c>
      <c r="AF507">
        <f t="shared" si="91"/>
        <v>5</v>
      </c>
      <c r="AH507">
        <v>133</v>
      </c>
    </row>
    <row r="508" spans="1:34" x14ac:dyDescent="0.2">
      <c r="A508">
        <f t="shared" si="78"/>
        <v>126</v>
      </c>
      <c r="B508" t="s">
        <v>482</v>
      </c>
      <c r="C508">
        <v>53</v>
      </c>
      <c r="D508">
        <f>16.35117682*1.059464^C508</f>
        <v>349.23506143398839</v>
      </c>
      <c r="E508">
        <f t="shared" si="79"/>
        <v>126</v>
      </c>
      <c r="I508">
        <f t="shared" si="80"/>
        <v>126</v>
      </c>
      <c r="J508" t="s">
        <v>330</v>
      </c>
      <c r="K508">
        <v>41</v>
      </c>
      <c r="L508">
        <f>16.35117682*1.059464^K508</f>
        <v>174.61573954711864</v>
      </c>
      <c r="M508">
        <f t="shared" si="81"/>
        <v>126</v>
      </c>
      <c r="R508">
        <v>113.5</v>
      </c>
      <c r="S508" t="s">
        <v>239</v>
      </c>
      <c r="T508">
        <v>55</v>
      </c>
      <c r="U508">
        <f t="shared" si="88"/>
        <v>392.00377257605692</v>
      </c>
      <c r="V508">
        <f t="shared" si="90"/>
        <v>5</v>
      </c>
      <c r="W508">
        <v>113.5</v>
      </c>
      <c r="X508" t="s">
        <v>482</v>
      </c>
      <c r="Y508">
        <v>53</v>
      </c>
      <c r="Z508">
        <f>16.35117682*1.059464^Y508</f>
        <v>349.23506143398839</v>
      </c>
      <c r="AA508">
        <f>ABS(Y508-T507)</f>
        <v>3</v>
      </c>
      <c r="AB508">
        <v>135</v>
      </c>
      <c r="AC508" t="s">
        <v>308</v>
      </c>
      <c r="AD508">
        <v>53</v>
      </c>
      <c r="AE508">
        <f t="shared" si="89"/>
        <v>349.23506143398839</v>
      </c>
      <c r="AF508">
        <f t="shared" si="91"/>
        <v>12</v>
      </c>
      <c r="AH508">
        <v>135</v>
      </c>
    </row>
    <row r="509" spans="1:34" x14ac:dyDescent="0.2">
      <c r="A509">
        <f t="shared" si="78"/>
        <v>126.25</v>
      </c>
      <c r="E509">
        <f t="shared" si="79"/>
        <v>126.25</v>
      </c>
      <c r="I509">
        <f t="shared" si="80"/>
        <v>126.25</v>
      </c>
      <c r="M509">
        <f t="shared" si="81"/>
        <v>126.25</v>
      </c>
      <c r="R509">
        <v>116</v>
      </c>
      <c r="S509" t="s">
        <v>292</v>
      </c>
      <c r="T509">
        <v>46</v>
      </c>
      <c r="U509">
        <f t="shared" si="88"/>
        <v>233.08504452861115</v>
      </c>
      <c r="V509">
        <f t="shared" si="90"/>
        <v>9</v>
      </c>
      <c r="W509">
        <v>116</v>
      </c>
      <c r="AB509">
        <v>137</v>
      </c>
      <c r="AC509" t="s">
        <v>308</v>
      </c>
      <c r="AD509">
        <v>53</v>
      </c>
      <c r="AE509">
        <f t="shared" si="89"/>
        <v>349.23506143398839</v>
      </c>
      <c r="AF509">
        <f t="shared" si="91"/>
        <v>0</v>
      </c>
      <c r="AH509">
        <v>137</v>
      </c>
    </row>
    <row r="510" spans="1:34" x14ac:dyDescent="0.2">
      <c r="A510">
        <f t="shared" si="78"/>
        <v>126.5</v>
      </c>
      <c r="B510" t="s">
        <v>243</v>
      </c>
      <c r="C510">
        <v>57</v>
      </c>
      <c r="D510">
        <f>16.35117682*1.059464^C510</f>
        <v>440.01010976071973</v>
      </c>
      <c r="E510">
        <f t="shared" si="79"/>
        <v>126.5</v>
      </c>
      <c r="F510" t="s">
        <v>479</v>
      </c>
      <c r="G510">
        <v>48</v>
      </c>
      <c r="H510">
        <f>16.35117682*1.059464^G510</f>
        <v>261.62956379894968</v>
      </c>
      <c r="I510">
        <f t="shared" si="80"/>
        <v>126.5</v>
      </c>
      <c r="M510">
        <f t="shared" si="81"/>
        <v>126.5</v>
      </c>
      <c r="R510">
        <v>118</v>
      </c>
      <c r="S510" t="s">
        <v>411</v>
      </c>
      <c r="T510">
        <v>58</v>
      </c>
      <c r="U510">
        <f t="shared" si="88"/>
        <v>466.17487092753117</v>
      </c>
      <c r="V510">
        <f t="shared" si="90"/>
        <v>12</v>
      </c>
      <c r="W510">
        <v>118</v>
      </c>
      <c r="AB510">
        <v>139</v>
      </c>
      <c r="AC510" t="s">
        <v>390</v>
      </c>
      <c r="AD510">
        <v>53</v>
      </c>
      <c r="AE510">
        <f t="shared" si="89"/>
        <v>349.23506143398839</v>
      </c>
      <c r="AF510">
        <f t="shared" si="91"/>
        <v>0</v>
      </c>
      <c r="AH510">
        <v>139</v>
      </c>
    </row>
    <row r="511" spans="1:34" x14ac:dyDescent="0.2">
      <c r="A511">
        <f t="shared" si="78"/>
        <v>126.75</v>
      </c>
      <c r="E511">
        <f t="shared" si="79"/>
        <v>126.75</v>
      </c>
      <c r="I511">
        <f t="shared" si="80"/>
        <v>126.75</v>
      </c>
      <c r="M511">
        <f t="shared" si="81"/>
        <v>126.75</v>
      </c>
      <c r="R511">
        <v>120</v>
      </c>
      <c r="S511" t="s">
        <v>411</v>
      </c>
      <c r="T511">
        <v>58</v>
      </c>
      <c r="U511">
        <f t="shared" si="88"/>
        <v>466.17487092753117</v>
      </c>
      <c r="V511">
        <f t="shared" si="90"/>
        <v>0</v>
      </c>
      <c r="W511">
        <v>120</v>
      </c>
      <c r="AB511">
        <v>141</v>
      </c>
      <c r="AC511" t="s">
        <v>18</v>
      </c>
      <c r="AD511">
        <v>54</v>
      </c>
      <c r="AE511">
        <f t="shared" si="89"/>
        <v>370.00197512709912</v>
      </c>
      <c r="AF511">
        <f t="shared" si="91"/>
        <v>1</v>
      </c>
      <c r="AH511">
        <v>141</v>
      </c>
    </row>
    <row r="512" spans="1:34" x14ac:dyDescent="0.2">
      <c r="A512">
        <f t="shared" si="78"/>
        <v>127</v>
      </c>
      <c r="E512">
        <f t="shared" si="79"/>
        <v>127</v>
      </c>
      <c r="I512">
        <f t="shared" si="80"/>
        <v>127</v>
      </c>
      <c r="M512">
        <f t="shared" si="81"/>
        <v>127</v>
      </c>
      <c r="R512">
        <v>123.5</v>
      </c>
      <c r="S512" t="s">
        <v>244</v>
      </c>
      <c r="T512">
        <v>59</v>
      </c>
      <c r="U512">
        <f t="shared" si="88"/>
        <v>493.89549345236594</v>
      </c>
      <c r="V512">
        <f t="shared" si="90"/>
        <v>1</v>
      </c>
      <c r="W512">
        <v>123.5</v>
      </c>
      <c r="AB512">
        <v>144</v>
      </c>
      <c r="AC512" t="s">
        <v>22</v>
      </c>
      <c r="AD512">
        <v>57</v>
      </c>
      <c r="AE512">
        <f t="shared" si="89"/>
        <v>440.01010976071973</v>
      </c>
      <c r="AF512">
        <f t="shared" si="91"/>
        <v>3</v>
      </c>
      <c r="AH512">
        <v>144</v>
      </c>
    </row>
    <row r="513" spans="1:38" x14ac:dyDescent="0.2">
      <c r="A513">
        <f t="shared" si="78"/>
        <v>127.25</v>
      </c>
      <c r="E513">
        <f t="shared" si="79"/>
        <v>127.25</v>
      </c>
      <c r="I513">
        <f t="shared" si="80"/>
        <v>127.25</v>
      </c>
      <c r="M513">
        <f t="shared" si="81"/>
        <v>127.25</v>
      </c>
      <c r="R513">
        <v>126</v>
      </c>
      <c r="S513" t="s">
        <v>482</v>
      </c>
      <c r="T513">
        <v>53</v>
      </c>
      <c r="U513">
        <f t="shared" si="88"/>
        <v>349.23506143398839</v>
      </c>
      <c r="V513">
        <f t="shared" si="90"/>
        <v>6</v>
      </c>
      <c r="W513">
        <v>126</v>
      </c>
      <c r="AB513">
        <v>147</v>
      </c>
      <c r="AC513" t="s">
        <v>481</v>
      </c>
      <c r="AD513">
        <v>52</v>
      </c>
      <c r="AE513">
        <f t="shared" si="89"/>
        <v>329.63372180082422</v>
      </c>
      <c r="AF513">
        <f t="shared" si="91"/>
        <v>5</v>
      </c>
      <c r="AH513">
        <v>147</v>
      </c>
      <c r="AI513" t="s">
        <v>392</v>
      </c>
      <c r="AJ513">
        <v>55</v>
      </c>
      <c r="AK513">
        <f t="shared" ref="AK513:AK518" si="92">16.35117682*1.059464^AJ513</f>
        <v>392.00377257605692</v>
      </c>
      <c r="AL513">
        <f>ABS(AJ513-AD512)</f>
        <v>2</v>
      </c>
    </row>
    <row r="514" spans="1:38" x14ac:dyDescent="0.2">
      <c r="A514">
        <f t="shared" si="78"/>
        <v>127.5</v>
      </c>
      <c r="B514" t="s">
        <v>480</v>
      </c>
      <c r="C514">
        <v>50</v>
      </c>
      <c r="D514">
        <f>16.35117682*1.059464^C514</f>
        <v>293.66975814369101</v>
      </c>
      <c r="E514">
        <f t="shared" si="79"/>
        <v>127.5</v>
      </c>
      <c r="I514">
        <f t="shared" si="80"/>
        <v>127.5</v>
      </c>
      <c r="J514" t="s">
        <v>490</v>
      </c>
      <c r="K514">
        <v>38</v>
      </c>
      <c r="L514">
        <f>16.35117682*1.059464^K514</f>
        <v>146.83337288738056</v>
      </c>
      <c r="M514">
        <f t="shared" si="81"/>
        <v>127.5</v>
      </c>
      <c r="R514">
        <v>128.5</v>
      </c>
      <c r="S514" t="s">
        <v>239</v>
      </c>
      <c r="T514">
        <v>54</v>
      </c>
      <c r="U514">
        <f t="shared" si="88"/>
        <v>370.00197512709912</v>
      </c>
      <c r="V514">
        <f t="shared" si="90"/>
        <v>1</v>
      </c>
      <c r="W514">
        <v>128.5</v>
      </c>
      <c r="X514" t="s">
        <v>47</v>
      </c>
      <c r="Y514">
        <v>47</v>
      </c>
      <c r="Z514">
        <f>16.35117682*1.059464^Y514</f>
        <v>246.94521361646048</v>
      </c>
      <c r="AA514">
        <f>ABS(Y514-T513)</f>
        <v>6</v>
      </c>
      <c r="AB514">
        <v>149</v>
      </c>
      <c r="AC514" t="s">
        <v>480</v>
      </c>
      <c r="AD514">
        <v>50</v>
      </c>
      <c r="AE514">
        <f t="shared" si="89"/>
        <v>293.66975814369101</v>
      </c>
      <c r="AF514">
        <f t="shared" si="91"/>
        <v>2</v>
      </c>
      <c r="AH514">
        <v>149</v>
      </c>
      <c r="AI514" t="s">
        <v>390</v>
      </c>
      <c r="AJ514">
        <v>53</v>
      </c>
      <c r="AK514">
        <f t="shared" si="92"/>
        <v>349.23506143398839</v>
      </c>
      <c r="AL514">
        <f>ABS(AJ514-AJ513)</f>
        <v>2</v>
      </c>
    </row>
    <row r="515" spans="1:38" x14ac:dyDescent="0.2">
      <c r="A515">
        <f t="shared" si="78"/>
        <v>127.75</v>
      </c>
      <c r="E515">
        <f t="shared" si="79"/>
        <v>127.75</v>
      </c>
      <c r="I515">
        <f t="shared" si="80"/>
        <v>127.75</v>
      </c>
      <c r="M515">
        <f t="shared" si="81"/>
        <v>127.75</v>
      </c>
      <c r="R515">
        <v>130.5</v>
      </c>
      <c r="S515" t="s">
        <v>481</v>
      </c>
      <c r="T515">
        <v>52</v>
      </c>
      <c r="U515">
        <f t="shared" si="88"/>
        <v>329.63372180082422</v>
      </c>
      <c r="V515">
        <f t="shared" si="90"/>
        <v>2</v>
      </c>
      <c r="W515">
        <v>130.5</v>
      </c>
      <c r="X515" t="s">
        <v>239</v>
      </c>
      <c r="Y515">
        <v>55</v>
      </c>
      <c r="Z515">
        <f>16.35117682*1.059464^Y515</f>
        <v>392.00377257605692</v>
      </c>
      <c r="AA515">
        <f>ABS(Y515-T514)</f>
        <v>1</v>
      </c>
      <c r="AB515">
        <v>151</v>
      </c>
      <c r="AC515" t="s">
        <v>292</v>
      </c>
      <c r="AD515">
        <v>46</v>
      </c>
      <c r="AE515">
        <f t="shared" si="89"/>
        <v>233.08504452861115</v>
      </c>
      <c r="AF515">
        <f t="shared" si="91"/>
        <v>4</v>
      </c>
      <c r="AH515">
        <v>151</v>
      </c>
      <c r="AI515" t="s">
        <v>223</v>
      </c>
      <c r="AJ515">
        <v>49</v>
      </c>
      <c r="AK515">
        <f t="shared" si="92"/>
        <v>277.18710418069043</v>
      </c>
      <c r="AL515">
        <f>ABS(AJ515-AJ514)</f>
        <v>4</v>
      </c>
    </row>
    <row r="516" spans="1:38" x14ac:dyDescent="0.2">
      <c r="A516">
        <f t="shared" si="78"/>
        <v>128</v>
      </c>
      <c r="B516" t="s">
        <v>481</v>
      </c>
      <c r="C516">
        <v>52</v>
      </c>
      <c r="D516">
        <f>16.35117682*1.059464^C516</f>
        <v>329.63372180082422</v>
      </c>
      <c r="E516">
        <f t="shared" si="79"/>
        <v>128</v>
      </c>
      <c r="F516" t="s">
        <v>482</v>
      </c>
      <c r="G516">
        <v>53</v>
      </c>
      <c r="H516">
        <f>16.35117682*1.059464^G516</f>
        <v>349.23506143398839</v>
      </c>
      <c r="I516">
        <f t="shared" si="80"/>
        <v>128</v>
      </c>
      <c r="J516" t="s">
        <v>275</v>
      </c>
      <c r="K516">
        <v>40</v>
      </c>
      <c r="L516">
        <f>16.35117682*1.059464^K516</f>
        <v>164.8151702626221</v>
      </c>
      <c r="M516">
        <f t="shared" si="81"/>
        <v>128</v>
      </c>
      <c r="R516">
        <v>133</v>
      </c>
      <c r="S516" t="s">
        <v>482</v>
      </c>
      <c r="T516">
        <v>53</v>
      </c>
      <c r="U516">
        <f t="shared" si="88"/>
        <v>349.23506143398839</v>
      </c>
      <c r="V516">
        <f t="shared" si="90"/>
        <v>1</v>
      </c>
      <c r="W516">
        <v>133</v>
      </c>
      <c r="AB516">
        <v>153</v>
      </c>
      <c r="AC516" t="s">
        <v>169</v>
      </c>
      <c r="AD516">
        <v>42</v>
      </c>
      <c r="AE516">
        <f t="shared" si="89"/>
        <v>184.99908988354849</v>
      </c>
      <c r="AF516">
        <f t="shared" si="91"/>
        <v>4</v>
      </c>
      <c r="AH516">
        <v>153</v>
      </c>
      <c r="AI516" t="s">
        <v>487</v>
      </c>
      <c r="AJ516">
        <v>45</v>
      </c>
      <c r="AK516">
        <f t="shared" si="92"/>
        <v>220.00279814001337</v>
      </c>
      <c r="AL516">
        <f>ABS(AJ516-AJ515)</f>
        <v>4</v>
      </c>
    </row>
    <row r="517" spans="1:38" x14ac:dyDescent="0.2">
      <c r="A517">
        <f t="shared" ref="A517:A580" si="93">A516+0.25</f>
        <v>128.25</v>
      </c>
      <c r="E517">
        <f t="shared" ref="E517:E580" si="94">E516+0.25</f>
        <v>128.25</v>
      </c>
      <c r="I517">
        <f t="shared" ref="I517:I580" si="95">I516+0.25</f>
        <v>128.25</v>
      </c>
      <c r="M517">
        <f t="shared" ref="M517:M580" si="96">M516+0.25</f>
        <v>128.25</v>
      </c>
      <c r="R517">
        <v>135</v>
      </c>
      <c r="S517" t="s">
        <v>246</v>
      </c>
      <c r="T517">
        <v>65</v>
      </c>
      <c r="U517">
        <f t="shared" si="88"/>
        <v>698.47728762097279</v>
      </c>
      <c r="V517">
        <f t="shared" si="90"/>
        <v>12</v>
      </c>
      <c r="W517">
        <v>135</v>
      </c>
      <c r="AB517">
        <v>155</v>
      </c>
      <c r="AC517" t="s">
        <v>28</v>
      </c>
      <c r="AD517">
        <v>38</v>
      </c>
      <c r="AE517">
        <f t="shared" si="89"/>
        <v>146.83337288738056</v>
      </c>
      <c r="AF517">
        <f t="shared" si="91"/>
        <v>4</v>
      </c>
      <c r="AH517">
        <v>155</v>
      </c>
      <c r="AI517" t="s">
        <v>318</v>
      </c>
      <c r="AJ517">
        <v>41</v>
      </c>
      <c r="AK517">
        <f t="shared" si="92"/>
        <v>174.61573954711864</v>
      </c>
      <c r="AL517">
        <f>ABS(AJ517-AJ516)</f>
        <v>4</v>
      </c>
    </row>
    <row r="518" spans="1:38" x14ac:dyDescent="0.2">
      <c r="A518">
        <f t="shared" si="93"/>
        <v>128.5</v>
      </c>
      <c r="B518" t="s">
        <v>239</v>
      </c>
      <c r="C518">
        <v>54</v>
      </c>
      <c r="D518">
        <f>16.35117682*1.059464^C518</f>
        <v>370.00197512709912</v>
      </c>
      <c r="E518">
        <f t="shared" si="94"/>
        <v>128.5</v>
      </c>
      <c r="F518" t="s">
        <v>47</v>
      </c>
      <c r="G518">
        <v>47</v>
      </c>
      <c r="H518">
        <f>16.35117682*1.059464^G518</f>
        <v>246.94521361646048</v>
      </c>
      <c r="I518">
        <f t="shared" si="95"/>
        <v>128.5</v>
      </c>
      <c r="M518">
        <f t="shared" si="96"/>
        <v>128.5</v>
      </c>
      <c r="R518">
        <v>137</v>
      </c>
      <c r="S518" t="s">
        <v>246</v>
      </c>
      <c r="T518">
        <v>65</v>
      </c>
      <c r="U518">
        <f t="shared" si="88"/>
        <v>698.47728762097279</v>
      </c>
      <c r="V518">
        <f t="shared" si="90"/>
        <v>0</v>
      </c>
      <c r="W518">
        <v>137</v>
      </c>
      <c r="AB518">
        <v>157</v>
      </c>
      <c r="AC518" t="s">
        <v>170</v>
      </c>
      <c r="AD518">
        <v>37</v>
      </c>
      <c r="AE518">
        <f t="shared" si="89"/>
        <v>138.5921304427338</v>
      </c>
      <c r="AF518">
        <f t="shared" si="91"/>
        <v>1</v>
      </c>
      <c r="AH518">
        <v>157</v>
      </c>
      <c r="AI518" t="s">
        <v>318</v>
      </c>
      <c r="AJ518">
        <v>41</v>
      </c>
      <c r="AK518">
        <f t="shared" si="92"/>
        <v>174.61573954711864</v>
      </c>
      <c r="AL518">
        <f>ABS(AJ518-AJ517)</f>
        <v>0</v>
      </c>
    </row>
    <row r="519" spans="1:38" x14ac:dyDescent="0.2">
      <c r="A519">
        <f t="shared" si="93"/>
        <v>128.75</v>
      </c>
      <c r="E519">
        <f t="shared" si="94"/>
        <v>128.75</v>
      </c>
      <c r="I519">
        <f t="shared" si="95"/>
        <v>128.75</v>
      </c>
      <c r="M519">
        <f t="shared" si="96"/>
        <v>128.75</v>
      </c>
      <c r="R519">
        <v>139</v>
      </c>
      <c r="S519" t="s">
        <v>246</v>
      </c>
      <c r="T519">
        <v>65</v>
      </c>
      <c r="U519">
        <f t="shared" si="88"/>
        <v>698.47728762097279</v>
      </c>
      <c r="V519">
        <f t="shared" si="90"/>
        <v>0</v>
      </c>
      <c r="W519">
        <v>139</v>
      </c>
      <c r="AB519">
        <v>159</v>
      </c>
      <c r="AC519" t="s">
        <v>412</v>
      </c>
      <c r="AD519">
        <v>35</v>
      </c>
      <c r="AE519">
        <f t="shared" si="89"/>
        <v>123.4713402663609</v>
      </c>
      <c r="AF519">
        <f t="shared" si="91"/>
        <v>2</v>
      </c>
      <c r="AH519">
        <v>159</v>
      </c>
    </row>
    <row r="520" spans="1:38" x14ac:dyDescent="0.2">
      <c r="A520">
        <f t="shared" si="93"/>
        <v>129</v>
      </c>
      <c r="B520" t="s">
        <v>480</v>
      </c>
      <c r="C520">
        <v>50</v>
      </c>
      <c r="D520">
        <f>16.35117682*1.059464^C520</f>
        <v>293.66975814369101</v>
      </c>
      <c r="E520">
        <f t="shared" si="94"/>
        <v>129</v>
      </c>
      <c r="I520">
        <f t="shared" si="95"/>
        <v>129</v>
      </c>
      <c r="J520" t="s">
        <v>69</v>
      </c>
      <c r="K520">
        <v>38</v>
      </c>
      <c r="L520">
        <f>16.35117682*1.059464^K520</f>
        <v>146.83337288738056</v>
      </c>
      <c r="M520">
        <f t="shared" si="96"/>
        <v>129</v>
      </c>
      <c r="R520">
        <v>141</v>
      </c>
      <c r="S520" t="s">
        <v>166</v>
      </c>
      <c r="T520">
        <v>66</v>
      </c>
      <c r="U520">
        <f t="shared" si="88"/>
        <v>740.01154105206626</v>
      </c>
      <c r="V520">
        <f t="shared" si="90"/>
        <v>1</v>
      </c>
      <c r="W520">
        <v>141</v>
      </c>
      <c r="AB520">
        <v>161</v>
      </c>
      <c r="AC520" t="s">
        <v>45</v>
      </c>
      <c r="AD520">
        <v>31</v>
      </c>
      <c r="AE520">
        <f t="shared" si="89"/>
        <v>97.998932630681253</v>
      </c>
      <c r="AF520">
        <f t="shared" si="91"/>
        <v>4</v>
      </c>
      <c r="AH520">
        <v>161</v>
      </c>
    </row>
    <row r="521" spans="1:38" x14ac:dyDescent="0.2">
      <c r="A521">
        <f t="shared" si="93"/>
        <v>129.25</v>
      </c>
      <c r="E521">
        <f t="shared" si="94"/>
        <v>129.25</v>
      </c>
      <c r="I521">
        <f t="shared" si="95"/>
        <v>129.25</v>
      </c>
      <c r="M521">
        <f t="shared" si="96"/>
        <v>129.25</v>
      </c>
      <c r="R521">
        <v>143</v>
      </c>
      <c r="S521" t="s">
        <v>245</v>
      </c>
      <c r="T521">
        <v>67</v>
      </c>
      <c r="U521">
        <f t="shared" si="88"/>
        <v>784.01558732918636</v>
      </c>
      <c r="V521">
        <f t="shared" si="90"/>
        <v>1</v>
      </c>
      <c r="W521">
        <v>143</v>
      </c>
      <c r="AB521">
        <v>163</v>
      </c>
      <c r="AC521" t="s">
        <v>389</v>
      </c>
      <c r="AD521">
        <v>28</v>
      </c>
      <c r="AE521">
        <f t="shared" si="89"/>
        <v>82.406739821087044</v>
      </c>
      <c r="AF521">
        <f t="shared" si="91"/>
        <v>3</v>
      </c>
      <c r="AH521">
        <v>163</v>
      </c>
    </row>
    <row r="522" spans="1:38" x14ac:dyDescent="0.2">
      <c r="A522">
        <f t="shared" si="93"/>
        <v>129.5</v>
      </c>
      <c r="B522" t="s">
        <v>239</v>
      </c>
      <c r="C522">
        <v>54</v>
      </c>
      <c r="D522">
        <f>16.35117682*1.059464^C522</f>
        <v>370.00197512709912</v>
      </c>
      <c r="E522">
        <f t="shared" si="94"/>
        <v>129.5</v>
      </c>
      <c r="F522" t="s">
        <v>482</v>
      </c>
      <c r="G522">
        <v>53</v>
      </c>
      <c r="H522">
        <f>16.35117682*1.059464^G522</f>
        <v>349.23506143398839</v>
      </c>
      <c r="I522">
        <f t="shared" si="95"/>
        <v>129.5</v>
      </c>
      <c r="J522" t="s">
        <v>47</v>
      </c>
      <c r="K522">
        <v>47</v>
      </c>
      <c r="L522">
        <f>16.35117682*1.059464^K522</f>
        <v>246.94521361646048</v>
      </c>
      <c r="M522">
        <f t="shared" si="96"/>
        <v>129.5</v>
      </c>
      <c r="R522">
        <v>144.75</v>
      </c>
      <c r="S522" t="s">
        <v>240</v>
      </c>
      <c r="T522">
        <v>60</v>
      </c>
      <c r="U522">
        <f t="shared" si="88"/>
        <v>523.26449507501752</v>
      </c>
      <c r="V522">
        <f t="shared" si="90"/>
        <v>7</v>
      </c>
      <c r="W522">
        <v>144.75</v>
      </c>
      <c r="AB522">
        <v>165</v>
      </c>
      <c r="AC522" t="s">
        <v>388</v>
      </c>
      <c r="AD522">
        <v>29</v>
      </c>
      <c r="AE522">
        <f t="shared" si="89"/>
        <v>87.306974197808145</v>
      </c>
      <c r="AF522">
        <f t="shared" si="91"/>
        <v>1</v>
      </c>
      <c r="AH522">
        <v>165</v>
      </c>
    </row>
    <row r="523" spans="1:38" x14ac:dyDescent="0.2">
      <c r="A523">
        <f t="shared" si="93"/>
        <v>129.75</v>
      </c>
      <c r="E523">
        <f t="shared" si="94"/>
        <v>129.75</v>
      </c>
      <c r="I523">
        <f t="shared" si="95"/>
        <v>129.75</v>
      </c>
      <c r="M523">
        <f t="shared" si="96"/>
        <v>129.75</v>
      </c>
      <c r="R523">
        <v>146.25</v>
      </c>
      <c r="S523" t="s">
        <v>240</v>
      </c>
      <c r="T523">
        <v>60</v>
      </c>
      <c r="U523">
        <f t="shared" si="88"/>
        <v>523.26449507501752</v>
      </c>
      <c r="V523">
        <f t="shared" si="90"/>
        <v>0</v>
      </c>
      <c r="W523">
        <v>146.25</v>
      </c>
      <c r="AB523">
        <v>166.75</v>
      </c>
      <c r="AC523" t="s">
        <v>27</v>
      </c>
      <c r="AD523">
        <v>36</v>
      </c>
      <c r="AE523">
        <f t="shared" si="89"/>
        <v>130.81344004395982</v>
      </c>
      <c r="AF523">
        <f t="shared" si="91"/>
        <v>7</v>
      </c>
      <c r="AH523">
        <v>166.75</v>
      </c>
    </row>
    <row r="524" spans="1:38" x14ac:dyDescent="0.2">
      <c r="A524">
        <f t="shared" si="93"/>
        <v>130</v>
      </c>
      <c r="B524" t="s">
        <v>479</v>
      </c>
      <c r="C524">
        <v>48</v>
      </c>
      <c r="D524">
        <f>16.35117682*1.059464^C524</f>
        <v>261.62956379894968</v>
      </c>
      <c r="E524">
        <f t="shared" si="94"/>
        <v>130</v>
      </c>
      <c r="I524">
        <f t="shared" si="95"/>
        <v>130</v>
      </c>
      <c r="J524" t="s">
        <v>276</v>
      </c>
      <c r="K524">
        <v>36</v>
      </c>
      <c r="L524">
        <f>16.35117682*1.059464^K524</f>
        <v>130.81344004395982</v>
      </c>
      <c r="M524">
        <f t="shared" si="96"/>
        <v>130</v>
      </c>
      <c r="R524">
        <v>147.75</v>
      </c>
      <c r="S524" t="s">
        <v>240</v>
      </c>
      <c r="T524">
        <v>60</v>
      </c>
      <c r="U524">
        <f t="shared" ref="U524:U534" si="97">16.35117682*1.059464^T524</f>
        <v>523.26449507501752</v>
      </c>
      <c r="V524">
        <f t="shared" si="90"/>
        <v>0</v>
      </c>
      <c r="W524">
        <v>147.75</v>
      </c>
      <c r="AB524">
        <v>170</v>
      </c>
      <c r="AC524" t="s">
        <v>243</v>
      </c>
      <c r="AD524">
        <v>57</v>
      </c>
      <c r="AE524">
        <f t="shared" ref="AE524:AE525" si="98">16.35117682*1.059464^AD524</f>
        <v>440.01010976071973</v>
      </c>
      <c r="AF524">
        <f t="shared" si="91"/>
        <v>21</v>
      </c>
      <c r="AH524">
        <v>170</v>
      </c>
    </row>
    <row r="525" spans="1:38" x14ac:dyDescent="0.2">
      <c r="A525">
        <f t="shared" si="93"/>
        <v>130.25</v>
      </c>
      <c r="E525">
        <f t="shared" si="94"/>
        <v>130.25</v>
      </c>
      <c r="I525">
        <f t="shared" si="95"/>
        <v>130.25</v>
      </c>
      <c r="M525">
        <f t="shared" si="96"/>
        <v>130.25</v>
      </c>
      <c r="R525">
        <v>150.75</v>
      </c>
      <c r="S525" t="s">
        <v>239</v>
      </c>
      <c r="T525">
        <v>55</v>
      </c>
      <c r="U525">
        <f t="shared" si="97"/>
        <v>392.00377257605692</v>
      </c>
      <c r="V525">
        <f t="shared" ref="V525:V534" si="99">ABS(T525-T524)</f>
        <v>5</v>
      </c>
      <c r="W525">
        <v>150.75</v>
      </c>
      <c r="AB525">
        <v>172</v>
      </c>
      <c r="AC525" t="s">
        <v>240</v>
      </c>
      <c r="AD525">
        <v>60</v>
      </c>
      <c r="AE525">
        <f t="shared" si="98"/>
        <v>523.26449507501752</v>
      </c>
      <c r="AF525">
        <f t="shared" si="91"/>
        <v>3</v>
      </c>
      <c r="AH525">
        <v>172</v>
      </c>
      <c r="AI525" t="s">
        <v>25</v>
      </c>
      <c r="AJ525">
        <v>64</v>
      </c>
      <c r="AK525">
        <f>16.35117682*1.059464^AJ525</f>
        <v>659.27420622217721</v>
      </c>
      <c r="AL525">
        <f>ABS(AJ525-AD524)</f>
        <v>7</v>
      </c>
    </row>
    <row r="526" spans="1:38" x14ac:dyDescent="0.2">
      <c r="A526">
        <f t="shared" si="93"/>
        <v>130.5</v>
      </c>
      <c r="B526" t="s">
        <v>481</v>
      </c>
      <c r="C526">
        <v>52</v>
      </c>
      <c r="D526">
        <f>16.35117682*1.059464^C526</f>
        <v>329.63372180082422</v>
      </c>
      <c r="E526">
        <f t="shared" si="94"/>
        <v>130.5</v>
      </c>
      <c r="F526" t="s">
        <v>239</v>
      </c>
      <c r="G526">
        <v>55</v>
      </c>
      <c r="H526">
        <f>16.35117682*1.059464^G526</f>
        <v>392.00377257605692</v>
      </c>
      <c r="I526">
        <f t="shared" si="95"/>
        <v>130.5</v>
      </c>
      <c r="M526">
        <f t="shared" si="96"/>
        <v>130.5</v>
      </c>
      <c r="R526">
        <v>152.25</v>
      </c>
      <c r="S526" t="s">
        <v>482</v>
      </c>
      <c r="T526">
        <v>53</v>
      </c>
      <c r="U526">
        <f t="shared" si="97"/>
        <v>349.23506143398839</v>
      </c>
      <c r="V526">
        <f t="shared" si="99"/>
        <v>2</v>
      </c>
      <c r="W526">
        <v>152.25</v>
      </c>
    </row>
    <row r="527" spans="1:38" x14ac:dyDescent="0.2">
      <c r="A527">
        <f t="shared" si="93"/>
        <v>130.75</v>
      </c>
      <c r="E527">
        <f t="shared" si="94"/>
        <v>130.75</v>
      </c>
      <c r="I527">
        <f t="shared" si="95"/>
        <v>130.75</v>
      </c>
      <c r="M527">
        <f t="shared" si="96"/>
        <v>130.75</v>
      </c>
      <c r="R527">
        <v>154.25</v>
      </c>
      <c r="S527" t="s">
        <v>480</v>
      </c>
      <c r="T527">
        <v>50</v>
      </c>
      <c r="U527">
        <f t="shared" si="97"/>
        <v>293.66975814369101</v>
      </c>
      <c r="V527">
        <f t="shared" si="99"/>
        <v>3</v>
      </c>
      <c r="W527">
        <v>154.25</v>
      </c>
    </row>
    <row r="528" spans="1:38" x14ac:dyDescent="0.2">
      <c r="A528">
        <f t="shared" si="93"/>
        <v>131</v>
      </c>
      <c r="E528">
        <f t="shared" si="94"/>
        <v>131</v>
      </c>
      <c r="I528">
        <f t="shared" si="95"/>
        <v>131</v>
      </c>
      <c r="M528">
        <f t="shared" si="96"/>
        <v>131</v>
      </c>
      <c r="R528">
        <v>155.75</v>
      </c>
      <c r="S528" t="s">
        <v>47</v>
      </c>
      <c r="T528">
        <v>47</v>
      </c>
      <c r="U528">
        <f t="shared" si="97"/>
        <v>246.94521361646048</v>
      </c>
      <c r="V528">
        <f t="shared" si="99"/>
        <v>3</v>
      </c>
      <c r="W528">
        <v>155.75</v>
      </c>
    </row>
    <row r="529" spans="1:41" x14ac:dyDescent="0.2">
      <c r="A529">
        <f t="shared" si="93"/>
        <v>131.25</v>
      </c>
      <c r="E529">
        <f t="shared" si="94"/>
        <v>131.25</v>
      </c>
      <c r="I529">
        <f t="shared" si="95"/>
        <v>131.25</v>
      </c>
      <c r="M529">
        <f t="shared" si="96"/>
        <v>131.25</v>
      </c>
      <c r="R529">
        <v>158.75</v>
      </c>
      <c r="S529" t="s">
        <v>29</v>
      </c>
      <c r="T529">
        <v>40</v>
      </c>
      <c r="U529">
        <f t="shared" si="97"/>
        <v>164.8151702626221</v>
      </c>
      <c r="V529">
        <f t="shared" si="99"/>
        <v>7</v>
      </c>
      <c r="W529">
        <v>158.75</v>
      </c>
    </row>
    <row r="530" spans="1:41" x14ac:dyDescent="0.2">
      <c r="A530">
        <f t="shared" si="93"/>
        <v>131.5</v>
      </c>
      <c r="B530" t="s">
        <v>46</v>
      </c>
      <c r="C530">
        <v>45</v>
      </c>
      <c r="D530">
        <f>16.35117682*1.059464^C530</f>
        <v>220.00279814001337</v>
      </c>
      <c r="E530">
        <f t="shared" si="94"/>
        <v>131.5</v>
      </c>
      <c r="I530">
        <f t="shared" si="95"/>
        <v>131.5</v>
      </c>
      <c r="J530" t="s">
        <v>277</v>
      </c>
      <c r="K530">
        <v>33</v>
      </c>
      <c r="L530">
        <f>16.35117682*1.059464^K530</f>
        <v>110.00027071140791</v>
      </c>
      <c r="M530">
        <f t="shared" si="96"/>
        <v>131.5</v>
      </c>
      <c r="R530">
        <v>160.25</v>
      </c>
      <c r="S530" t="s">
        <v>29</v>
      </c>
      <c r="T530">
        <v>40</v>
      </c>
      <c r="U530">
        <f t="shared" si="97"/>
        <v>164.8151702626221</v>
      </c>
      <c r="V530">
        <f t="shared" si="99"/>
        <v>0</v>
      </c>
      <c r="W530">
        <v>160.25</v>
      </c>
    </row>
    <row r="531" spans="1:41" x14ac:dyDescent="0.2">
      <c r="A531">
        <f t="shared" si="93"/>
        <v>131.75</v>
      </c>
      <c r="E531">
        <f t="shared" si="94"/>
        <v>131.75</v>
      </c>
      <c r="I531">
        <f t="shared" si="95"/>
        <v>131.75</v>
      </c>
      <c r="M531">
        <f t="shared" si="96"/>
        <v>131.75</v>
      </c>
      <c r="R531">
        <v>162.25</v>
      </c>
      <c r="S531" t="s">
        <v>27</v>
      </c>
      <c r="T531">
        <v>36</v>
      </c>
      <c r="U531">
        <f t="shared" si="97"/>
        <v>130.81344004395982</v>
      </c>
      <c r="V531">
        <f t="shared" si="99"/>
        <v>4</v>
      </c>
      <c r="W531">
        <v>162.25</v>
      </c>
    </row>
    <row r="532" spans="1:41" x14ac:dyDescent="0.2">
      <c r="A532">
        <f t="shared" si="93"/>
        <v>132</v>
      </c>
      <c r="B532" t="s">
        <v>292</v>
      </c>
      <c r="C532">
        <v>46</v>
      </c>
      <c r="D532">
        <f>16.35117682*1.059464^C532</f>
        <v>233.08504452861115</v>
      </c>
      <c r="E532">
        <f t="shared" si="94"/>
        <v>132</v>
      </c>
      <c r="I532">
        <f t="shared" si="95"/>
        <v>132</v>
      </c>
      <c r="J532" t="s">
        <v>68</v>
      </c>
      <c r="K532">
        <v>34</v>
      </c>
      <c r="L532">
        <f>16.35117682*1.059464^K532</f>
        <v>116.54132680899107</v>
      </c>
      <c r="M532">
        <f t="shared" si="96"/>
        <v>132</v>
      </c>
      <c r="R532">
        <v>163.75</v>
      </c>
      <c r="S532" t="s">
        <v>27</v>
      </c>
      <c r="T532">
        <v>36</v>
      </c>
      <c r="U532">
        <f t="shared" si="97"/>
        <v>130.81344004395982</v>
      </c>
      <c r="V532">
        <f t="shared" si="99"/>
        <v>0</v>
      </c>
      <c r="W532">
        <v>163.75</v>
      </c>
    </row>
    <row r="533" spans="1:41" x14ac:dyDescent="0.2">
      <c r="A533">
        <f t="shared" si="93"/>
        <v>132.25</v>
      </c>
      <c r="E533">
        <f t="shared" si="94"/>
        <v>132.25</v>
      </c>
      <c r="I533">
        <f t="shared" si="95"/>
        <v>132.25</v>
      </c>
      <c r="M533">
        <f t="shared" si="96"/>
        <v>132.25</v>
      </c>
      <c r="R533">
        <v>169</v>
      </c>
      <c r="S533" t="s">
        <v>480</v>
      </c>
      <c r="T533">
        <v>50</v>
      </c>
      <c r="U533">
        <f t="shared" si="97"/>
        <v>293.66975814369101</v>
      </c>
      <c r="V533">
        <f t="shared" si="99"/>
        <v>14</v>
      </c>
      <c r="W533">
        <v>169</v>
      </c>
    </row>
    <row r="534" spans="1:41" x14ac:dyDescent="0.2">
      <c r="A534">
        <f t="shared" si="93"/>
        <v>132.5</v>
      </c>
      <c r="B534" t="s">
        <v>480</v>
      </c>
      <c r="C534">
        <v>50</v>
      </c>
      <c r="D534">
        <f>16.35117682*1.059464^C534</f>
        <v>293.66975814369101</v>
      </c>
      <c r="E534">
        <f t="shared" si="94"/>
        <v>132.5</v>
      </c>
      <c r="I534">
        <f t="shared" si="95"/>
        <v>132.5</v>
      </c>
      <c r="J534" t="s">
        <v>278</v>
      </c>
      <c r="K534">
        <v>38</v>
      </c>
      <c r="L534">
        <f>16.35117682*1.059464^K534</f>
        <v>146.83337288738056</v>
      </c>
      <c r="M534">
        <f t="shared" si="96"/>
        <v>132.5</v>
      </c>
      <c r="R534">
        <v>171.5</v>
      </c>
      <c r="S534" t="s">
        <v>245</v>
      </c>
      <c r="T534">
        <v>67</v>
      </c>
      <c r="U534">
        <f t="shared" si="97"/>
        <v>784.01558732918636</v>
      </c>
      <c r="V534">
        <f t="shared" si="99"/>
        <v>17</v>
      </c>
      <c r="W534">
        <v>171.5</v>
      </c>
    </row>
    <row r="535" spans="1:41" x14ac:dyDescent="0.2">
      <c r="A535">
        <f t="shared" si="93"/>
        <v>132.75</v>
      </c>
      <c r="E535">
        <f t="shared" si="94"/>
        <v>132.75</v>
      </c>
      <c r="I535">
        <f t="shared" si="95"/>
        <v>132.75</v>
      </c>
      <c r="M535">
        <f t="shared" si="96"/>
        <v>132.75</v>
      </c>
    </row>
    <row r="536" spans="1:41" x14ac:dyDescent="0.2">
      <c r="A536">
        <f t="shared" si="93"/>
        <v>133</v>
      </c>
      <c r="B536" t="s">
        <v>482</v>
      </c>
      <c r="C536">
        <v>53</v>
      </c>
      <c r="D536">
        <f>16.35117682*1.059464^C536</f>
        <v>349.23506143398839</v>
      </c>
      <c r="E536">
        <f t="shared" si="94"/>
        <v>133</v>
      </c>
      <c r="I536">
        <f t="shared" si="95"/>
        <v>133</v>
      </c>
      <c r="J536" t="s">
        <v>279</v>
      </c>
      <c r="K536">
        <v>41</v>
      </c>
      <c r="L536">
        <f>16.35117682*1.059464^K536</f>
        <v>174.61573954711864</v>
      </c>
      <c r="M536">
        <f t="shared" si="96"/>
        <v>133</v>
      </c>
      <c r="R536" t="s">
        <v>258</v>
      </c>
      <c r="W536" t="s">
        <v>157</v>
      </c>
      <c r="AB536" t="s">
        <v>26</v>
      </c>
      <c r="AH536" t="s">
        <v>158</v>
      </c>
    </row>
    <row r="537" spans="1:41" x14ac:dyDescent="0.2">
      <c r="A537">
        <f t="shared" si="93"/>
        <v>133.25</v>
      </c>
      <c r="E537">
        <f t="shared" si="94"/>
        <v>133.25</v>
      </c>
      <c r="I537">
        <f t="shared" si="95"/>
        <v>133.25</v>
      </c>
      <c r="M537">
        <f t="shared" si="96"/>
        <v>133.25</v>
      </c>
      <c r="R537" t="s">
        <v>475</v>
      </c>
      <c r="S537" t="s">
        <v>350</v>
      </c>
      <c r="T537" t="s">
        <v>351</v>
      </c>
      <c r="U537" t="s">
        <v>160</v>
      </c>
      <c r="V537" t="s">
        <v>399</v>
      </c>
      <c r="W537" t="s">
        <v>475</v>
      </c>
      <c r="X537" t="s">
        <v>384</v>
      </c>
      <c r="Y537" t="s">
        <v>351</v>
      </c>
      <c r="Z537" t="s">
        <v>160</v>
      </c>
      <c r="AA537" t="s">
        <v>399</v>
      </c>
      <c r="AB537" t="s">
        <v>475</v>
      </c>
      <c r="AC537" t="s">
        <v>384</v>
      </c>
      <c r="AD537" t="s">
        <v>351</v>
      </c>
      <c r="AE537" t="s">
        <v>160</v>
      </c>
      <c r="AF537" t="s">
        <v>399</v>
      </c>
      <c r="AH537" t="s">
        <v>159</v>
      </c>
      <c r="AI537" t="s">
        <v>350</v>
      </c>
      <c r="AJ537" t="s">
        <v>351</v>
      </c>
      <c r="AK537" t="s">
        <v>160</v>
      </c>
      <c r="AN537" t="s">
        <v>401</v>
      </c>
    </row>
    <row r="538" spans="1:41" x14ac:dyDescent="0.2">
      <c r="A538">
        <f t="shared" si="93"/>
        <v>133.5</v>
      </c>
      <c r="B538" t="s">
        <v>239</v>
      </c>
      <c r="C538">
        <v>55</v>
      </c>
      <c r="D538">
        <f>16.35117682*1.059464^C538</f>
        <v>392.00377257605692</v>
      </c>
      <c r="E538">
        <f t="shared" si="94"/>
        <v>133.5</v>
      </c>
      <c r="I538">
        <f t="shared" si="95"/>
        <v>133.5</v>
      </c>
      <c r="J538" t="s">
        <v>328</v>
      </c>
      <c r="K538">
        <v>43</v>
      </c>
      <c r="L538">
        <f>16.35117682*1.059464^K538</f>
        <v>195.99987576438383</v>
      </c>
      <c r="M538">
        <f t="shared" si="96"/>
        <v>133.5</v>
      </c>
      <c r="R538">
        <v>0</v>
      </c>
      <c r="S538" t="s">
        <v>255</v>
      </c>
      <c r="T538">
        <v>64</v>
      </c>
      <c r="U538">
        <f t="shared" ref="U538:U575" si="100">16.35117682*1.059464^T538</f>
        <v>659.27420622217721</v>
      </c>
      <c r="W538">
        <v>0</v>
      </c>
      <c r="AB538">
        <v>4</v>
      </c>
      <c r="AC538" t="s">
        <v>480</v>
      </c>
      <c r="AD538">
        <v>50</v>
      </c>
      <c r="AE538">
        <f t="shared" ref="AE538:AE570" si="101">16.35117682*1.059464^AD538</f>
        <v>293.66975814369101</v>
      </c>
      <c r="AH538">
        <v>4</v>
      </c>
      <c r="AI538" t="s">
        <v>390</v>
      </c>
      <c r="AJ538">
        <v>53</v>
      </c>
      <c r="AK538">
        <f>16.35117682*1.059464^AJ538</f>
        <v>349.23506143398839</v>
      </c>
    </row>
    <row r="539" spans="1:41" x14ac:dyDescent="0.2">
      <c r="A539">
        <f t="shared" si="93"/>
        <v>133.75</v>
      </c>
      <c r="E539">
        <f t="shared" si="94"/>
        <v>133.75</v>
      </c>
      <c r="I539">
        <f t="shared" si="95"/>
        <v>133.75</v>
      </c>
      <c r="M539">
        <f t="shared" si="96"/>
        <v>133.75</v>
      </c>
      <c r="R539">
        <v>3</v>
      </c>
      <c r="S539" t="s">
        <v>255</v>
      </c>
      <c r="T539">
        <v>64</v>
      </c>
      <c r="U539">
        <f t="shared" si="100"/>
        <v>659.27420622217721</v>
      </c>
      <c r="V539">
        <f t="shared" ref="V539:V575" si="102">ABS(T539-T538)</f>
        <v>0</v>
      </c>
      <c r="W539">
        <v>3</v>
      </c>
      <c r="AB539">
        <v>8</v>
      </c>
      <c r="AC539" t="s">
        <v>479</v>
      </c>
      <c r="AD539">
        <v>48</v>
      </c>
      <c r="AE539">
        <f t="shared" si="101"/>
        <v>261.62956379894968</v>
      </c>
      <c r="AF539">
        <f t="shared" ref="AF539:AF570" si="103">ABS(AD539-AD538)</f>
        <v>2</v>
      </c>
      <c r="AH539">
        <v>8</v>
      </c>
      <c r="AI539" t="s">
        <v>222</v>
      </c>
      <c r="AJ539">
        <v>51</v>
      </c>
      <c r="AK539">
        <f>16.35117682*1.059464^AJ539</f>
        <v>311.13253664194741</v>
      </c>
      <c r="AL539">
        <f>ABS(AJ539-AJ538)</f>
        <v>2</v>
      </c>
      <c r="AN539" t="s">
        <v>355</v>
      </c>
      <c r="AO539" t="s">
        <v>396</v>
      </c>
    </row>
    <row r="540" spans="1:41" x14ac:dyDescent="0.2">
      <c r="A540">
        <f t="shared" si="93"/>
        <v>134</v>
      </c>
      <c r="B540" t="s">
        <v>411</v>
      </c>
      <c r="C540">
        <v>58</v>
      </c>
      <c r="D540">
        <f>16.35117682*1.059464^C540</f>
        <v>466.17487092753117</v>
      </c>
      <c r="E540">
        <f t="shared" si="94"/>
        <v>134</v>
      </c>
      <c r="I540">
        <f t="shared" si="95"/>
        <v>134</v>
      </c>
      <c r="J540" t="s">
        <v>325</v>
      </c>
      <c r="K540">
        <v>46</v>
      </c>
      <c r="L540">
        <f>16.35117682*1.059464^K540</f>
        <v>233.08504452861115</v>
      </c>
      <c r="M540">
        <f t="shared" si="96"/>
        <v>134</v>
      </c>
      <c r="R540">
        <v>6</v>
      </c>
      <c r="S540" t="s">
        <v>243</v>
      </c>
      <c r="T540">
        <v>57</v>
      </c>
      <c r="U540">
        <f t="shared" si="100"/>
        <v>440.01010976071973</v>
      </c>
      <c r="V540">
        <f t="shared" si="102"/>
        <v>7</v>
      </c>
      <c r="W540">
        <v>6</v>
      </c>
      <c r="AB540">
        <v>12</v>
      </c>
      <c r="AC540" t="s">
        <v>29</v>
      </c>
      <c r="AD540">
        <v>40</v>
      </c>
      <c r="AE540">
        <f t="shared" si="101"/>
        <v>164.8151702626221</v>
      </c>
      <c r="AF540">
        <f t="shared" si="103"/>
        <v>8</v>
      </c>
      <c r="AH540">
        <v>12</v>
      </c>
      <c r="AI540" t="s">
        <v>444</v>
      </c>
      <c r="AJ540">
        <v>43</v>
      </c>
      <c r="AK540">
        <f>16.35117682*1.059464^AJ540</f>
        <v>195.99987576438383</v>
      </c>
      <c r="AL540">
        <f>ABS(AJ540-AJ539)</f>
        <v>8</v>
      </c>
      <c r="AN540">
        <f>SUM(AF539:AF570,AL539:AL540,AL552:AL554,AL565:AL567)</f>
        <v>339</v>
      </c>
      <c r="AO540">
        <f>(570-537)+(3)*3</f>
        <v>42</v>
      </c>
    </row>
    <row r="541" spans="1:41" x14ac:dyDescent="0.2">
      <c r="A541">
        <f t="shared" si="93"/>
        <v>134.25</v>
      </c>
      <c r="E541">
        <f t="shared" si="94"/>
        <v>134.25</v>
      </c>
      <c r="I541">
        <f t="shared" si="95"/>
        <v>134.25</v>
      </c>
      <c r="M541">
        <f t="shared" si="96"/>
        <v>134.25</v>
      </c>
      <c r="R541">
        <v>10.75</v>
      </c>
      <c r="S541" t="s">
        <v>481</v>
      </c>
      <c r="T541">
        <v>52</v>
      </c>
      <c r="U541">
        <f t="shared" si="100"/>
        <v>329.63372180082422</v>
      </c>
      <c r="V541">
        <f t="shared" si="102"/>
        <v>5</v>
      </c>
      <c r="W541">
        <v>10.75</v>
      </c>
      <c r="AB541">
        <v>16</v>
      </c>
      <c r="AC541" t="s">
        <v>27</v>
      </c>
      <c r="AD541">
        <v>36</v>
      </c>
      <c r="AE541">
        <f t="shared" si="101"/>
        <v>130.81344004395982</v>
      </c>
      <c r="AF541">
        <f t="shared" si="103"/>
        <v>4</v>
      </c>
      <c r="AH541">
        <v>16</v>
      </c>
    </row>
    <row r="542" spans="1:41" x14ac:dyDescent="0.2">
      <c r="A542">
        <f t="shared" si="93"/>
        <v>134.5</v>
      </c>
      <c r="B542" t="s">
        <v>242</v>
      </c>
      <c r="C542">
        <v>62</v>
      </c>
      <c r="D542">
        <f>16.35117682*1.059464^C542</f>
        <v>587.34554108704231</v>
      </c>
      <c r="E542">
        <f t="shared" si="94"/>
        <v>134.5</v>
      </c>
      <c r="I542">
        <f t="shared" si="95"/>
        <v>134.5</v>
      </c>
      <c r="J542" t="s">
        <v>70</v>
      </c>
      <c r="K542">
        <v>50</v>
      </c>
      <c r="L542">
        <f>16.35117682*1.059464^K542</f>
        <v>293.66975814369101</v>
      </c>
      <c r="M542">
        <f t="shared" si="96"/>
        <v>134.5</v>
      </c>
      <c r="R542">
        <v>14</v>
      </c>
      <c r="S542" t="s">
        <v>44</v>
      </c>
      <c r="T542">
        <v>43</v>
      </c>
      <c r="U542">
        <f t="shared" si="100"/>
        <v>195.99987576438383</v>
      </c>
      <c r="V542">
        <f t="shared" si="102"/>
        <v>9</v>
      </c>
      <c r="W542">
        <v>14</v>
      </c>
      <c r="AB542">
        <v>20</v>
      </c>
      <c r="AC542" t="s">
        <v>388</v>
      </c>
      <c r="AD542">
        <v>29</v>
      </c>
      <c r="AE542">
        <f t="shared" si="101"/>
        <v>87.306974197808145</v>
      </c>
      <c r="AF542">
        <f t="shared" si="103"/>
        <v>7</v>
      </c>
      <c r="AH542">
        <v>20</v>
      </c>
      <c r="AN542" t="s">
        <v>356</v>
      </c>
    </row>
    <row r="543" spans="1:41" x14ac:dyDescent="0.2">
      <c r="A543">
        <f t="shared" si="93"/>
        <v>134.75</v>
      </c>
      <c r="E543">
        <f t="shared" si="94"/>
        <v>134.75</v>
      </c>
      <c r="I543">
        <f t="shared" si="95"/>
        <v>134.75</v>
      </c>
      <c r="M543">
        <f t="shared" si="96"/>
        <v>134.75</v>
      </c>
      <c r="R543">
        <v>18.75</v>
      </c>
      <c r="S543" t="s">
        <v>27</v>
      </c>
      <c r="T543">
        <v>36</v>
      </c>
      <c r="U543">
        <f t="shared" si="100"/>
        <v>130.81344004395982</v>
      </c>
      <c r="V543">
        <f t="shared" si="102"/>
        <v>7</v>
      </c>
      <c r="W543">
        <v>18.75</v>
      </c>
      <c r="AB543">
        <v>24</v>
      </c>
      <c r="AC543" t="s">
        <v>45</v>
      </c>
      <c r="AD543">
        <v>31</v>
      </c>
      <c r="AE543">
        <f t="shared" si="101"/>
        <v>97.998932630681253</v>
      </c>
      <c r="AF543">
        <f t="shared" si="103"/>
        <v>2</v>
      </c>
      <c r="AH543">
        <v>24</v>
      </c>
      <c r="AN543">
        <f>AN540/(42)</f>
        <v>8.0714285714285712</v>
      </c>
    </row>
    <row r="544" spans="1:41" x14ac:dyDescent="0.2">
      <c r="A544">
        <f t="shared" si="93"/>
        <v>135</v>
      </c>
      <c r="B544" t="s">
        <v>246</v>
      </c>
      <c r="C544">
        <v>65</v>
      </c>
      <c r="D544">
        <f>16.35117682*1.059464^C544</f>
        <v>698.47728762097279</v>
      </c>
      <c r="E544">
        <f t="shared" si="94"/>
        <v>135</v>
      </c>
      <c r="I544">
        <f t="shared" si="95"/>
        <v>135</v>
      </c>
      <c r="J544" t="s">
        <v>280</v>
      </c>
      <c r="K544">
        <v>53</v>
      </c>
      <c r="L544">
        <f>16.35117682*1.059464^K544</f>
        <v>349.23506143398839</v>
      </c>
      <c r="M544">
        <f t="shared" si="96"/>
        <v>135</v>
      </c>
      <c r="R544">
        <v>21.75</v>
      </c>
      <c r="S544" t="s">
        <v>27</v>
      </c>
      <c r="T544">
        <v>36</v>
      </c>
      <c r="U544">
        <f t="shared" si="100"/>
        <v>130.81344004395982</v>
      </c>
      <c r="V544">
        <f t="shared" si="102"/>
        <v>0</v>
      </c>
      <c r="W544">
        <v>21.75</v>
      </c>
      <c r="AB544">
        <v>28.75</v>
      </c>
      <c r="AC544" t="s">
        <v>242</v>
      </c>
      <c r="AD544">
        <v>62</v>
      </c>
      <c r="AE544">
        <f t="shared" si="101"/>
        <v>587.34554108704231</v>
      </c>
      <c r="AF544">
        <f t="shared" si="103"/>
        <v>31</v>
      </c>
      <c r="AH544">
        <v>28.75</v>
      </c>
    </row>
    <row r="545" spans="1:41" x14ac:dyDescent="0.2">
      <c r="A545">
        <f t="shared" si="93"/>
        <v>135.25</v>
      </c>
      <c r="E545">
        <f t="shared" si="94"/>
        <v>135.25</v>
      </c>
      <c r="I545">
        <f t="shared" si="95"/>
        <v>135.25</v>
      </c>
      <c r="M545">
        <f t="shared" si="96"/>
        <v>135.25</v>
      </c>
      <c r="R545">
        <v>29.5</v>
      </c>
      <c r="S545" t="s">
        <v>245</v>
      </c>
      <c r="T545">
        <v>67</v>
      </c>
      <c r="U545">
        <f t="shared" si="100"/>
        <v>784.01558732918636</v>
      </c>
      <c r="V545">
        <f t="shared" si="102"/>
        <v>31</v>
      </c>
      <c r="W545">
        <v>29.5</v>
      </c>
      <c r="AB545">
        <v>43.5</v>
      </c>
      <c r="AC545" t="s">
        <v>487</v>
      </c>
      <c r="AD545">
        <v>45</v>
      </c>
      <c r="AE545">
        <f t="shared" si="101"/>
        <v>220.00279814001337</v>
      </c>
      <c r="AF545">
        <f t="shared" si="103"/>
        <v>17</v>
      </c>
      <c r="AH545">
        <v>43.5</v>
      </c>
    </row>
    <row r="546" spans="1:41" x14ac:dyDescent="0.2">
      <c r="A546">
        <f t="shared" si="93"/>
        <v>135.5</v>
      </c>
      <c r="B546" t="s">
        <v>242</v>
      </c>
      <c r="C546">
        <v>62</v>
      </c>
      <c r="D546">
        <f>16.35117682*1.059464^C546</f>
        <v>587.34554108704231</v>
      </c>
      <c r="E546">
        <f t="shared" si="94"/>
        <v>135.5</v>
      </c>
      <c r="I546">
        <f t="shared" si="95"/>
        <v>135.5</v>
      </c>
      <c r="J546" t="s">
        <v>70</v>
      </c>
      <c r="K546">
        <v>50</v>
      </c>
      <c r="L546">
        <f>16.35117682*1.059464^K546</f>
        <v>293.66975814369101</v>
      </c>
      <c r="M546">
        <f t="shared" si="96"/>
        <v>135.5</v>
      </c>
      <c r="R546">
        <v>41.5</v>
      </c>
      <c r="S546" s="1" t="s">
        <v>244</v>
      </c>
      <c r="T546">
        <v>59</v>
      </c>
      <c r="U546">
        <f t="shared" si="100"/>
        <v>493.89549345236594</v>
      </c>
      <c r="V546">
        <f t="shared" si="102"/>
        <v>8</v>
      </c>
      <c r="W546">
        <v>41.5</v>
      </c>
      <c r="AB546">
        <v>50</v>
      </c>
      <c r="AC546" t="s">
        <v>81</v>
      </c>
      <c r="AD546">
        <v>34</v>
      </c>
      <c r="AE546">
        <f t="shared" si="101"/>
        <v>116.54132680899107</v>
      </c>
      <c r="AF546">
        <f t="shared" si="103"/>
        <v>11</v>
      </c>
      <c r="AH546">
        <v>50</v>
      </c>
      <c r="AN546" t="s">
        <v>402</v>
      </c>
    </row>
    <row r="547" spans="1:41" x14ac:dyDescent="0.2">
      <c r="A547">
        <f t="shared" si="93"/>
        <v>135.75</v>
      </c>
      <c r="E547">
        <f t="shared" si="94"/>
        <v>135.75</v>
      </c>
      <c r="I547">
        <f t="shared" si="95"/>
        <v>135.75</v>
      </c>
      <c r="M547">
        <f t="shared" si="96"/>
        <v>135.75</v>
      </c>
      <c r="R547">
        <v>46.5</v>
      </c>
      <c r="S547" t="s">
        <v>239</v>
      </c>
      <c r="T547">
        <v>55</v>
      </c>
      <c r="U547">
        <f t="shared" si="100"/>
        <v>392.00377257605692</v>
      </c>
      <c r="V547">
        <f t="shared" si="102"/>
        <v>4</v>
      </c>
      <c r="W547">
        <v>46.5</v>
      </c>
      <c r="X547" t="s">
        <v>47</v>
      </c>
      <c r="Y547">
        <v>47</v>
      </c>
      <c r="Z547">
        <f>16.35117682*1.059464^Y547</f>
        <v>246.94521361646048</v>
      </c>
      <c r="AA547">
        <f>ABS(Y547-T546)</f>
        <v>12</v>
      </c>
      <c r="AB547">
        <v>54</v>
      </c>
      <c r="AC547" t="s">
        <v>325</v>
      </c>
      <c r="AD547">
        <v>46</v>
      </c>
      <c r="AE547">
        <f t="shared" si="101"/>
        <v>233.08504452861115</v>
      </c>
      <c r="AF547">
        <f t="shared" si="103"/>
        <v>12</v>
      </c>
      <c r="AH547">
        <v>54</v>
      </c>
    </row>
    <row r="548" spans="1:41" x14ac:dyDescent="0.2">
      <c r="A548">
        <f t="shared" si="93"/>
        <v>136</v>
      </c>
      <c r="B548" t="s">
        <v>246</v>
      </c>
      <c r="C548">
        <v>65</v>
      </c>
      <c r="D548">
        <f>16.35117682*1.059464^C548</f>
        <v>698.47728762097279</v>
      </c>
      <c r="E548">
        <f t="shared" si="94"/>
        <v>136</v>
      </c>
      <c r="I548">
        <f t="shared" si="95"/>
        <v>136</v>
      </c>
      <c r="J548" t="s">
        <v>390</v>
      </c>
      <c r="K548">
        <v>53</v>
      </c>
      <c r="L548">
        <f>16.35117682*1.059464^K548</f>
        <v>349.23506143398839</v>
      </c>
      <c r="M548">
        <f t="shared" si="96"/>
        <v>136</v>
      </c>
      <c r="R548">
        <v>51</v>
      </c>
      <c r="S548" t="s">
        <v>482</v>
      </c>
      <c r="T548">
        <v>53</v>
      </c>
      <c r="U548">
        <f t="shared" si="100"/>
        <v>349.23506143398839</v>
      </c>
      <c r="V548">
        <f t="shared" si="102"/>
        <v>2</v>
      </c>
      <c r="W548">
        <v>51</v>
      </c>
      <c r="AB548">
        <v>64</v>
      </c>
      <c r="AC548" t="s">
        <v>488</v>
      </c>
      <c r="AD548">
        <v>36</v>
      </c>
      <c r="AE548">
        <f t="shared" si="101"/>
        <v>130.81344004395982</v>
      </c>
      <c r="AF548">
        <f t="shared" si="103"/>
        <v>10</v>
      </c>
      <c r="AH548">
        <v>64</v>
      </c>
      <c r="AN548" t="s">
        <v>235</v>
      </c>
      <c r="AO548" t="s">
        <v>396</v>
      </c>
    </row>
    <row r="549" spans="1:41" x14ac:dyDescent="0.2">
      <c r="A549">
        <f t="shared" si="93"/>
        <v>136.25</v>
      </c>
      <c r="E549">
        <f t="shared" si="94"/>
        <v>136.25</v>
      </c>
      <c r="I549">
        <f t="shared" si="95"/>
        <v>136.25</v>
      </c>
      <c r="M549">
        <f t="shared" si="96"/>
        <v>136.25</v>
      </c>
      <c r="R549">
        <v>55.5</v>
      </c>
      <c r="S549" t="s">
        <v>162</v>
      </c>
      <c r="T549">
        <v>54</v>
      </c>
      <c r="U549">
        <f t="shared" si="100"/>
        <v>370.00197512709912</v>
      </c>
      <c r="V549">
        <f t="shared" si="102"/>
        <v>1</v>
      </c>
      <c r="W549">
        <v>55.5</v>
      </c>
      <c r="X549" t="s">
        <v>163</v>
      </c>
      <c r="Y549">
        <v>49</v>
      </c>
      <c r="Z549">
        <f>16.35117682*1.059464^Y549</f>
        <v>277.18710418069043</v>
      </c>
      <c r="AA549">
        <f>ABS(Y549-T548)</f>
        <v>4</v>
      </c>
      <c r="AB549">
        <v>69</v>
      </c>
      <c r="AC549" t="s">
        <v>308</v>
      </c>
      <c r="AD549">
        <v>53</v>
      </c>
      <c r="AE549">
        <f t="shared" si="101"/>
        <v>349.23506143398839</v>
      </c>
      <c r="AF549">
        <f t="shared" si="103"/>
        <v>17</v>
      </c>
      <c r="AH549">
        <v>69</v>
      </c>
      <c r="AN549">
        <f>SUM(V539:V575,AA547,AA549,AA561,AA562,AA565)</f>
        <v>280</v>
      </c>
      <c r="AO549">
        <f>(575-537)+5</f>
        <v>43</v>
      </c>
    </row>
    <row r="550" spans="1:41" x14ac:dyDescent="0.2">
      <c r="A550">
        <f t="shared" si="93"/>
        <v>136.5</v>
      </c>
      <c r="B550" t="s">
        <v>242</v>
      </c>
      <c r="C550">
        <v>62</v>
      </c>
      <c r="D550">
        <f>16.35117682*1.059464^C550</f>
        <v>587.34554108704231</v>
      </c>
      <c r="E550">
        <f t="shared" si="94"/>
        <v>136.5</v>
      </c>
      <c r="I550">
        <f t="shared" si="95"/>
        <v>136.5</v>
      </c>
      <c r="J550" t="s">
        <v>70</v>
      </c>
      <c r="K550">
        <v>50</v>
      </c>
      <c r="L550">
        <f>16.35117682*1.059464^K550</f>
        <v>293.66975814369101</v>
      </c>
      <c r="M550">
        <f t="shared" si="96"/>
        <v>136.5</v>
      </c>
      <c r="R550">
        <v>61.5</v>
      </c>
      <c r="S550" t="s">
        <v>480</v>
      </c>
      <c r="T550">
        <v>50</v>
      </c>
      <c r="U550">
        <f t="shared" si="100"/>
        <v>293.66975814369101</v>
      </c>
      <c r="V550">
        <f t="shared" si="102"/>
        <v>4</v>
      </c>
      <c r="W550">
        <v>61.5</v>
      </c>
      <c r="AB550">
        <v>73</v>
      </c>
      <c r="AC550" t="s">
        <v>390</v>
      </c>
      <c r="AD550">
        <v>53</v>
      </c>
      <c r="AE550">
        <f t="shared" si="101"/>
        <v>349.23506143398839</v>
      </c>
      <c r="AF550">
        <f t="shared" si="103"/>
        <v>0</v>
      </c>
      <c r="AH550">
        <v>73</v>
      </c>
    </row>
    <row r="551" spans="1:41" x14ac:dyDescent="0.2">
      <c r="A551">
        <f t="shared" si="93"/>
        <v>136.75</v>
      </c>
      <c r="E551">
        <f t="shared" si="94"/>
        <v>136.75</v>
      </c>
      <c r="I551">
        <f t="shared" si="95"/>
        <v>136.75</v>
      </c>
      <c r="M551">
        <f t="shared" si="96"/>
        <v>136.75</v>
      </c>
      <c r="R551">
        <v>66</v>
      </c>
      <c r="S551" t="s">
        <v>292</v>
      </c>
      <c r="T551">
        <v>46</v>
      </c>
      <c r="U551">
        <f t="shared" si="100"/>
        <v>233.08504452861115</v>
      </c>
      <c r="V551">
        <f t="shared" si="102"/>
        <v>4</v>
      </c>
      <c r="W551">
        <v>66</v>
      </c>
      <c r="AB551">
        <v>78</v>
      </c>
      <c r="AC551" t="s">
        <v>22</v>
      </c>
      <c r="AD551">
        <v>57</v>
      </c>
      <c r="AE551">
        <f t="shared" si="101"/>
        <v>440.01010976071973</v>
      </c>
      <c r="AF551">
        <f t="shared" si="103"/>
        <v>4</v>
      </c>
      <c r="AH551">
        <v>78</v>
      </c>
      <c r="AN551" t="s">
        <v>236</v>
      </c>
    </row>
    <row r="552" spans="1:41" x14ac:dyDescent="0.2">
      <c r="A552">
        <f t="shared" si="93"/>
        <v>137</v>
      </c>
      <c r="B552" t="s">
        <v>246</v>
      </c>
      <c r="C552">
        <v>65</v>
      </c>
      <c r="D552">
        <f>16.35117682*1.059464^C552</f>
        <v>698.47728762097279</v>
      </c>
      <c r="E552">
        <f t="shared" si="94"/>
        <v>137</v>
      </c>
      <c r="I552">
        <f t="shared" si="95"/>
        <v>137</v>
      </c>
      <c r="J552" t="s">
        <v>280</v>
      </c>
      <c r="K552">
        <v>53</v>
      </c>
      <c r="L552">
        <f>16.35117682*1.059464^K552</f>
        <v>349.23506143398839</v>
      </c>
      <c r="M552">
        <f t="shared" si="96"/>
        <v>137</v>
      </c>
      <c r="R552">
        <v>70</v>
      </c>
      <c r="S552" t="s">
        <v>246</v>
      </c>
      <c r="T552">
        <v>65</v>
      </c>
      <c r="U552">
        <f t="shared" si="100"/>
        <v>698.47728762097279</v>
      </c>
      <c r="V552">
        <f t="shared" si="102"/>
        <v>19</v>
      </c>
      <c r="W552">
        <v>70</v>
      </c>
      <c r="AB552">
        <v>83</v>
      </c>
      <c r="AC552" t="s">
        <v>480</v>
      </c>
      <c r="AD552">
        <v>50</v>
      </c>
      <c r="AE552">
        <f t="shared" si="101"/>
        <v>293.66975814369101</v>
      </c>
      <c r="AF552">
        <f t="shared" si="103"/>
        <v>7</v>
      </c>
      <c r="AH552">
        <v>83</v>
      </c>
      <c r="AI552" t="s">
        <v>390</v>
      </c>
      <c r="AJ552">
        <v>53</v>
      </c>
      <c r="AK552">
        <f>16.35117682*1.059464^AJ552</f>
        <v>349.23506143398839</v>
      </c>
      <c r="AL552">
        <f>ABS(AJ552-AD551)</f>
        <v>4</v>
      </c>
      <c r="AN552">
        <f>AN549/(42)</f>
        <v>6.666666666666667</v>
      </c>
    </row>
    <row r="553" spans="1:41" x14ac:dyDescent="0.2">
      <c r="A553">
        <f t="shared" si="93"/>
        <v>137.25</v>
      </c>
      <c r="E553">
        <f t="shared" si="94"/>
        <v>137.25</v>
      </c>
      <c r="I553">
        <f t="shared" si="95"/>
        <v>137.25</v>
      </c>
      <c r="M553">
        <f t="shared" si="96"/>
        <v>137.25</v>
      </c>
      <c r="R553">
        <v>74</v>
      </c>
      <c r="S553" t="s">
        <v>166</v>
      </c>
      <c r="T553">
        <v>66</v>
      </c>
      <c r="U553">
        <f t="shared" si="100"/>
        <v>740.01154105206626</v>
      </c>
      <c r="V553">
        <f t="shared" si="102"/>
        <v>1</v>
      </c>
      <c r="W553">
        <v>74</v>
      </c>
      <c r="AB553">
        <v>87</v>
      </c>
      <c r="AC553" t="s">
        <v>169</v>
      </c>
      <c r="AD553">
        <v>42</v>
      </c>
      <c r="AE553">
        <f t="shared" si="101"/>
        <v>184.99908988354849</v>
      </c>
      <c r="AF553">
        <f t="shared" si="103"/>
        <v>8</v>
      </c>
      <c r="AH553">
        <v>87</v>
      </c>
      <c r="AI553" t="s">
        <v>487</v>
      </c>
      <c r="AJ553">
        <v>45</v>
      </c>
      <c r="AK553">
        <f>16.35117682*1.059464^AJ553</f>
        <v>220.00279814001337</v>
      </c>
      <c r="AL553">
        <f>ABS(AJ553-AJ552)</f>
        <v>8</v>
      </c>
    </row>
    <row r="554" spans="1:41" x14ac:dyDescent="0.2">
      <c r="A554">
        <f t="shared" si="93"/>
        <v>137.5</v>
      </c>
      <c r="B554" t="s">
        <v>165</v>
      </c>
      <c r="C554">
        <v>63</v>
      </c>
      <c r="D554">
        <f>16.35117682*1.059464^C554</f>
        <v>622.27145634224212</v>
      </c>
      <c r="E554">
        <f t="shared" si="94"/>
        <v>137.5</v>
      </c>
      <c r="I554">
        <f t="shared" si="95"/>
        <v>137.5</v>
      </c>
      <c r="J554" t="s">
        <v>175</v>
      </c>
      <c r="K554">
        <v>51</v>
      </c>
      <c r="L554">
        <f>16.35117682*1.059464^K554</f>
        <v>311.13253664194741</v>
      </c>
      <c r="M554">
        <f t="shared" si="96"/>
        <v>137.5</v>
      </c>
      <c r="R554">
        <v>78</v>
      </c>
      <c r="S554" t="s">
        <v>240</v>
      </c>
      <c r="T554">
        <v>60</v>
      </c>
      <c r="U554">
        <f t="shared" si="100"/>
        <v>523.26449507501752</v>
      </c>
      <c r="V554">
        <f t="shared" si="102"/>
        <v>6</v>
      </c>
      <c r="W554">
        <v>78</v>
      </c>
      <c r="AB554">
        <v>91</v>
      </c>
      <c r="AC554" t="s">
        <v>170</v>
      </c>
      <c r="AD554">
        <v>37</v>
      </c>
      <c r="AE554">
        <f t="shared" si="101"/>
        <v>138.5921304427338</v>
      </c>
      <c r="AF554">
        <f t="shared" si="103"/>
        <v>5</v>
      </c>
      <c r="AH554">
        <v>91</v>
      </c>
      <c r="AI554" t="s">
        <v>318</v>
      </c>
      <c r="AJ554">
        <v>41</v>
      </c>
      <c r="AK554">
        <f>16.35117682*1.059464^AJ554</f>
        <v>174.61573954711864</v>
      </c>
      <c r="AL554">
        <f>ABS(AJ554-AJ553)</f>
        <v>4</v>
      </c>
    </row>
    <row r="555" spans="1:41" x14ac:dyDescent="0.2">
      <c r="A555">
        <f t="shared" si="93"/>
        <v>137.75</v>
      </c>
      <c r="E555">
        <f t="shared" si="94"/>
        <v>137.75</v>
      </c>
      <c r="I555">
        <f t="shared" si="95"/>
        <v>137.75</v>
      </c>
      <c r="M555">
        <f t="shared" si="96"/>
        <v>137.75</v>
      </c>
      <c r="R555">
        <v>81</v>
      </c>
      <c r="S555" t="s">
        <v>240</v>
      </c>
      <c r="T555">
        <v>60</v>
      </c>
      <c r="U555">
        <f t="shared" si="100"/>
        <v>523.26449507501752</v>
      </c>
      <c r="V555">
        <f t="shared" si="102"/>
        <v>0</v>
      </c>
      <c r="W555">
        <v>81</v>
      </c>
      <c r="AB555">
        <v>95</v>
      </c>
      <c r="AC555" t="s">
        <v>45</v>
      </c>
      <c r="AD555">
        <v>31</v>
      </c>
      <c r="AE555">
        <f t="shared" si="101"/>
        <v>97.998932630681253</v>
      </c>
      <c r="AF555">
        <f t="shared" si="103"/>
        <v>6</v>
      </c>
      <c r="AH555">
        <v>95</v>
      </c>
    </row>
    <row r="556" spans="1:41" x14ac:dyDescent="0.2">
      <c r="A556">
        <f t="shared" si="93"/>
        <v>138</v>
      </c>
      <c r="B556" t="s">
        <v>246</v>
      </c>
      <c r="C556">
        <v>65</v>
      </c>
      <c r="D556">
        <f>16.35117682*1.059464^C556</f>
        <v>698.47728762097279</v>
      </c>
      <c r="E556">
        <f t="shared" si="94"/>
        <v>138</v>
      </c>
      <c r="I556">
        <f t="shared" si="95"/>
        <v>138</v>
      </c>
      <c r="J556" t="s">
        <v>390</v>
      </c>
      <c r="K556">
        <v>53</v>
      </c>
      <c r="L556">
        <f>16.35117682*1.059464^K556</f>
        <v>349.23506143398839</v>
      </c>
      <c r="M556">
        <f t="shared" si="96"/>
        <v>138</v>
      </c>
      <c r="R556">
        <v>85.5</v>
      </c>
      <c r="S556" t="s">
        <v>239</v>
      </c>
      <c r="T556">
        <v>55</v>
      </c>
      <c r="U556">
        <f t="shared" si="100"/>
        <v>392.00377257605692</v>
      </c>
      <c r="V556">
        <f t="shared" si="102"/>
        <v>5</v>
      </c>
      <c r="W556">
        <v>85.5</v>
      </c>
      <c r="AB556">
        <v>99</v>
      </c>
      <c r="AC556" t="s">
        <v>388</v>
      </c>
      <c r="AD556">
        <v>29</v>
      </c>
      <c r="AE556">
        <f t="shared" si="101"/>
        <v>87.306974197808145</v>
      </c>
      <c r="AF556">
        <f t="shared" si="103"/>
        <v>2</v>
      </c>
      <c r="AH556">
        <v>99</v>
      </c>
    </row>
    <row r="557" spans="1:41" x14ac:dyDescent="0.2">
      <c r="A557">
        <f t="shared" si="93"/>
        <v>138.25</v>
      </c>
      <c r="E557">
        <f t="shared" si="94"/>
        <v>138.25</v>
      </c>
      <c r="I557">
        <f t="shared" si="95"/>
        <v>138.25</v>
      </c>
      <c r="M557">
        <f t="shared" si="96"/>
        <v>138.25</v>
      </c>
      <c r="R557">
        <v>89</v>
      </c>
      <c r="S557" t="s">
        <v>44</v>
      </c>
      <c r="T557">
        <v>43</v>
      </c>
      <c r="U557">
        <f t="shared" si="100"/>
        <v>195.99987576438383</v>
      </c>
      <c r="V557">
        <f t="shared" si="102"/>
        <v>12</v>
      </c>
      <c r="W557">
        <v>89</v>
      </c>
      <c r="AB557">
        <v>104</v>
      </c>
      <c r="AC557" t="s">
        <v>243</v>
      </c>
      <c r="AD557">
        <v>57</v>
      </c>
      <c r="AE557">
        <f t="shared" si="101"/>
        <v>440.01010976071973</v>
      </c>
      <c r="AF557">
        <f t="shared" si="103"/>
        <v>28</v>
      </c>
      <c r="AH557">
        <v>104</v>
      </c>
    </row>
    <row r="558" spans="1:41" x14ac:dyDescent="0.2">
      <c r="A558">
        <f t="shared" si="93"/>
        <v>138.5</v>
      </c>
      <c r="B558" t="s">
        <v>165</v>
      </c>
      <c r="C558">
        <v>63</v>
      </c>
      <c r="D558">
        <f>16.35117682*1.059464^C558</f>
        <v>622.27145634224212</v>
      </c>
      <c r="E558">
        <f t="shared" si="94"/>
        <v>138.5</v>
      </c>
      <c r="I558">
        <f t="shared" si="95"/>
        <v>138.5</v>
      </c>
      <c r="J558" t="s">
        <v>175</v>
      </c>
      <c r="K558">
        <v>51</v>
      </c>
      <c r="L558">
        <f>16.35117682*1.059464^K558</f>
        <v>311.13253664194741</v>
      </c>
      <c r="M558">
        <f t="shared" si="96"/>
        <v>138.5</v>
      </c>
      <c r="R558">
        <v>93.5</v>
      </c>
      <c r="S558" t="s">
        <v>29</v>
      </c>
      <c r="T558">
        <v>40</v>
      </c>
      <c r="U558">
        <f t="shared" si="100"/>
        <v>164.8151702626221</v>
      </c>
      <c r="V558">
        <f t="shared" si="102"/>
        <v>3</v>
      </c>
      <c r="W558">
        <v>93.5</v>
      </c>
      <c r="AB558">
        <v>110</v>
      </c>
      <c r="AC558" t="s">
        <v>318</v>
      </c>
      <c r="AD558">
        <v>41</v>
      </c>
      <c r="AE558">
        <f t="shared" si="101"/>
        <v>174.61573954711864</v>
      </c>
      <c r="AF558">
        <f t="shared" si="103"/>
        <v>16</v>
      </c>
      <c r="AH558">
        <v>110</v>
      </c>
    </row>
    <row r="559" spans="1:41" x14ac:dyDescent="0.2">
      <c r="A559">
        <f t="shared" si="93"/>
        <v>138.75</v>
      </c>
      <c r="E559">
        <f t="shared" si="94"/>
        <v>138.75</v>
      </c>
      <c r="I559">
        <f t="shared" si="95"/>
        <v>138.75</v>
      </c>
      <c r="M559">
        <f t="shared" si="96"/>
        <v>138.75</v>
      </c>
      <c r="R559">
        <v>96.75</v>
      </c>
      <c r="S559" t="s">
        <v>414</v>
      </c>
      <c r="T559">
        <v>33</v>
      </c>
      <c r="U559">
        <f t="shared" si="100"/>
        <v>110.00027071140791</v>
      </c>
      <c r="V559">
        <f t="shared" si="102"/>
        <v>7</v>
      </c>
      <c r="W559">
        <v>96.75</v>
      </c>
      <c r="AB559">
        <v>116.5</v>
      </c>
      <c r="AC559" t="s">
        <v>82</v>
      </c>
      <c r="AD559">
        <v>38</v>
      </c>
      <c r="AE559">
        <f t="shared" si="101"/>
        <v>146.83337288738056</v>
      </c>
      <c r="AF559">
        <f t="shared" si="103"/>
        <v>3</v>
      </c>
      <c r="AH559">
        <v>116.5</v>
      </c>
    </row>
    <row r="560" spans="1:41" x14ac:dyDescent="0.2">
      <c r="A560">
        <f t="shared" si="93"/>
        <v>139</v>
      </c>
      <c r="B560" t="s">
        <v>246</v>
      </c>
      <c r="C560">
        <v>65</v>
      </c>
      <c r="D560">
        <f>16.35117682*1.059464^C560</f>
        <v>698.47728762097279</v>
      </c>
      <c r="E560">
        <f t="shared" si="94"/>
        <v>139</v>
      </c>
      <c r="I560">
        <f t="shared" si="95"/>
        <v>139</v>
      </c>
      <c r="J560" t="s">
        <v>390</v>
      </c>
      <c r="K560">
        <v>53</v>
      </c>
      <c r="L560">
        <f>16.35117682*1.059464^K560</f>
        <v>349.23506143398839</v>
      </c>
      <c r="M560">
        <f t="shared" si="96"/>
        <v>139</v>
      </c>
      <c r="R560">
        <v>103.5</v>
      </c>
      <c r="S560" t="s">
        <v>481</v>
      </c>
      <c r="T560">
        <v>52</v>
      </c>
      <c r="U560">
        <f t="shared" si="100"/>
        <v>329.63372180082422</v>
      </c>
      <c r="V560">
        <f t="shared" si="102"/>
        <v>19</v>
      </c>
      <c r="W560">
        <v>103.5</v>
      </c>
      <c r="AB560">
        <v>123.5</v>
      </c>
      <c r="AC560" t="s">
        <v>307</v>
      </c>
      <c r="AD560">
        <v>47</v>
      </c>
      <c r="AE560">
        <f t="shared" si="101"/>
        <v>246.94521361646048</v>
      </c>
      <c r="AF560">
        <f t="shared" si="103"/>
        <v>9</v>
      </c>
      <c r="AH560">
        <v>123.5</v>
      </c>
    </row>
    <row r="561" spans="1:38" x14ac:dyDescent="0.2">
      <c r="A561">
        <f t="shared" si="93"/>
        <v>139.25</v>
      </c>
      <c r="E561">
        <f t="shared" si="94"/>
        <v>139.25</v>
      </c>
      <c r="I561">
        <f t="shared" si="95"/>
        <v>139.25</v>
      </c>
      <c r="M561">
        <f t="shared" si="96"/>
        <v>139.25</v>
      </c>
      <c r="R561">
        <v>108.5</v>
      </c>
      <c r="S561" t="s">
        <v>411</v>
      </c>
      <c r="T561">
        <v>58</v>
      </c>
      <c r="U561">
        <f t="shared" si="100"/>
        <v>466.17487092753117</v>
      </c>
      <c r="V561">
        <f t="shared" si="102"/>
        <v>6</v>
      </c>
      <c r="W561">
        <v>108.5</v>
      </c>
      <c r="X561" t="s">
        <v>481</v>
      </c>
      <c r="Y561">
        <v>52</v>
      </c>
      <c r="Z561">
        <f>16.35117682*1.059464^Y561</f>
        <v>329.63372180082422</v>
      </c>
      <c r="AA561">
        <f>ABS(Y561-T560)</f>
        <v>0</v>
      </c>
      <c r="AB561">
        <v>130</v>
      </c>
      <c r="AC561" t="s">
        <v>488</v>
      </c>
      <c r="AD561">
        <v>36</v>
      </c>
      <c r="AE561">
        <f t="shared" si="101"/>
        <v>130.81344004395982</v>
      </c>
      <c r="AF561">
        <f t="shared" si="103"/>
        <v>11</v>
      </c>
      <c r="AH561">
        <v>130</v>
      </c>
    </row>
    <row r="562" spans="1:38" x14ac:dyDescent="0.2">
      <c r="A562">
        <f t="shared" si="93"/>
        <v>139.5</v>
      </c>
      <c r="B562" t="s">
        <v>165</v>
      </c>
      <c r="C562">
        <v>63</v>
      </c>
      <c r="D562">
        <f>16.35117682*1.059464^C562</f>
        <v>622.27145634224212</v>
      </c>
      <c r="E562">
        <f t="shared" si="94"/>
        <v>139.5</v>
      </c>
      <c r="I562">
        <f t="shared" si="95"/>
        <v>139.5</v>
      </c>
      <c r="J562" t="s">
        <v>176</v>
      </c>
      <c r="K562">
        <v>51</v>
      </c>
      <c r="L562">
        <f>16.35117682*1.059464^K562</f>
        <v>311.13253664194741</v>
      </c>
      <c r="M562">
        <f t="shared" si="96"/>
        <v>139.5</v>
      </c>
      <c r="R562">
        <v>113.5</v>
      </c>
      <c r="S562" t="s">
        <v>239</v>
      </c>
      <c r="T562">
        <v>55</v>
      </c>
      <c r="U562">
        <f t="shared" si="100"/>
        <v>392.00377257605692</v>
      </c>
      <c r="V562">
        <f t="shared" si="102"/>
        <v>3</v>
      </c>
      <c r="W562">
        <v>113.5</v>
      </c>
      <c r="X562" t="s">
        <v>482</v>
      </c>
      <c r="Y562">
        <v>53</v>
      </c>
      <c r="Z562">
        <f>16.35117682*1.059464^Y562</f>
        <v>349.23506143398839</v>
      </c>
      <c r="AA562">
        <f>ABS(Y562-T561)</f>
        <v>5</v>
      </c>
      <c r="AB562">
        <v>135</v>
      </c>
      <c r="AC562" t="s">
        <v>308</v>
      </c>
      <c r="AD562">
        <v>53</v>
      </c>
      <c r="AE562">
        <f t="shared" si="101"/>
        <v>349.23506143398839</v>
      </c>
      <c r="AF562">
        <f t="shared" si="103"/>
        <v>17</v>
      </c>
      <c r="AH562">
        <v>135</v>
      </c>
    </row>
    <row r="563" spans="1:38" x14ac:dyDescent="0.2">
      <c r="A563">
        <f t="shared" si="93"/>
        <v>139.75</v>
      </c>
      <c r="E563">
        <f t="shared" si="94"/>
        <v>139.75</v>
      </c>
      <c r="I563">
        <f t="shared" si="95"/>
        <v>139.75</v>
      </c>
      <c r="M563">
        <f t="shared" si="96"/>
        <v>139.75</v>
      </c>
      <c r="R563">
        <v>118</v>
      </c>
      <c r="S563" t="s">
        <v>411</v>
      </c>
      <c r="T563">
        <v>58</v>
      </c>
      <c r="U563">
        <f t="shared" si="100"/>
        <v>466.17487092753117</v>
      </c>
      <c r="V563">
        <f t="shared" si="102"/>
        <v>3</v>
      </c>
      <c r="W563">
        <v>118</v>
      </c>
      <c r="AB563">
        <v>139</v>
      </c>
      <c r="AC563" t="s">
        <v>390</v>
      </c>
      <c r="AD563">
        <v>53</v>
      </c>
      <c r="AE563">
        <f t="shared" si="101"/>
        <v>349.23506143398839</v>
      </c>
      <c r="AF563">
        <f t="shared" si="103"/>
        <v>0</v>
      </c>
      <c r="AH563">
        <v>139</v>
      </c>
    </row>
    <row r="564" spans="1:38" x14ac:dyDescent="0.2">
      <c r="A564">
        <f t="shared" si="93"/>
        <v>140</v>
      </c>
      <c r="B564" t="s">
        <v>166</v>
      </c>
      <c r="C564">
        <v>66</v>
      </c>
      <c r="D564">
        <f>16.35117682*1.059464^C564</f>
        <v>740.01154105206626</v>
      </c>
      <c r="E564">
        <f t="shared" si="94"/>
        <v>140</v>
      </c>
      <c r="I564">
        <f t="shared" si="95"/>
        <v>140</v>
      </c>
      <c r="J564" t="s">
        <v>391</v>
      </c>
      <c r="K564">
        <v>54</v>
      </c>
      <c r="L564">
        <f>16.35117682*1.059464^K564</f>
        <v>370.00197512709912</v>
      </c>
      <c r="M564">
        <f t="shared" si="96"/>
        <v>140</v>
      </c>
      <c r="R564">
        <v>123.5</v>
      </c>
      <c r="S564" t="s">
        <v>244</v>
      </c>
      <c r="T564">
        <v>59</v>
      </c>
      <c r="U564">
        <f t="shared" si="100"/>
        <v>493.89549345236594</v>
      </c>
      <c r="V564">
        <f t="shared" si="102"/>
        <v>1</v>
      </c>
      <c r="W564">
        <v>123.5</v>
      </c>
      <c r="AB564">
        <v>144</v>
      </c>
      <c r="AC564" t="s">
        <v>22</v>
      </c>
      <c r="AD564">
        <v>57</v>
      </c>
      <c r="AE564">
        <f t="shared" si="101"/>
        <v>440.01010976071973</v>
      </c>
      <c r="AF564">
        <f t="shared" si="103"/>
        <v>4</v>
      </c>
      <c r="AH564">
        <v>144</v>
      </c>
    </row>
    <row r="565" spans="1:38" x14ac:dyDescent="0.2">
      <c r="A565">
        <f t="shared" si="93"/>
        <v>140.25</v>
      </c>
      <c r="E565">
        <f t="shared" si="94"/>
        <v>140.25</v>
      </c>
      <c r="I565">
        <f t="shared" si="95"/>
        <v>140.25</v>
      </c>
      <c r="M565">
        <f t="shared" si="96"/>
        <v>140.25</v>
      </c>
      <c r="R565">
        <v>128.5</v>
      </c>
      <c r="S565" t="s">
        <v>239</v>
      </c>
      <c r="T565">
        <v>54</v>
      </c>
      <c r="U565">
        <f t="shared" si="100"/>
        <v>370.00197512709912</v>
      </c>
      <c r="V565">
        <f t="shared" si="102"/>
        <v>5</v>
      </c>
      <c r="W565">
        <v>128.5</v>
      </c>
      <c r="X565" t="s">
        <v>47</v>
      </c>
      <c r="Y565">
        <v>47</v>
      </c>
      <c r="Z565">
        <f>16.35117682*1.059464^Y565</f>
        <v>246.94521361646048</v>
      </c>
      <c r="AA565">
        <f>ABS(Y565-T564)</f>
        <v>12</v>
      </c>
      <c r="AB565">
        <v>149</v>
      </c>
      <c r="AC565" t="s">
        <v>480</v>
      </c>
      <c r="AD565">
        <v>50</v>
      </c>
      <c r="AE565">
        <f t="shared" si="101"/>
        <v>293.66975814369101</v>
      </c>
      <c r="AF565">
        <f t="shared" si="103"/>
        <v>7</v>
      </c>
      <c r="AH565">
        <v>149</v>
      </c>
      <c r="AI565" t="s">
        <v>390</v>
      </c>
      <c r="AJ565">
        <v>53</v>
      </c>
      <c r="AK565">
        <f>16.35117682*1.059464^AJ565</f>
        <v>349.23506143398839</v>
      </c>
      <c r="AL565">
        <f>ABS(AJ565-AD564)</f>
        <v>4</v>
      </c>
    </row>
    <row r="566" spans="1:38" x14ac:dyDescent="0.2">
      <c r="A566">
        <f t="shared" si="93"/>
        <v>140.5</v>
      </c>
      <c r="B566" t="s">
        <v>165</v>
      </c>
      <c r="C566">
        <v>63</v>
      </c>
      <c r="D566">
        <f>16.35117682*1.059464^C566</f>
        <v>622.27145634224212</v>
      </c>
      <c r="E566">
        <f t="shared" si="94"/>
        <v>140.5</v>
      </c>
      <c r="I566">
        <f t="shared" si="95"/>
        <v>140.5</v>
      </c>
      <c r="J566" t="s">
        <v>17</v>
      </c>
      <c r="K566">
        <v>51</v>
      </c>
      <c r="L566">
        <f>16.35117682*1.059464^K566</f>
        <v>311.13253664194741</v>
      </c>
      <c r="M566">
        <f t="shared" si="96"/>
        <v>140.5</v>
      </c>
      <c r="R566">
        <v>133</v>
      </c>
      <c r="S566" t="s">
        <v>482</v>
      </c>
      <c r="T566">
        <v>53</v>
      </c>
      <c r="U566">
        <f t="shared" si="100"/>
        <v>349.23506143398839</v>
      </c>
      <c r="V566">
        <f t="shared" si="102"/>
        <v>1</v>
      </c>
      <c r="W566">
        <v>133</v>
      </c>
      <c r="AB566">
        <v>153</v>
      </c>
      <c r="AC566" t="s">
        <v>169</v>
      </c>
      <c r="AD566">
        <v>42</v>
      </c>
      <c r="AE566">
        <f t="shared" si="101"/>
        <v>184.99908988354849</v>
      </c>
      <c r="AF566">
        <f t="shared" si="103"/>
        <v>8</v>
      </c>
      <c r="AH566">
        <v>153</v>
      </c>
      <c r="AI566" t="s">
        <v>487</v>
      </c>
      <c r="AJ566">
        <v>45</v>
      </c>
      <c r="AK566">
        <f>16.35117682*1.059464^AJ566</f>
        <v>220.00279814001337</v>
      </c>
      <c r="AL566">
        <f>ABS(AJ566-AJ565)</f>
        <v>8</v>
      </c>
    </row>
    <row r="567" spans="1:38" x14ac:dyDescent="0.2">
      <c r="A567">
        <f t="shared" si="93"/>
        <v>140.75</v>
      </c>
      <c r="E567">
        <f t="shared" si="94"/>
        <v>140.75</v>
      </c>
      <c r="I567">
        <f t="shared" si="95"/>
        <v>140.75</v>
      </c>
      <c r="M567">
        <f t="shared" si="96"/>
        <v>140.75</v>
      </c>
      <c r="R567">
        <v>137</v>
      </c>
      <c r="S567" t="s">
        <v>246</v>
      </c>
      <c r="T567">
        <v>65</v>
      </c>
      <c r="U567">
        <f t="shared" si="100"/>
        <v>698.47728762097279</v>
      </c>
      <c r="V567">
        <f t="shared" si="102"/>
        <v>12</v>
      </c>
      <c r="W567">
        <v>137</v>
      </c>
      <c r="AB567">
        <v>157</v>
      </c>
      <c r="AC567" t="s">
        <v>170</v>
      </c>
      <c r="AD567">
        <v>37</v>
      </c>
      <c r="AE567">
        <f t="shared" si="101"/>
        <v>138.5921304427338</v>
      </c>
      <c r="AF567">
        <f t="shared" si="103"/>
        <v>5</v>
      </c>
      <c r="AH567">
        <v>157</v>
      </c>
      <c r="AI567" t="s">
        <v>318</v>
      </c>
      <c r="AJ567">
        <v>41</v>
      </c>
      <c r="AK567">
        <f>16.35117682*1.059464^AJ567</f>
        <v>174.61573954711864</v>
      </c>
      <c r="AL567">
        <f>ABS(AJ567-AJ566)</f>
        <v>4</v>
      </c>
    </row>
    <row r="568" spans="1:38" x14ac:dyDescent="0.2">
      <c r="A568">
        <f t="shared" si="93"/>
        <v>141</v>
      </c>
      <c r="B568" t="s">
        <v>166</v>
      </c>
      <c r="C568">
        <v>66</v>
      </c>
      <c r="D568">
        <f>16.35117682*1.059464^C568</f>
        <v>740.01154105206626</v>
      </c>
      <c r="E568">
        <f t="shared" si="94"/>
        <v>141</v>
      </c>
      <c r="I568">
        <f t="shared" si="95"/>
        <v>141</v>
      </c>
      <c r="J568" t="s">
        <v>18</v>
      </c>
      <c r="K568">
        <v>54</v>
      </c>
      <c r="L568">
        <f>16.35117682*1.059464^K568</f>
        <v>370.00197512709912</v>
      </c>
      <c r="M568">
        <f t="shared" si="96"/>
        <v>141</v>
      </c>
      <c r="R568">
        <v>141</v>
      </c>
      <c r="S568" t="s">
        <v>166</v>
      </c>
      <c r="T568">
        <v>66</v>
      </c>
      <c r="U568">
        <f t="shared" si="100"/>
        <v>740.01154105206626</v>
      </c>
      <c r="V568">
        <f t="shared" si="102"/>
        <v>1</v>
      </c>
      <c r="W568">
        <v>141</v>
      </c>
      <c r="AB568">
        <v>161</v>
      </c>
      <c r="AC568" t="s">
        <v>45</v>
      </c>
      <c r="AD568">
        <v>31</v>
      </c>
      <c r="AE568">
        <f t="shared" si="101"/>
        <v>97.998932630681253</v>
      </c>
      <c r="AF568">
        <f t="shared" si="103"/>
        <v>6</v>
      </c>
      <c r="AH568">
        <v>161</v>
      </c>
    </row>
    <row r="569" spans="1:38" x14ac:dyDescent="0.2">
      <c r="A569">
        <f t="shared" si="93"/>
        <v>141.25</v>
      </c>
      <c r="E569">
        <f t="shared" si="94"/>
        <v>141.25</v>
      </c>
      <c r="I569">
        <f t="shared" si="95"/>
        <v>141.25</v>
      </c>
      <c r="M569">
        <f t="shared" si="96"/>
        <v>141.25</v>
      </c>
      <c r="R569">
        <v>144.75</v>
      </c>
      <c r="S569" t="s">
        <v>240</v>
      </c>
      <c r="T569">
        <v>60</v>
      </c>
      <c r="U569">
        <f t="shared" si="100"/>
        <v>523.26449507501752</v>
      </c>
      <c r="V569">
        <f t="shared" si="102"/>
        <v>6</v>
      </c>
      <c r="W569">
        <v>144.75</v>
      </c>
      <c r="AB569">
        <v>165</v>
      </c>
      <c r="AC569" t="s">
        <v>388</v>
      </c>
      <c r="AD569">
        <v>29</v>
      </c>
      <c r="AE569">
        <f t="shared" si="101"/>
        <v>87.306974197808145</v>
      </c>
      <c r="AF569">
        <f t="shared" si="103"/>
        <v>2</v>
      </c>
      <c r="AH569">
        <v>165</v>
      </c>
    </row>
    <row r="570" spans="1:38" x14ac:dyDescent="0.2">
      <c r="A570">
        <f t="shared" si="93"/>
        <v>141.5</v>
      </c>
      <c r="E570">
        <f t="shared" si="94"/>
        <v>141.5</v>
      </c>
      <c r="I570">
        <f t="shared" si="95"/>
        <v>141.5</v>
      </c>
      <c r="J570" t="s">
        <v>19</v>
      </c>
      <c r="K570">
        <v>59</v>
      </c>
      <c r="L570">
        <f>16.35117682*1.059464^K570</f>
        <v>493.89549345236594</v>
      </c>
      <c r="M570">
        <f t="shared" si="96"/>
        <v>141.5</v>
      </c>
      <c r="R570">
        <v>147.75</v>
      </c>
      <c r="S570" t="s">
        <v>240</v>
      </c>
      <c r="T570">
        <v>60</v>
      </c>
      <c r="U570">
        <f t="shared" si="100"/>
        <v>523.26449507501752</v>
      </c>
      <c r="V570">
        <f t="shared" si="102"/>
        <v>0</v>
      </c>
      <c r="W570">
        <v>147.75</v>
      </c>
      <c r="AB570">
        <v>170</v>
      </c>
      <c r="AC570" t="s">
        <v>243</v>
      </c>
      <c r="AD570">
        <v>57</v>
      </c>
      <c r="AE570">
        <f t="shared" si="101"/>
        <v>440.01010976071973</v>
      </c>
      <c r="AF570">
        <f t="shared" si="103"/>
        <v>28</v>
      </c>
      <c r="AH570">
        <v>170</v>
      </c>
    </row>
    <row r="571" spans="1:38" x14ac:dyDescent="0.2">
      <c r="A571">
        <f t="shared" si="93"/>
        <v>141.75</v>
      </c>
      <c r="E571">
        <f t="shared" si="94"/>
        <v>141.75</v>
      </c>
      <c r="I571">
        <f t="shared" si="95"/>
        <v>141.75</v>
      </c>
      <c r="M571">
        <f t="shared" si="96"/>
        <v>141.75</v>
      </c>
      <c r="R571">
        <v>152.25</v>
      </c>
      <c r="S571" t="s">
        <v>482</v>
      </c>
      <c r="T571">
        <v>53</v>
      </c>
      <c r="U571">
        <f t="shared" si="100"/>
        <v>349.23506143398839</v>
      </c>
      <c r="V571">
        <f t="shared" si="102"/>
        <v>7</v>
      </c>
      <c r="W571">
        <v>152.25</v>
      </c>
    </row>
    <row r="572" spans="1:38" x14ac:dyDescent="0.2">
      <c r="A572">
        <f t="shared" si="93"/>
        <v>142</v>
      </c>
      <c r="B572" t="s">
        <v>255</v>
      </c>
      <c r="C572">
        <v>64</v>
      </c>
      <c r="D572">
        <f>16.35117682*1.059464^C572</f>
        <v>659.27420622217721</v>
      </c>
      <c r="E572">
        <f t="shared" si="94"/>
        <v>142</v>
      </c>
      <c r="I572">
        <f t="shared" si="95"/>
        <v>142</v>
      </c>
      <c r="J572" t="s">
        <v>20</v>
      </c>
      <c r="K572">
        <v>60</v>
      </c>
      <c r="L572">
        <f>16.35117682*1.059464^K572</f>
        <v>523.26449507501752</v>
      </c>
      <c r="M572">
        <f t="shared" si="96"/>
        <v>142</v>
      </c>
      <c r="R572">
        <v>155.75</v>
      </c>
      <c r="S572" t="s">
        <v>47</v>
      </c>
      <c r="T572">
        <v>47</v>
      </c>
      <c r="U572">
        <f t="shared" si="100"/>
        <v>246.94521361646048</v>
      </c>
      <c r="V572">
        <f t="shared" si="102"/>
        <v>6</v>
      </c>
      <c r="W572">
        <v>155.75</v>
      </c>
    </row>
    <row r="573" spans="1:38" x14ac:dyDescent="0.2">
      <c r="A573">
        <f t="shared" si="93"/>
        <v>142.25</v>
      </c>
      <c r="B573" t="s">
        <v>245</v>
      </c>
      <c r="C573">
        <v>67</v>
      </c>
      <c r="D573">
        <f>16.35117682*1.059464^C573</f>
        <v>784.01558732918636</v>
      </c>
      <c r="E573">
        <f t="shared" si="94"/>
        <v>142.25</v>
      </c>
      <c r="I573">
        <f t="shared" si="95"/>
        <v>142.25</v>
      </c>
      <c r="M573">
        <f t="shared" si="96"/>
        <v>142.25</v>
      </c>
      <c r="R573">
        <v>160.25</v>
      </c>
      <c r="S573" t="s">
        <v>29</v>
      </c>
      <c r="T573">
        <v>40</v>
      </c>
      <c r="U573">
        <f t="shared" si="100"/>
        <v>164.8151702626221</v>
      </c>
      <c r="V573">
        <f t="shared" si="102"/>
        <v>7</v>
      </c>
      <c r="W573">
        <v>160.25</v>
      </c>
    </row>
    <row r="574" spans="1:38" x14ac:dyDescent="0.2">
      <c r="A574">
        <f t="shared" si="93"/>
        <v>142.5</v>
      </c>
      <c r="E574">
        <f t="shared" si="94"/>
        <v>142.5</v>
      </c>
      <c r="I574">
        <f t="shared" si="95"/>
        <v>142.5</v>
      </c>
      <c r="M574">
        <f t="shared" si="96"/>
        <v>142.5</v>
      </c>
      <c r="R574">
        <v>163.75</v>
      </c>
      <c r="S574" t="s">
        <v>27</v>
      </c>
      <c r="T574">
        <v>36</v>
      </c>
      <c r="U574">
        <f t="shared" si="100"/>
        <v>130.81344004395982</v>
      </c>
      <c r="V574">
        <f t="shared" si="102"/>
        <v>4</v>
      </c>
      <c r="W574">
        <v>163.75</v>
      </c>
    </row>
    <row r="575" spans="1:38" x14ac:dyDescent="0.2">
      <c r="A575">
        <f t="shared" si="93"/>
        <v>142.75</v>
      </c>
      <c r="B575" t="s">
        <v>255</v>
      </c>
      <c r="C575">
        <v>64</v>
      </c>
      <c r="D575">
        <f>16.35117682*1.059464^C575</f>
        <v>659.27420622217721</v>
      </c>
      <c r="E575">
        <f t="shared" si="94"/>
        <v>142.75</v>
      </c>
      <c r="I575">
        <f t="shared" si="95"/>
        <v>142.75</v>
      </c>
      <c r="M575">
        <f t="shared" si="96"/>
        <v>142.75</v>
      </c>
      <c r="R575">
        <v>171.5</v>
      </c>
      <c r="S575" t="s">
        <v>245</v>
      </c>
      <c r="T575">
        <v>67</v>
      </c>
      <c r="U575">
        <f t="shared" si="100"/>
        <v>784.01558732918636</v>
      </c>
      <c r="V575">
        <f t="shared" si="102"/>
        <v>31</v>
      </c>
      <c r="W575">
        <v>171.5</v>
      </c>
    </row>
    <row r="576" spans="1:38" x14ac:dyDescent="0.2">
      <c r="A576">
        <f t="shared" si="93"/>
        <v>143</v>
      </c>
      <c r="B576" t="s">
        <v>245</v>
      </c>
      <c r="C576">
        <v>67</v>
      </c>
      <c r="D576">
        <f>16.35117682*1.059464^C576</f>
        <v>784.01558732918636</v>
      </c>
      <c r="E576">
        <f t="shared" si="94"/>
        <v>143</v>
      </c>
      <c r="I576">
        <f t="shared" si="95"/>
        <v>143</v>
      </c>
      <c r="J576" t="s">
        <v>21</v>
      </c>
      <c r="K576">
        <v>59</v>
      </c>
      <c r="L576">
        <f>16.35117682*1.059464^K576</f>
        <v>493.89549345236594</v>
      </c>
      <c r="M576">
        <f t="shared" si="96"/>
        <v>143</v>
      </c>
      <c r="R576" t="s">
        <v>395</v>
      </c>
    </row>
    <row r="577" spans="1:18" x14ac:dyDescent="0.2">
      <c r="A577">
        <f t="shared" si="93"/>
        <v>143.25</v>
      </c>
      <c r="E577">
        <f t="shared" si="94"/>
        <v>143.25</v>
      </c>
      <c r="I577">
        <f t="shared" si="95"/>
        <v>143.25</v>
      </c>
      <c r="M577">
        <f t="shared" si="96"/>
        <v>143.25</v>
      </c>
    </row>
    <row r="578" spans="1:18" x14ac:dyDescent="0.2">
      <c r="A578">
        <f t="shared" si="93"/>
        <v>143.5</v>
      </c>
      <c r="B578" t="s">
        <v>255</v>
      </c>
      <c r="C578">
        <v>64</v>
      </c>
      <c r="D578">
        <f>16.35117682*1.059464^C578</f>
        <v>659.27420622217721</v>
      </c>
      <c r="E578">
        <f t="shared" si="94"/>
        <v>143.5</v>
      </c>
      <c r="I578">
        <f t="shared" si="95"/>
        <v>143.5</v>
      </c>
      <c r="M578">
        <f t="shared" si="96"/>
        <v>143.5</v>
      </c>
      <c r="R578" t="s">
        <v>395</v>
      </c>
    </row>
    <row r="579" spans="1:18" x14ac:dyDescent="0.2">
      <c r="A579">
        <f t="shared" si="93"/>
        <v>143.75</v>
      </c>
      <c r="E579">
        <f t="shared" si="94"/>
        <v>143.75</v>
      </c>
      <c r="I579">
        <f t="shared" si="95"/>
        <v>143.75</v>
      </c>
      <c r="M579">
        <f t="shared" si="96"/>
        <v>143.75</v>
      </c>
    </row>
    <row r="580" spans="1:18" x14ac:dyDescent="0.2">
      <c r="A580">
        <f t="shared" si="93"/>
        <v>144</v>
      </c>
      <c r="B580" t="s">
        <v>240</v>
      </c>
      <c r="C580">
        <v>60</v>
      </c>
      <c r="D580">
        <f>16.35117682*1.059464^C580</f>
        <v>523.26449507501752</v>
      </c>
      <c r="E580">
        <f t="shared" si="94"/>
        <v>144</v>
      </c>
      <c r="I580">
        <f t="shared" si="95"/>
        <v>144</v>
      </c>
      <c r="J580" t="s">
        <v>22</v>
      </c>
      <c r="K580">
        <v>57</v>
      </c>
      <c r="L580">
        <f>16.35117682*1.059464^K580</f>
        <v>440.01010976071973</v>
      </c>
      <c r="M580">
        <f t="shared" si="96"/>
        <v>144</v>
      </c>
      <c r="R580" t="s">
        <v>395</v>
      </c>
    </row>
    <row r="581" spans="1:18" x14ac:dyDescent="0.2">
      <c r="A581">
        <f t="shared" ref="A581:A644" si="104">A580+0.25</f>
        <v>144.25</v>
      </c>
      <c r="B581" t="s">
        <v>255</v>
      </c>
      <c r="C581">
        <v>64</v>
      </c>
      <c r="D581">
        <f>16.35117682*1.059464^C581</f>
        <v>659.27420622217721</v>
      </c>
      <c r="E581">
        <f t="shared" ref="E581:E644" si="105">E580+0.25</f>
        <v>144.25</v>
      </c>
      <c r="I581">
        <f t="shared" ref="I581:I644" si="106">I580+0.25</f>
        <v>144.25</v>
      </c>
      <c r="M581">
        <f t="shared" ref="M581:M644" si="107">M580+0.25</f>
        <v>144.25</v>
      </c>
    </row>
    <row r="582" spans="1:18" x14ac:dyDescent="0.2">
      <c r="A582">
        <f t="shared" si="104"/>
        <v>144.5</v>
      </c>
      <c r="E582">
        <f t="shared" si="105"/>
        <v>144.5</v>
      </c>
      <c r="I582">
        <f t="shared" si="106"/>
        <v>144.5</v>
      </c>
      <c r="M582">
        <f t="shared" si="107"/>
        <v>144.5</v>
      </c>
      <c r="R582" t="s">
        <v>395</v>
      </c>
    </row>
    <row r="583" spans="1:18" x14ac:dyDescent="0.2">
      <c r="A583">
        <f t="shared" si="104"/>
        <v>144.75</v>
      </c>
      <c r="B583" t="s">
        <v>240</v>
      </c>
      <c r="C583">
        <v>60</v>
      </c>
      <c r="D583">
        <f>16.35117682*1.059464^C583</f>
        <v>523.26449507501752</v>
      </c>
      <c r="E583">
        <f t="shared" si="105"/>
        <v>144.75</v>
      </c>
      <c r="I583">
        <f t="shared" si="106"/>
        <v>144.75</v>
      </c>
      <c r="M583">
        <f t="shared" si="107"/>
        <v>144.75</v>
      </c>
    </row>
    <row r="584" spans="1:18" x14ac:dyDescent="0.2">
      <c r="A584">
        <f t="shared" si="104"/>
        <v>145</v>
      </c>
      <c r="B584" t="s">
        <v>255</v>
      </c>
      <c r="C584">
        <v>64</v>
      </c>
      <c r="D584">
        <f>16.35117682*1.059464^C584</f>
        <v>659.27420622217721</v>
      </c>
      <c r="E584">
        <f t="shared" si="105"/>
        <v>145</v>
      </c>
      <c r="I584">
        <f t="shared" si="106"/>
        <v>145</v>
      </c>
      <c r="J584" t="s">
        <v>23</v>
      </c>
      <c r="K584">
        <v>55</v>
      </c>
      <c r="L584">
        <f>16.35117682*1.059464^K584</f>
        <v>392.00377257605692</v>
      </c>
      <c r="M584">
        <f t="shared" si="107"/>
        <v>145</v>
      </c>
    </row>
    <row r="585" spans="1:18" x14ac:dyDescent="0.2">
      <c r="A585">
        <f t="shared" si="104"/>
        <v>145.25</v>
      </c>
      <c r="E585">
        <f t="shared" si="105"/>
        <v>145.25</v>
      </c>
      <c r="I585">
        <f t="shared" si="106"/>
        <v>145.25</v>
      </c>
      <c r="M585">
        <f t="shared" si="107"/>
        <v>145.25</v>
      </c>
    </row>
    <row r="586" spans="1:18" x14ac:dyDescent="0.2">
      <c r="A586">
        <f t="shared" si="104"/>
        <v>145.5</v>
      </c>
      <c r="B586" t="s">
        <v>240</v>
      </c>
      <c r="C586">
        <v>60</v>
      </c>
      <c r="D586">
        <f>16.35117682*1.059464^C586</f>
        <v>523.26449507501752</v>
      </c>
      <c r="E586">
        <f t="shared" si="105"/>
        <v>145.5</v>
      </c>
      <c r="I586">
        <f t="shared" si="106"/>
        <v>145.5</v>
      </c>
      <c r="M586">
        <f t="shared" si="107"/>
        <v>145.5</v>
      </c>
    </row>
    <row r="587" spans="1:18" x14ac:dyDescent="0.2">
      <c r="A587">
        <f t="shared" si="104"/>
        <v>145.75</v>
      </c>
      <c r="E587">
        <f t="shared" si="105"/>
        <v>145.75</v>
      </c>
      <c r="I587">
        <f t="shared" si="106"/>
        <v>145.75</v>
      </c>
      <c r="M587">
        <f t="shared" si="107"/>
        <v>145.75</v>
      </c>
    </row>
    <row r="588" spans="1:18" x14ac:dyDescent="0.2">
      <c r="A588">
        <f t="shared" si="104"/>
        <v>146</v>
      </c>
      <c r="B588" t="s">
        <v>243</v>
      </c>
      <c r="C588">
        <v>57</v>
      </c>
      <c r="D588">
        <f>16.35117682*1.059464^C588</f>
        <v>440.01010976071973</v>
      </c>
      <c r="E588">
        <f t="shared" si="105"/>
        <v>146</v>
      </c>
      <c r="I588">
        <f t="shared" si="106"/>
        <v>146</v>
      </c>
      <c r="J588" t="s">
        <v>480</v>
      </c>
      <c r="K588">
        <v>50</v>
      </c>
      <c r="L588">
        <f>16.35117682*1.059464^K588</f>
        <v>293.66975814369101</v>
      </c>
      <c r="M588">
        <f t="shared" si="107"/>
        <v>146</v>
      </c>
      <c r="N588" t="s">
        <v>390</v>
      </c>
      <c r="O588">
        <v>53</v>
      </c>
      <c r="P588">
        <f>16.35117682*1.059464^O588</f>
        <v>349.23506143398839</v>
      </c>
    </row>
    <row r="589" spans="1:18" x14ac:dyDescent="0.2">
      <c r="A589">
        <f t="shared" si="104"/>
        <v>146.25</v>
      </c>
      <c r="B589" t="s">
        <v>240</v>
      </c>
      <c r="C589">
        <v>60</v>
      </c>
      <c r="D589">
        <f>16.35117682*1.059464^C589</f>
        <v>523.26449507501752</v>
      </c>
      <c r="E589">
        <f t="shared" si="105"/>
        <v>146.25</v>
      </c>
      <c r="I589">
        <f t="shared" si="106"/>
        <v>146.25</v>
      </c>
      <c r="M589">
        <f t="shared" si="107"/>
        <v>146.25</v>
      </c>
    </row>
    <row r="590" spans="1:18" x14ac:dyDescent="0.2">
      <c r="A590">
        <f t="shared" si="104"/>
        <v>146.5</v>
      </c>
      <c r="E590">
        <f t="shared" si="105"/>
        <v>146.5</v>
      </c>
      <c r="I590">
        <f t="shared" si="106"/>
        <v>146.5</v>
      </c>
      <c r="J590" t="s">
        <v>167</v>
      </c>
      <c r="K590">
        <v>51</v>
      </c>
      <c r="L590">
        <f>16.35117682*1.059464^K590</f>
        <v>311.13253664194741</v>
      </c>
      <c r="M590">
        <f t="shared" si="107"/>
        <v>146.5</v>
      </c>
      <c r="N590" t="s">
        <v>391</v>
      </c>
      <c r="O590">
        <v>54</v>
      </c>
      <c r="P590">
        <f>16.35117682*1.059464^O590</f>
        <v>370.00197512709912</v>
      </c>
    </row>
    <row r="591" spans="1:18" x14ac:dyDescent="0.2">
      <c r="A591">
        <f t="shared" si="104"/>
        <v>146.75</v>
      </c>
      <c r="B591" t="s">
        <v>243</v>
      </c>
      <c r="C591">
        <v>57</v>
      </c>
      <c r="D591">
        <f>16.35117682*1.059464^C591</f>
        <v>440.01010976071973</v>
      </c>
      <c r="E591">
        <f t="shared" si="105"/>
        <v>146.75</v>
      </c>
      <c r="I591">
        <f t="shared" si="106"/>
        <v>146.75</v>
      </c>
      <c r="M591">
        <f t="shared" si="107"/>
        <v>146.75</v>
      </c>
    </row>
    <row r="592" spans="1:18" x14ac:dyDescent="0.2">
      <c r="A592">
        <f t="shared" si="104"/>
        <v>147</v>
      </c>
      <c r="B592" t="s">
        <v>240</v>
      </c>
      <c r="C592">
        <v>60</v>
      </c>
      <c r="D592">
        <f>16.35117682*1.059464^C592</f>
        <v>523.26449507501752</v>
      </c>
      <c r="E592">
        <f t="shared" si="105"/>
        <v>147</v>
      </c>
      <c r="I592">
        <f t="shared" si="106"/>
        <v>147</v>
      </c>
      <c r="J592" t="s">
        <v>481</v>
      </c>
      <c r="K592">
        <v>52</v>
      </c>
      <c r="L592">
        <f>16.35117682*1.059464^K592</f>
        <v>329.63372180082422</v>
      </c>
      <c r="M592">
        <f t="shared" si="107"/>
        <v>147</v>
      </c>
      <c r="N592" t="s">
        <v>392</v>
      </c>
      <c r="O592">
        <v>55</v>
      </c>
      <c r="P592">
        <f>16.35117682*1.059464^O592</f>
        <v>392.00377257605692</v>
      </c>
    </row>
    <row r="593" spans="1:16" x14ac:dyDescent="0.2">
      <c r="A593">
        <f t="shared" si="104"/>
        <v>147.25</v>
      </c>
      <c r="E593">
        <f t="shared" si="105"/>
        <v>147.25</v>
      </c>
      <c r="I593">
        <f t="shared" si="106"/>
        <v>147.25</v>
      </c>
      <c r="M593">
        <f t="shared" si="107"/>
        <v>147.25</v>
      </c>
    </row>
    <row r="594" spans="1:16" x14ac:dyDescent="0.2">
      <c r="A594">
        <f t="shared" si="104"/>
        <v>147.5</v>
      </c>
      <c r="B594" t="s">
        <v>243</v>
      </c>
      <c r="C594">
        <v>57</v>
      </c>
      <c r="D594">
        <f>16.35117682*1.059464^C594</f>
        <v>440.01010976071973</v>
      </c>
      <c r="E594">
        <f t="shared" si="105"/>
        <v>147.5</v>
      </c>
      <c r="I594">
        <f t="shared" si="106"/>
        <v>147.5</v>
      </c>
      <c r="J594" t="s">
        <v>164</v>
      </c>
      <c r="K594">
        <v>51</v>
      </c>
      <c r="L594">
        <f>16.35117682*1.059464^K594</f>
        <v>311.13253664194741</v>
      </c>
      <c r="M594">
        <f t="shared" si="107"/>
        <v>147.5</v>
      </c>
      <c r="N594" t="s">
        <v>393</v>
      </c>
      <c r="O594">
        <v>54</v>
      </c>
      <c r="P594">
        <f>16.35117682*1.059464^O594</f>
        <v>370.00197512709912</v>
      </c>
    </row>
    <row r="595" spans="1:16" x14ac:dyDescent="0.2">
      <c r="A595">
        <f t="shared" si="104"/>
        <v>147.75</v>
      </c>
      <c r="B595" t="s">
        <v>240</v>
      </c>
      <c r="C595">
        <v>60</v>
      </c>
      <c r="D595">
        <f>16.35117682*1.059464^C595</f>
        <v>523.26449507501752</v>
      </c>
      <c r="E595">
        <f t="shared" si="105"/>
        <v>147.75</v>
      </c>
      <c r="I595">
        <f t="shared" si="106"/>
        <v>147.75</v>
      </c>
      <c r="M595">
        <f t="shared" si="107"/>
        <v>147.75</v>
      </c>
    </row>
    <row r="596" spans="1:16" x14ac:dyDescent="0.2">
      <c r="A596">
        <f t="shared" si="104"/>
        <v>148</v>
      </c>
      <c r="B596" t="s">
        <v>243</v>
      </c>
      <c r="C596">
        <v>57</v>
      </c>
      <c r="D596">
        <f>16.35117682*1.059464^C596</f>
        <v>440.01010976071973</v>
      </c>
      <c r="E596">
        <f t="shared" si="105"/>
        <v>148</v>
      </c>
      <c r="I596">
        <f t="shared" si="106"/>
        <v>148</v>
      </c>
      <c r="J596" t="s">
        <v>480</v>
      </c>
      <c r="K596">
        <v>50</v>
      </c>
      <c r="L596">
        <f>16.35117682*1.059464^K596</f>
        <v>293.66975814369101</v>
      </c>
      <c r="M596">
        <f t="shared" si="107"/>
        <v>148</v>
      </c>
      <c r="N596" t="s">
        <v>390</v>
      </c>
      <c r="O596">
        <v>53</v>
      </c>
      <c r="P596">
        <f>16.35117682*1.059464^O596</f>
        <v>349.23506143398839</v>
      </c>
    </row>
    <row r="597" spans="1:16" x14ac:dyDescent="0.2">
      <c r="A597">
        <f t="shared" si="104"/>
        <v>148.25</v>
      </c>
      <c r="E597">
        <f t="shared" si="105"/>
        <v>148.25</v>
      </c>
      <c r="I597">
        <f t="shared" si="106"/>
        <v>148.25</v>
      </c>
      <c r="M597">
        <f t="shared" si="107"/>
        <v>148.25</v>
      </c>
    </row>
    <row r="598" spans="1:16" x14ac:dyDescent="0.2">
      <c r="A598">
        <f t="shared" si="104"/>
        <v>148.5</v>
      </c>
      <c r="E598">
        <f t="shared" si="105"/>
        <v>148.5</v>
      </c>
      <c r="I598">
        <f t="shared" si="106"/>
        <v>148.5</v>
      </c>
      <c r="J598" t="s">
        <v>164</v>
      </c>
      <c r="K598">
        <v>51</v>
      </c>
      <c r="L598">
        <f>16.35117682*1.059464^K598</f>
        <v>311.13253664194741</v>
      </c>
      <c r="M598">
        <f t="shared" si="107"/>
        <v>148.5</v>
      </c>
      <c r="N598" t="s">
        <v>393</v>
      </c>
      <c r="O598">
        <v>54</v>
      </c>
      <c r="P598">
        <f>16.35117682*1.059464^O598</f>
        <v>370.00197512709912</v>
      </c>
    </row>
    <row r="599" spans="1:16" x14ac:dyDescent="0.2">
      <c r="A599">
        <f t="shared" si="104"/>
        <v>148.75</v>
      </c>
      <c r="E599">
        <f t="shared" si="105"/>
        <v>148.75</v>
      </c>
      <c r="I599">
        <f t="shared" si="106"/>
        <v>148.75</v>
      </c>
      <c r="M599">
        <f t="shared" si="107"/>
        <v>148.75</v>
      </c>
    </row>
    <row r="600" spans="1:16" x14ac:dyDescent="0.2">
      <c r="A600">
        <f t="shared" si="104"/>
        <v>149</v>
      </c>
      <c r="E600">
        <f t="shared" si="105"/>
        <v>149</v>
      </c>
      <c r="I600">
        <f t="shared" si="106"/>
        <v>149</v>
      </c>
      <c r="J600" t="s">
        <v>480</v>
      </c>
      <c r="K600">
        <v>50</v>
      </c>
      <c r="L600">
        <f>16.35117682*1.059464^K600</f>
        <v>293.66975814369101</v>
      </c>
      <c r="M600">
        <f t="shared" si="107"/>
        <v>149</v>
      </c>
      <c r="N600" t="s">
        <v>390</v>
      </c>
      <c r="O600">
        <v>53</v>
      </c>
      <c r="P600">
        <f>16.35117682*1.059464^O600</f>
        <v>349.23506143398839</v>
      </c>
    </row>
    <row r="601" spans="1:16" x14ac:dyDescent="0.2">
      <c r="A601">
        <f t="shared" si="104"/>
        <v>149.25</v>
      </c>
      <c r="E601">
        <f t="shared" si="105"/>
        <v>149.25</v>
      </c>
      <c r="I601">
        <f t="shared" si="106"/>
        <v>149.25</v>
      </c>
      <c r="M601">
        <f t="shared" si="107"/>
        <v>149.25</v>
      </c>
    </row>
    <row r="602" spans="1:16" x14ac:dyDescent="0.2">
      <c r="A602">
        <f t="shared" si="104"/>
        <v>149.5</v>
      </c>
      <c r="E602">
        <f t="shared" si="105"/>
        <v>149.5</v>
      </c>
      <c r="I602">
        <f t="shared" si="106"/>
        <v>149.5</v>
      </c>
      <c r="J602" t="s">
        <v>291</v>
      </c>
      <c r="K602">
        <v>49</v>
      </c>
      <c r="L602">
        <f>16.35117682*1.059464^K602</f>
        <v>277.18710418069043</v>
      </c>
      <c r="M602">
        <f t="shared" si="107"/>
        <v>149.5</v>
      </c>
      <c r="N602" t="s">
        <v>394</v>
      </c>
      <c r="O602">
        <v>52</v>
      </c>
      <c r="P602">
        <f>16.35117682*1.059464^O602</f>
        <v>329.63372180082422</v>
      </c>
    </row>
    <row r="603" spans="1:16" x14ac:dyDescent="0.2">
      <c r="A603">
        <f t="shared" si="104"/>
        <v>149.75</v>
      </c>
      <c r="E603">
        <f t="shared" si="105"/>
        <v>149.75</v>
      </c>
      <c r="I603">
        <f t="shared" si="106"/>
        <v>149.75</v>
      </c>
      <c r="M603">
        <f t="shared" si="107"/>
        <v>149.75</v>
      </c>
    </row>
    <row r="604" spans="1:16" x14ac:dyDescent="0.2">
      <c r="A604">
        <f t="shared" si="104"/>
        <v>150</v>
      </c>
      <c r="B604" t="s">
        <v>239</v>
      </c>
      <c r="C604">
        <v>55</v>
      </c>
      <c r="D604">
        <f>16.35117682*1.059464^C604</f>
        <v>392.00377257605692</v>
      </c>
      <c r="E604">
        <f t="shared" si="105"/>
        <v>150</v>
      </c>
      <c r="I604">
        <f t="shared" si="106"/>
        <v>150</v>
      </c>
      <c r="J604" t="s">
        <v>479</v>
      </c>
      <c r="K604">
        <v>48</v>
      </c>
      <c r="L604">
        <f>16.35117682*1.059464^K604</f>
        <v>261.62956379894968</v>
      </c>
      <c r="M604">
        <f t="shared" si="107"/>
        <v>150</v>
      </c>
      <c r="N604" t="s">
        <v>320</v>
      </c>
      <c r="O604">
        <v>51</v>
      </c>
      <c r="P604">
        <f>16.35117682*1.059464^O604</f>
        <v>311.13253664194741</v>
      </c>
    </row>
    <row r="605" spans="1:16" x14ac:dyDescent="0.2">
      <c r="A605">
        <f t="shared" si="104"/>
        <v>150.25</v>
      </c>
      <c r="B605" t="s">
        <v>243</v>
      </c>
      <c r="C605">
        <v>57</v>
      </c>
      <c r="D605">
        <f>16.35117682*1.059464^C605</f>
        <v>440.01010976071973</v>
      </c>
      <c r="E605">
        <f t="shared" si="105"/>
        <v>150.25</v>
      </c>
      <c r="I605">
        <f t="shared" si="106"/>
        <v>150.25</v>
      </c>
      <c r="M605">
        <f t="shared" si="107"/>
        <v>150.25</v>
      </c>
    </row>
    <row r="606" spans="1:16" x14ac:dyDescent="0.2">
      <c r="A606">
        <f t="shared" si="104"/>
        <v>150.5</v>
      </c>
      <c r="E606">
        <f t="shared" si="105"/>
        <v>150.5</v>
      </c>
      <c r="I606">
        <f t="shared" si="106"/>
        <v>150.5</v>
      </c>
      <c r="J606" t="s">
        <v>47</v>
      </c>
      <c r="K606">
        <v>47</v>
      </c>
      <c r="L606">
        <f>16.35117682*1.059464^K606</f>
        <v>246.94521361646048</v>
      </c>
      <c r="M606">
        <f t="shared" si="107"/>
        <v>150.5</v>
      </c>
      <c r="N606" t="s">
        <v>321</v>
      </c>
      <c r="O606">
        <v>50</v>
      </c>
      <c r="P606">
        <f>16.35117682*1.059464^O606</f>
        <v>293.66975814369101</v>
      </c>
    </row>
    <row r="607" spans="1:16" x14ac:dyDescent="0.2">
      <c r="A607">
        <f t="shared" si="104"/>
        <v>150.75</v>
      </c>
      <c r="B607" t="s">
        <v>239</v>
      </c>
      <c r="C607">
        <v>55</v>
      </c>
      <c r="D607">
        <f>16.35117682*1.059464^C607</f>
        <v>392.00377257605692</v>
      </c>
      <c r="E607">
        <f t="shared" si="105"/>
        <v>150.75</v>
      </c>
      <c r="I607">
        <f t="shared" si="106"/>
        <v>150.75</v>
      </c>
      <c r="M607">
        <f t="shared" si="107"/>
        <v>150.75</v>
      </c>
    </row>
    <row r="608" spans="1:16" x14ac:dyDescent="0.2">
      <c r="A608">
        <f t="shared" si="104"/>
        <v>151</v>
      </c>
      <c r="B608" t="s">
        <v>481</v>
      </c>
      <c r="C608">
        <v>52</v>
      </c>
      <c r="D608">
        <f>16.35117682*1.059464^C608</f>
        <v>329.63372180082422</v>
      </c>
      <c r="E608">
        <f t="shared" si="105"/>
        <v>151</v>
      </c>
      <c r="I608">
        <f t="shared" si="106"/>
        <v>151</v>
      </c>
      <c r="J608" t="s">
        <v>292</v>
      </c>
      <c r="K608">
        <v>46</v>
      </c>
      <c r="L608">
        <f>16.35117682*1.059464^K608</f>
        <v>233.08504452861115</v>
      </c>
      <c r="M608">
        <f t="shared" si="107"/>
        <v>151</v>
      </c>
      <c r="N608" t="s">
        <v>322</v>
      </c>
      <c r="O608">
        <v>49</v>
      </c>
      <c r="P608">
        <f>16.35117682*1.059464^O608</f>
        <v>277.18710418069043</v>
      </c>
    </row>
    <row r="609" spans="1:16" x14ac:dyDescent="0.2">
      <c r="A609">
        <f t="shared" si="104"/>
        <v>151.25</v>
      </c>
      <c r="E609">
        <f t="shared" si="105"/>
        <v>151.25</v>
      </c>
      <c r="I609">
        <f t="shared" si="106"/>
        <v>151.25</v>
      </c>
      <c r="M609">
        <f t="shared" si="107"/>
        <v>151.25</v>
      </c>
    </row>
    <row r="610" spans="1:16" x14ac:dyDescent="0.2">
      <c r="A610">
        <f t="shared" si="104"/>
        <v>151.5</v>
      </c>
      <c r="B610" t="s">
        <v>239</v>
      </c>
      <c r="C610">
        <v>55</v>
      </c>
      <c r="D610">
        <f>16.35117682*1.059464^C610</f>
        <v>392.00377257605692</v>
      </c>
      <c r="E610">
        <f t="shared" si="105"/>
        <v>151.5</v>
      </c>
      <c r="I610">
        <f t="shared" si="106"/>
        <v>151.5</v>
      </c>
      <c r="J610" t="s">
        <v>46</v>
      </c>
      <c r="K610">
        <v>45</v>
      </c>
      <c r="L610">
        <f>16.35117682*1.059464^K610</f>
        <v>220.00279814001337</v>
      </c>
      <c r="M610">
        <f t="shared" si="107"/>
        <v>151.5</v>
      </c>
      <c r="N610" t="s">
        <v>323</v>
      </c>
      <c r="O610">
        <v>48</v>
      </c>
      <c r="P610">
        <f>16.35117682*1.059464^O610</f>
        <v>261.62956379894968</v>
      </c>
    </row>
    <row r="611" spans="1:16" x14ac:dyDescent="0.2">
      <c r="A611">
        <f t="shared" si="104"/>
        <v>151.75</v>
      </c>
      <c r="E611">
        <f t="shared" si="105"/>
        <v>151.75</v>
      </c>
      <c r="I611">
        <f t="shared" si="106"/>
        <v>151.75</v>
      </c>
      <c r="M611">
        <f t="shared" si="107"/>
        <v>151.75</v>
      </c>
    </row>
    <row r="612" spans="1:16" x14ac:dyDescent="0.2">
      <c r="A612">
        <f t="shared" si="104"/>
        <v>152</v>
      </c>
      <c r="B612" t="s">
        <v>481</v>
      </c>
      <c r="C612">
        <v>52</v>
      </c>
      <c r="D612">
        <f>16.35117682*1.059464^C612</f>
        <v>329.63372180082422</v>
      </c>
      <c r="E612">
        <f t="shared" si="105"/>
        <v>152</v>
      </c>
      <c r="I612">
        <f t="shared" si="106"/>
        <v>152</v>
      </c>
      <c r="J612" t="s">
        <v>168</v>
      </c>
      <c r="K612">
        <v>44</v>
      </c>
      <c r="L612">
        <f>16.35117682*1.059464^K612</f>
        <v>207.65481237683719</v>
      </c>
      <c r="M612">
        <f t="shared" si="107"/>
        <v>152</v>
      </c>
      <c r="N612" t="s">
        <v>324</v>
      </c>
      <c r="O612">
        <v>47</v>
      </c>
      <c r="P612">
        <f>16.35117682*1.059464^O612</f>
        <v>246.94521361646048</v>
      </c>
    </row>
    <row r="613" spans="1:16" x14ac:dyDescent="0.2">
      <c r="A613">
        <f t="shared" si="104"/>
        <v>152.25</v>
      </c>
      <c r="B613" t="s">
        <v>482</v>
      </c>
      <c r="C613">
        <v>53</v>
      </c>
      <c r="D613">
        <f>16.35117682*1.059464^C613</f>
        <v>349.23506143398839</v>
      </c>
      <c r="E613">
        <f t="shared" si="105"/>
        <v>152.25</v>
      </c>
      <c r="I613">
        <f t="shared" si="106"/>
        <v>152.25</v>
      </c>
      <c r="M613">
        <f t="shared" si="107"/>
        <v>152.25</v>
      </c>
    </row>
    <row r="614" spans="1:16" x14ac:dyDescent="0.2">
      <c r="A614">
        <f t="shared" si="104"/>
        <v>152.5</v>
      </c>
      <c r="E614">
        <f t="shared" si="105"/>
        <v>152.5</v>
      </c>
      <c r="I614">
        <f t="shared" si="106"/>
        <v>152.5</v>
      </c>
      <c r="J614" t="s">
        <v>44</v>
      </c>
      <c r="K614">
        <v>43</v>
      </c>
      <c r="L614">
        <f>16.35117682*1.059464^K614</f>
        <v>195.99987576438383</v>
      </c>
      <c r="M614">
        <f t="shared" si="107"/>
        <v>152.5</v>
      </c>
      <c r="N614" t="s">
        <v>325</v>
      </c>
      <c r="O614">
        <v>46</v>
      </c>
      <c r="P614">
        <f>16.35117682*1.059464^O614</f>
        <v>233.08504452861115</v>
      </c>
    </row>
    <row r="615" spans="1:16" x14ac:dyDescent="0.2">
      <c r="A615">
        <f t="shared" si="104"/>
        <v>152.75</v>
      </c>
      <c r="B615" t="s">
        <v>481</v>
      </c>
      <c r="C615">
        <v>52</v>
      </c>
      <c r="D615">
        <f>16.35117682*1.059464^C615</f>
        <v>329.63372180082422</v>
      </c>
      <c r="E615">
        <f t="shared" si="105"/>
        <v>152.75</v>
      </c>
      <c r="I615">
        <f t="shared" si="106"/>
        <v>152.75</v>
      </c>
      <c r="M615">
        <f t="shared" si="107"/>
        <v>152.75</v>
      </c>
    </row>
    <row r="616" spans="1:16" x14ac:dyDescent="0.2">
      <c r="A616">
        <f t="shared" si="104"/>
        <v>153</v>
      </c>
      <c r="B616" t="s">
        <v>479</v>
      </c>
      <c r="C616">
        <v>48</v>
      </c>
      <c r="D616">
        <f>16.35117682*1.059464^C616</f>
        <v>261.62956379894968</v>
      </c>
      <c r="E616">
        <f t="shared" si="105"/>
        <v>153</v>
      </c>
      <c r="I616">
        <f t="shared" si="106"/>
        <v>153</v>
      </c>
      <c r="J616" t="s">
        <v>169</v>
      </c>
      <c r="K616">
        <v>42</v>
      </c>
      <c r="L616">
        <f>16.35117682*1.059464^K616</f>
        <v>184.99908988354849</v>
      </c>
      <c r="M616">
        <f t="shared" si="107"/>
        <v>153</v>
      </c>
      <c r="N616" t="s">
        <v>326</v>
      </c>
      <c r="O616">
        <v>45</v>
      </c>
      <c r="P616">
        <f>16.35117682*1.059464^O616</f>
        <v>220.00279814001337</v>
      </c>
    </row>
    <row r="617" spans="1:16" x14ac:dyDescent="0.2">
      <c r="A617">
        <f t="shared" si="104"/>
        <v>153.25</v>
      </c>
      <c r="E617">
        <f t="shared" si="105"/>
        <v>153.25</v>
      </c>
      <c r="I617">
        <f t="shared" si="106"/>
        <v>153.25</v>
      </c>
      <c r="M617">
        <f t="shared" si="107"/>
        <v>153.25</v>
      </c>
    </row>
    <row r="618" spans="1:16" x14ac:dyDescent="0.2">
      <c r="A618">
        <f t="shared" si="104"/>
        <v>153.5</v>
      </c>
      <c r="E618">
        <f t="shared" si="105"/>
        <v>153.5</v>
      </c>
      <c r="I618">
        <f t="shared" si="106"/>
        <v>153.5</v>
      </c>
      <c r="J618" t="s">
        <v>30</v>
      </c>
      <c r="K618">
        <v>41</v>
      </c>
      <c r="L618">
        <f>16.35117682*1.059464^K618</f>
        <v>174.61573954711864</v>
      </c>
      <c r="M618">
        <f t="shared" si="107"/>
        <v>153.5</v>
      </c>
      <c r="N618" t="s">
        <v>327</v>
      </c>
      <c r="O618">
        <v>44</v>
      </c>
      <c r="P618">
        <f>16.35117682*1.059464^O618</f>
        <v>207.65481237683719</v>
      </c>
    </row>
    <row r="619" spans="1:16" x14ac:dyDescent="0.2">
      <c r="A619">
        <f t="shared" si="104"/>
        <v>153.75</v>
      </c>
      <c r="E619">
        <f t="shared" si="105"/>
        <v>153.75</v>
      </c>
      <c r="I619">
        <f t="shared" si="106"/>
        <v>153.75</v>
      </c>
      <c r="M619">
        <f t="shared" si="107"/>
        <v>153.75</v>
      </c>
    </row>
    <row r="620" spans="1:16" x14ac:dyDescent="0.2">
      <c r="A620">
        <f t="shared" si="104"/>
        <v>154</v>
      </c>
      <c r="B620" t="s">
        <v>479</v>
      </c>
      <c r="C620">
        <v>48</v>
      </c>
      <c r="D620">
        <f>16.35117682*1.059464^C620</f>
        <v>261.62956379894968</v>
      </c>
      <c r="E620">
        <f t="shared" si="105"/>
        <v>154</v>
      </c>
      <c r="I620">
        <f t="shared" si="106"/>
        <v>154</v>
      </c>
      <c r="J620" t="s">
        <v>29</v>
      </c>
      <c r="K620">
        <v>40</v>
      </c>
      <c r="L620">
        <f>16.35117682*1.059464^K620</f>
        <v>164.8151702626221</v>
      </c>
      <c r="M620">
        <f t="shared" si="107"/>
        <v>154</v>
      </c>
      <c r="N620" t="s">
        <v>328</v>
      </c>
      <c r="O620">
        <v>43</v>
      </c>
      <c r="P620">
        <f>16.35117682*1.059464^O620</f>
        <v>195.99987576438383</v>
      </c>
    </row>
    <row r="621" spans="1:16" x14ac:dyDescent="0.2">
      <c r="A621">
        <f t="shared" si="104"/>
        <v>154.25</v>
      </c>
      <c r="B621" t="s">
        <v>480</v>
      </c>
      <c r="C621">
        <v>50</v>
      </c>
      <c r="D621">
        <f>16.35117682*1.059464^C621</f>
        <v>293.66975814369101</v>
      </c>
      <c r="E621">
        <f t="shared" si="105"/>
        <v>154.25</v>
      </c>
      <c r="I621">
        <f t="shared" si="106"/>
        <v>154.25</v>
      </c>
      <c r="M621">
        <f t="shared" si="107"/>
        <v>154.25</v>
      </c>
    </row>
    <row r="622" spans="1:16" x14ac:dyDescent="0.2">
      <c r="A622">
        <f t="shared" si="104"/>
        <v>154.5</v>
      </c>
      <c r="E622">
        <f t="shared" si="105"/>
        <v>154.5</v>
      </c>
      <c r="I622">
        <f t="shared" si="106"/>
        <v>154.5</v>
      </c>
      <c r="J622" t="s">
        <v>170</v>
      </c>
      <c r="K622">
        <v>39</v>
      </c>
      <c r="L622">
        <f>16.35117682*1.059464^K622</f>
        <v>155.56467257275574</v>
      </c>
      <c r="M622">
        <f t="shared" si="107"/>
        <v>154.5</v>
      </c>
      <c r="N622" t="s">
        <v>329</v>
      </c>
      <c r="O622">
        <v>42</v>
      </c>
      <c r="P622">
        <f>16.35117682*1.059464^O622</f>
        <v>184.99908988354849</v>
      </c>
    </row>
    <row r="623" spans="1:16" x14ac:dyDescent="0.2">
      <c r="A623">
        <f t="shared" si="104"/>
        <v>154.75</v>
      </c>
      <c r="B623" t="s">
        <v>479</v>
      </c>
      <c r="C623">
        <v>48</v>
      </c>
      <c r="D623">
        <f>16.35117682*1.059464^C623</f>
        <v>261.62956379894968</v>
      </c>
      <c r="E623">
        <f t="shared" si="105"/>
        <v>154.75</v>
      </c>
      <c r="I623">
        <f t="shared" si="106"/>
        <v>154.75</v>
      </c>
      <c r="M623">
        <f t="shared" si="107"/>
        <v>154.75</v>
      </c>
    </row>
    <row r="624" spans="1:16" x14ac:dyDescent="0.2">
      <c r="A624">
        <f t="shared" si="104"/>
        <v>155</v>
      </c>
      <c r="B624" t="s">
        <v>44</v>
      </c>
      <c r="C624">
        <v>43</v>
      </c>
      <c r="D624">
        <f>16.35117682*1.059464^C624</f>
        <v>195.99987576438383</v>
      </c>
      <c r="E624">
        <f t="shared" si="105"/>
        <v>155</v>
      </c>
      <c r="I624">
        <f t="shared" si="106"/>
        <v>155</v>
      </c>
      <c r="J624" t="s">
        <v>28</v>
      </c>
      <c r="K624">
        <v>38</v>
      </c>
      <c r="L624">
        <f>16.35117682*1.059464^K624</f>
        <v>146.83337288738056</v>
      </c>
      <c r="M624">
        <f t="shared" si="107"/>
        <v>155</v>
      </c>
      <c r="N624" t="s">
        <v>330</v>
      </c>
      <c r="O624">
        <v>41</v>
      </c>
      <c r="P624">
        <f>16.35117682*1.059464^O624</f>
        <v>174.61573954711864</v>
      </c>
    </row>
    <row r="625" spans="1:16" x14ac:dyDescent="0.2">
      <c r="A625">
        <f t="shared" si="104"/>
        <v>155.25</v>
      </c>
      <c r="E625">
        <f t="shared" si="105"/>
        <v>155.25</v>
      </c>
      <c r="I625">
        <f t="shared" si="106"/>
        <v>155.25</v>
      </c>
      <c r="M625">
        <f t="shared" si="107"/>
        <v>155.25</v>
      </c>
    </row>
    <row r="626" spans="1:16" x14ac:dyDescent="0.2">
      <c r="A626">
        <f t="shared" si="104"/>
        <v>155.5</v>
      </c>
      <c r="B626" t="s">
        <v>44</v>
      </c>
      <c r="C626">
        <v>43</v>
      </c>
      <c r="D626">
        <f>16.35117682*1.059464^C626</f>
        <v>195.99987576438383</v>
      </c>
      <c r="E626">
        <f t="shared" si="105"/>
        <v>155.5</v>
      </c>
      <c r="I626">
        <f t="shared" si="106"/>
        <v>155.5</v>
      </c>
      <c r="J626" t="s">
        <v>387</v>
      </c>
      <c r="K626">
        <v>37</v>
      </c>
      <c r="L626">
        <f>16.35117682*1.059464^K626</f>
        <v>138.5921304427338</v>
      </c>
      <c r="M626">
        <f t="shared" si="107"/>
        <v>155.5</v>
      </c>
      <c r="N626" t="s">
        <v>331</v>
      </c>
      <c r="O626">
        <v>42</v>
      </c>
      <c r="P626">
        <f>16.35117682*1.059464^O626</f>
        <v>184.99908988354849</v>
      </c>
    </row>
    <row r="627" spans="1:16" x14ac:dyDescent="0.2">
      <c r="A627">
        <f t="shared" si="104"/>
        <v>155.75</v>
      </c>
      <c r="B627" t="s">
        <v>47</v>
      </c>
      <c r="C627">
        <v>47</v>
      </c>
      <c r="D627">
        <f>16.35117682*1.059464^C627</f>
        <v>246.94521361646048</v>
      </c>
      <c r="E627">
        <f t="shared" si="105"/>
        <v>155.75</v>
      </c>
      <c r="I627">
        <f t="shared" si="106"/>
        <v>155.75</v>
      </c>
      <c r="M627">
        <f t="shared" si="107"/>
        <v>155.75</v>
      </c>
    </row>
    <row r="628" spans="1:16" x14ac:dyDescent="0.2">
      <c r="A628">
        <f t="shared" si="104"/>
        <v>156</v>
      </c>
      <c r="B628" t="s">
        <v>44</v>
      </c>
      <c r="C628">
        <v>43</v>
      </c>
      <c r="D628">
        <f>16.35117682*1.059464^C628</f>
        <v>195.99987576438383</v>
      </c>
      <c r="E628">
        <f t="shared" si="105"/>
        <v>156</v>
      </c>
      <c r="I628">
        <f t="shared" si="106"/>
        <v>156</v>
      </c>
      <c r="J628" t="s">
        <v>29</v>
      </c>
      <c r="K628">
        <v>38</v>
      </c>
      <c r="L628">
        <f>16.35117682*1.059464^K628</f>
        <v>146.83337288738056</v>
      </c>
      <c r="M628">
        <f t="shared" si="107"/>
        <v>156</v>
      </c>
      <c r="N628" t="s">
        <v>330</v>
      </c>
      <c r="O628">
        <v>41</v>
      </c>
      <c r="P628">
        <f>16.35117682*1.059464^O628</f>
        <v>174.61573954711864</v>
      </c>
    </row>
    <row r="629" spans="1:16" x14ac:dyDescent="0.2">
      <c r="A629">
        <f t="shared" si="104"/>
        <v>156.25</v>
      </c>
      <c r="E629">
        <f t="shared" si="105"/>
        <v>156.25</v>
      </c>
      <c r="I629">
        <f t="shared" si="106"/>
        <v>156.25</v>
      </c>
      <c r="M629">
        <f t="shared" si="107"/>
        <v>156.25</v>
      </c>
    </row>
    <row r="630" spans="1:16" x14ac:dyDescent="0.2">
      <c r="A630">
        <f t="shared" si="104"/>
        <v>156.5</v>
      </c>
      <c r="E630">
        <f t="shared" si="105"/>
        <v>156.5</v>
      </c>
      <c r="I630">
        <f t="shared" si="106"/>
        <v>156.5</v>
      </c>
      <c r="J630" t="s">
        <v>45</v>
      </c>
      <c r="K630">
        <v>31</v>
      </c>
      <c r="L630">
        <f>16.35117682*1.059464^K630</f>
        <v>97.998932630681253</v>
      </c>
      <c r="M630">
        <f t="shared" si="107"/>
        <v>156.5</v>
      </c>
    </row>
    <row r="631" spans="1:16" x14ac:dyDescent="0.2">
      <c r="A631">
        <f t="shared" si="104"/>
        <v>156.75</v>
      </c>
      <c r="E631">
        <f t="shared" si="105"/>
        <v>156.75</v>
      </c>
      <c r="I631">
        <f t="shared" si="106"/>
        <v>156.75</v>
      </c>
      <c r="M631">
        <f t="shared" si="107"/>
        <v>156.75</v>
      </c>
    </row>
    <row r="632" spans="1:16" x14ac:dyDescent="0.2">
      <c r="A632">
        <f t="shared" si="104"/>
        <v>157</v>
      </c>
      <c r="E632">
        <f t="shared" si="105"/>
        <v>157</v>
      </c>
      <c r="I632">
        <f t="shared" si="106"/>
        <v>157</v>
      </c>
      <c r="J632" t="s">
        <v>170</v>
      </c>
      <c r="K632">
        <v>37</v>
      </c>
      <c r="L632">
        <f>16.35117682*1.059464^K632</f>
        <v>138.5921304427338</v>
      </c>
      <c r="M632">
        <f t="shared" si="107"/>
        <v>157</v>
      </c>
      <c r="N632" t="s">
        <v>330</v>
      </c>
      <c r="O632">
        <v>41</v>
      </c>
      <c r="P632">
        <f>16.35117682*1.059464^O632</f>
        <v>174.61573954711864</v>
      </c>
    </row>
    <row r="633" spans="1:16" x14ac:dyDescent="0.2">
      <c r="A633">
        <f t="shared" si="104"/>
        <v>157.25</v>
      </c>
      <c r="E633">
        <f t="shared" si="105"/>
        <v>157.25</v>
      </c>
      <c r="I633">
        <f t="shared" si="106"/>
        <v>157.25</v>
      </c>
      <c r="M633">
        <f t="shared" si="107"/>
        <v>157.25</v>
      </c>
    </row>
    <row r="634" spans="1:16" x14ac:dyDescent="0.2">
      <c r="A634">
        <f t="shared" si="104"/>
        <v>157.5</v>
      </c>
      <c r="E634">
        <f t="shared" si="105"/>
        <v>157.5</v>
      </c>
      <c r="I634">
        <f t="shared" si="106"/>
        <v>157.5</v>
      </c>
      <c r="J634" t="s">
        <v>45</v>
      </c>
      <c r="K634">
        <v>31</v>
      </c>
      <c r="L634">
        <f>16.35117682*1.059464^K634</f>
        <v>97.998932630681253</v>
      </c>
      <c r="M634">
        <f t="shared" si="107"/>
        <v>157.5</v>
      </c>
    </row>
    <row r="635" spans="1:16" x14ac:dyDescent="0.2">
      <c r="A635">
        <f t="shared" si="104"/>
        <v>157.75</v>
      </c>
      <c r="E635">
        <f t="shared" si="105"/>
        <v>157.75</v>
      </c>
      <c r="I635">
        <f t="shared" si="106"/>
        <v>157.75</v>
      </c>
      <c r="M635">
        <f t="shared" si="107"/>
        <v>157.75</v>
      </c>
    </row>
    <row r="636" spans="1:16" x14ac:dyDescent="0.2">
      <c r="A636">
        <f t="shared" si="104"/>
        <v>158</v>
      </c>
      <c r="B636" t="s">
        <v>29</v>
      </c>
      <c r="C636">
        <v>40</v>
      </c>
      <c r="D636">
        <f>16.35117682*1.059464^C636</f>
        <v>164.8151702626221</v>
      </c>
      <c r="E636">
        <f t="shared" si="105"/>
        <v>158</v>
      </c>
      <c r="I636">
        <f t="shared" si="106"/>
        <v>158</v>
      </c>
      <c r="J636" t="s">
        <v>27</v>
      </c>
      <c r="K636">
        <v>36</v>
      </c>
      <c r="L636">
        <f>16.35117682*1.059464^K636</f>
        <v>130.81344004395982</v>
      </c>
      <c r="M636">
        <f t="shared" si="107"/>
        <v>158</v>
      </c>
    </row>
    <row r="637" spans="1:16" x14ac:dyDescent="0.2">
      <c r="A637">
        <f t="shared" si="104"/>
        <v>158.25</v>
      </c>
      <c r="B637" t="s">
        <v>44</v>
      </c>
      <c r="C637">
        <v>43</v>
      </c>
      <c r="D637">
        <f>16.35117682*1.059464^C637</f>
        <v>195.99987576438383</v>
      </c>
      <c r="E637">
        <f t="shared" si="105"/>
        <v>158.25</v>
      </c>
      <c r="I637">
        <f t="shared" si="106"/>
        <v>158.25</v>
      </c>
      <c r="M637">
        <f t="shared" si="107"/>
        <v>158.25</v>
      </c>
    </row>
    <row r="638" spans="1:16" x14ac:dyDescent="0.2">
      <c r="A638">
        <f t="shared" si="104"/>
        <v>158.5</v>
      </c>
      <c r="E638">
        <f t="shared" si="105"/>
        <v>158.5</v>
      </c>
      <c r="I638">
        <f t="shared" si="106"/>
        <v>158.5</v>
      </c>
      <c r="J638" t="s">
        <v>479</v>
      </c>
      <c r="K638">
        <v>48</v>
      </c>
      <c r="L638">
        <f>16.35117682*1.059464^K638</f>
        <v>261.62956379894968</v>
      </c>
      <c r="M638">
        <f t="shared" si="107"/>
        <v>158.5</v>
      </c>
    </row>
    <row r="639" spans="1:16" x14ac:dyDescent="0.2">
      <c r="A639">
        <f t="shared" si="104"/>
        <v>158.75</v>
      </c>
      <c r="B639" t="s">
        <v>29</v>
      </c>
      <c r="C639">
        <v>40</v>
      </c>
      <c r="D639">
        <f>16.35117682*1.059464^C639</f>
        <v>164.8151702626221</v>
      </c>
      <c r="E639">
        <f t="shared" si="105"/>
        <v>158.75</v>
      </c>
      <c r="I639">
        <f t="shared" si="106"/>
        <v>158.75</v>
      </c>
      <c r="M639">
        <f t="shared" si="107"/>
        <v>158.75</v>
      </c>
    </row>
    <row r="640" spans="1:16" x14ac:dyDescent="0.2">
      <c r="A640">
        <f t="shared" si="104"/>
        <v>159</v>
      </c>
      <c r="B640" t="s">
        <v>44</v>
      </c>
      <c r="C640">
        <v>43</v>
      </c>
      <c r="D640">
        <f>16.35117682*1.059464^C640</f>
        <v>195.99987576438383</v>
      </c>
      <c r="E640">
        <f t="shared" si="105"/>
        <v>159</v>
      </c>
      <c r="I640">
        <f t="shared" si="106"/>
        <v>159</v>
      </c>
      <c r="J640" t="s">
        <v>412</v>
      </c>
      <c r="K640">
        <v>35</v>
      </c>
      <c r="L640">
        <f>16.35117682*1.059464^K640</f>
        <v>123.4713402663609</v>
      </c>
      <c r="M640">
        <f t="shared" si="107"/>
        <v>159</v>
      </c>
    </row>
    <row r="641" spans="1:13" x14ac:dyDescent="0.2">
      <c r="A641">
        <f t="shared" si="104"/>
        <v>159.25</v>
      </c>
      <c r="E641">
        <f t="shared" si="105"/>
        <v>159.25</v>
      </c>
      <c r="I641">
        <f t="shared" si="106"/>
        <v>159.25</v>
      </c>
      <c r="M641">
        <f t="shared" si="107"/>
        <v>159.25</v>
      </c>
    </row>
    <row r="642" spans="1:13" x14ac:dyDescent="0.2">
      <c r="A642">
        <f t="shared" si="104"/>
        <v>159.5</v>
      </c>
      <c r="B642" t="s">
        <v>29</v>
      </c>
      <c r="C642">
        <v>40</v>
      </c>
      <c r="D642">
        <f>16.35117682*1.059464^C642</f>
        <v>164.8151702626221</v>
      </c>
      <c r="E642">
        <f t="shared" si="105"/>
        <v>159.5</v>
      </c>
      <c r="I642">
        <f t="shared" si="106"/>
        <v>159.5</v>
      </c>
      <c r="J642" t="s">
        <v>47</v>
      </c>
      <c r="K642">
        <v>47</v>
      </c>
      <c r="L642">
        <f>16.35117682*1.059464^K642</f>
        <v>246.94521361646048</v>
      </c>
      <c r="M642">
        <f t="shared" si="107"/>
        <v>159.5</v>
      </c>
    </row>
    <row r="643" spans="1:13" x14ac:dyDescent="0.2">
      <c r="A643">
        <f t="shared" si="104"/>
        <v>159.75</v>
      </c>
      <c r="E643">
        <f t="shared" si="105"/>
        <v>159.75</v>
      </c>
      <c r="I643">
        <f t="shared" si="106"/>
        <v>159.75</v>
      </c>
      <c r="M643">
        <f t="shared" si="107"/>
        <v>159.75</v>
      </c>
    </row>
    <row r="644" spans="1:13" x14ac:dyDescent="0.2">
      <c r="A644">
        <f t="shared" si="104"/>
        <v>160</v>
      </c>
      <c r="B644" t="s">
        <v>27</v>
      </c>
      <c r="C644">
        <v>36</v>
      </c>
      <c r="D644">
        <f>16.35117682*1.059464^C644</f>
        <v>130.81344004395982</v>
      </c>
      <c r="E644">
        <f t="shared" si="105"/>
        <v>160</v>
      </c>
      <c r="I644">
        <f t="shared" si="106"/>
        <v>160</v>
      </c>
      <c r="J644" t="s">
        <v>414</v>
      </c>
      <c r="K644">
        <v>33</v>
      </c>
      <c r="L644">
        <f>16.35117682*1.059464^K644</f>
        <v>110.00027071140791</v>
      </c>
      <c r="M644">
        <f t="shared" si="107"/>
        <v>160</v>
      </c>
    </row>
    <row r="645" spans="1:13" x14ac:dyDescent="0.2">
      <c r="A645">
        <f t="shared" ref="A645:A696" si="108">A644+0.25</f>
        <v>160.25</v>
      </c>
      <c r="B645" t="s">
        <v>29</v>
      </c>
      <c r="C645">
        <v>40</v>
      </c>
      <c r="D645">
        <f>16.35117682*1.059464^C645</f>
        <v>164.8151702626221</v>
      </c>
      <c r="E645">
        <f t="shared" ref="E645:E696" si="109">E644+0.25</f>
        <v>160.25</v>
      </c>
      <c r="I645">
        <f t="shared" ref="I645:I696" si="110">I644+0.25</f>
        <v>160.25</v>
      </c>
      <c r="M645">
        <f t="shared" ref="M645:M696" si="111">M644+0.25</f>
        <v>160.25</v>
      </c>
    </row>
    <row r="646" spans="1:13" x14ac:dyDescent="0.2">
      <c r="A646">
        <f t="shared" si="108"/>
        <v>160.5</v>
      </c>
      <c r="E646">
        <f t="shared" si="109"/>
        <v>160.5</v>
      </c>
      <c r="I646">
        <f t="shared" si="110"/>
        <v>160.5</v>
      </c>
      <c r="J646" t="s">
        <v>46</v>
      </c>
      <c r="K646">
        <v>45</v>
      </c>
      <c r="L646">
        <f>16.35117682*1.059464^K646</f>
        <v>220.00279814001337</v>
      </c>
      <c r="M646">
        <f t="shared" si="111"/>
        <v>160.5</v>
      </c>
    </row>
    <row r="647" spans="1:13" x14ac:dyDescent="0.2">
      <c r="A647">
        <f t="shared" si="108"/>
        <v>160.75</v>
      </c>
      <c r="B647" t="s">
        <v>27</v>
      </c>
      <c r="C647">
        <v>36</v>
      </c>
      <c r="D647">
        <f>16.35117682*1.059464^C647</f>
        <v>130.81344004395982</v>
      </c>
      <c r="E647">
        <f t="shared" si="109"/>
        <v>160.75</v>
      </c>
      <c r="I647">
        <f t="shared" si="110"/>
        <v>160.75</v>
      </c>
      <c r="M647">
        <f t="shared" si="111"/>
        <v>160.75</v>
      </c>
    </row>
    <row r="648" spans="1:13" x14ac:dyDescent="0.2">
      <c r="A648">
        <f t="shared" si="108"/>
        <v>161</v>
      </c>
      <c r="B648" t="s">
        <v>29</v>
      </c>
      <c r="C648">
        <v>40</v>
      </c>
      <c r="D648">
        <f>16.35117682*1.059464^C648</f>
        <v>164.8151702626221</v>
      </c>
      <c r="E648">
        <f t="shared" si="109"/>
        <v>161</v>
      </c>
      <c r="I648">
        <f t="shared" si="110"/>
        <v>161</v>
      </c>
      <c r="J648" t="s">
        <v>45</v>
      </c>
      <c r="K648">
        <v>31</v>
      </c>
      <c r="L648">
        <f>16.35117682*1.059464^K648</f>
        <v>97.998932630681253</v>
      </c>
      <c r="M648">
        <f t="shared" si="111"/>
        <v>161</v>
      </c>
    </row>
    <row r="649" spans="1:13" x14ac:dyDescent="0.2">
      <c r="A649">
        <f t="shared" si="108"/>
        <v>161.25</v>
      </c>
      <c r="E649">
        <f t="shared" si="109"/>
        <v>161.25</v>
      </c>
      <c r="I649">
        <f t="shared" si="110"/>
        <v>161.25</v>
      </c>
      <c r="M649">
        <f t="shared" si="111"/>
        <v>161.25</v>
      </c>
    </row>
    <row r="650" spans="1:13" x14ac:dyDescent="0.2">
      <c r="A650">
        <f t="shared" si="108"/>
        <v>161.5</v>
      </c>
      <c r="B650" t="s">
        <v>27</v>
      </c>
      <c r="C650">
        <v>36</v>
      </c>
      <c r="D650">
        <f>16.35117682*1.059464^C650</f>
        <v>130.81344004395982</v>
      </c>
      <c r="E650">
        <f t="shared" si="109"/>
        <v>161.5</v>
      </c>
      <c r="I650">
        <f t="shared" si="110"/>
        <v>161.5</v>
      </c>
      <c r="J650" t="s">
        <v>44</v>
      </c>
      <c r="K650">
        <v>43</v>
      </c>
      <c r="L650">
        <f>16.35117682*1.059464^K650</f>
        <v>195.99987576438383</v>
      </c>
      <c r="M650">
        <f t="shared" si="111"/>
        <v>161.5</v>
      </c>
    </row>
    <row r="651" spans="1:13" x14ac:dyDescent="0.2">
      <c r="A651">
        <f t="shared" si="108"/>
        <v>161.75</v>
      </c>
      <c r="E651">
        <f t="shared" si="109"/>
        <v>161.75</v>
      </c>
      <c r="I651">
        <f t="shared" si="110"/>
        <v>161.75</v>
      </c>
      <c r="M651">
        <f t="shared" si="111"/>
        <v>161.75</v>
      </c>
    </row>
    <row r="652" spans="1:13" x14ac:dyDescent="0.2">
      <c r="A652">
        <f t="shared" si="108"/>
        <v>162</v>
      </c>
      <c r="B652" t="s">
        <v>414</v>
      </c>
      <c r="C652">
        <v>33</v>
      </c>
      <c r="D652">
        <f>16.35117682*1.059464^C652</f>
        <v>110.00027071140791</v>
      </c>
      <c r="E652">
        <f t="shared" si="109"/>
        <v>162</v>
      </c>
      <c r="I652">
        <f t="shared" si="110"/>
        <v>162</v>
      </c>
      <c r="J652" t="s">
        <v>388</v>
      </c>
      <c r="K652">
        <v>29</v>
      </c>
      <c r="L652">
        <f>16.35117682*1.059464^K652</f>
        <v>87.306974197808145</v>
      </c>
      <c r="M652">
        <f t="shared" si="111"/>
        <v>162</v>
      </c>
    </row>
    <row r="653" spans="1:13" x14ac:dyDescent="0.2">
      <c r="A653">
        <f t="shared" si="108"/>
        <v>162.25</v>
      </c>
      <c r="B653" t="s">
        <v>27</v>
      </c>
      <c r="C653">
        <v>36</v>
      </c>
      <c r="D653">
        <f>16.35117682*1.059464^C653</f>
        <v>130.81344004395982</v>
      </c>
      <c r="E653">
        <f t="shared" si="109"/>
        <v>162.25</v>
      </c>
      <c r="I653">
        <f t="shared" si="110"/>
        <v>162.25</v>
      </c>
      <c r="M653">
        <f t="shared" si="111"/>
        <v>162.25</v>
      </c>
    </row>
    <row r="654" spans="1:13" x14ac:dyDescent="0.2">
      <c r="A654">
        <f t="shared" si="108"/>
        <v>162.5</v>
      </c>
      <c r="E654">
        <f t="shared" si="109"/>
        <v>162.5</v>
      </c>
      <c r="I654">
        <f t="shared" si="110"/>
        <v>162.5</v>
      </c>
      <c r="J654" t="s">
        <v>30</v>
      </c>
      <c r="K654">
        <v>41</v>
      </c>
      <c r="L654">
        <f>16.35117682*1.059464^K654</f>
        <v>174.61573954711864</v>
      </c>
      <c r="M654">
        <f t="shared" si="111"/>
        <v>162.5</v>
      </c>
    </row>
    <row r="655" spans="1:13" x14ac:dyDescent="0.2">
      <c r="A655">
        <f t="shared" si="108"/>
        <v>162.75</v>
      </c>
      <c r="B655" t="s">
        <v>414</v>
      </c>
      <c r="C655">
        <v>33</v>
      </c>
      <c r="D655">
        <f>16.35117682*1.059464^C655</f>
        <v>110.00027071140791</v>
      </c>
      <c r="E655">
        <f t="shared" si="109"/>
        <v>162.75</v>
      </c>
      <c r="I655">
        <f t="shared" si="110"/>
        <v>162.75</v>
      </c>
      <c r="M655">
        <f t="shared" si="111"/>
        <v>162.75</v>
      </c>
    </row>
    <row r="656" spans="1:13" x14ac:dyDescent="0.2">
      <c r="A656">
        <f t="shared" si="108"/>
        <v>163</v>
      </c>
      <c r="B656" t="s">
        <v>27</v>
      </c>
      <c r="C656">
        <v>36</v>
      </c>
      <c r="D656">
        <f>16.35117682*1.059464^C656</f>
        <v>130.81344004395982</v>
      </c>
      <c r="E656">
        <f t="shared" si="109"/>
        <v>163</v>
      </c>
      <c r="I656">
        <f t="shared" si="110"/>
        <v>163</v>
      </c>
      <c r="J656" t="s">
        <v>389</v>
      </c>
      <c r="K656">
        <v>28</v>
      </c>
      <c r="L656">
        <f>16.35117682*1.059464^K656</f>
        <v>82.406739821087044</v>
      </c>
      <c r="M656">
        <f t="shared" si="111"/>
        <v>163</v>
      </c>
    </row>
    <row r="657" spans="1:13" x14ac:dyDescent="0.2">
      <c r="A657">
        <f t="shared" si="108"/>
        <v>163.25</v>
      </c>
      <c r="E657">
        <f t="shared" si="109"/>
        <v>163.25</v>
      </c>
      <c r="I657">
        <f t="shared" si="110"/>
        <v>163.25</v>
      </c>
      <c r="M657">
        <f t="shared" si="111"/>
        <v>163.25</v>
      </c>
    </row>
    <row r="658" spans="1:13" x14ac:dyDescent="0.2">
      <c r="A658">
        <f t="shared" si="108"/>
        <v>163.5</v>
      </c>
      <c r="B658" t="s">
        <v>414</v>
      </c>
      <c r="C658">
        <v>33</v>
      </c>
      <c r="D658">
        <f>16.35117682*1.059464^C658</f>
        <v>110.00027071140791</v>
      </c>
      <c r="E658">
        <f t="shared" si="109"/>
        <v>163.5</v>
      </c>
      <c r="I658">
        <f t="shared" si="110"/>
        <v>163.5</v>
      </c>
      <c r="J658" t="s">
        <v>29</v>
      </c>
      <c r="K658">
        <v>40</v>
      </c>
      <c r="L658">
        <f>16.35117682*1.059464^K658</f>
        <v>164.8151702626221</v>
      </c>
      <c r="M658">
        <f t="shared" si="111"/>
        <v>163.5</v>
      </c>
    </row>
    <row r="659" spans="1:13" x14ac:dyDescent="0.2">
      <c r="A659">
        <f t="shared" si="108"/>
        <v>163.75</v>
      </c>
      <c r="B659" t="s">
        <v>27</v>
      </c>
      <c r="C659">
        <v>36</v>
      </c>
      <c r="D659">
        <f>16.35117682*1.059464^C659</f>
        <v>130.81344004395982</v>
      </c>
      <c r="E659">
        <f t="shared" si="109"/>
        <v>163.75</v>
      </c>
      <c r="I659">
        <f t="shared" si="110"/>
        <v>163.75</v>
      </c>
      <c r="M659">
        <f t="shared" si="111"/>
        <v>163.75</v>
      </c>
    </row>
    <row r="660" spans="1:13" x14ac:dyDescent="0.2">
      <c r="A660">
        <f t="shared" si="108"/>
        <v>164</v>
      </c>
      <c r="B660" t="s">
        <v>414</v>
      </c>
      <c r="C660">
        <v>33</v>
      </c>
      <c r="D660">
        <f>16.35117682*1.059464^C660</f>
        <v>110.00027071140791</v>
      </c>
      <c r="E660">
        <f t="shared" si="109"/>
        <v>164</v>
      </c>
      <c r="I660">
        <f t="shared" si="110"/>
        <v>164</v>
      </c>
      <c r="J660" t="s">
        <v>413</v>
      </c>
      <c r="K660">
        <v>26</v>
      </c>
      <c r="L660">
        <f>16.35117682*1.059464^K660</f>
        <v>73.415933359182759</v>
      </c>
      <c r="M660">
        <f t="shared" si="111"/>
        <v>164</v>
      </c>
    </row>
    <row r="661" spans="1:13" x14ac:dyDescent="0.2">
      <c r="A661">
        <f t="shared" si="108"/>
        <v>164.25</v>
      </c>
      <c r="E661">
        <f t="shared" si="109"/>
        <v>164.25</v>
      </c>
      <c r="I661">
        <f t="shared" si="110"/>
        <v>164.25</v>
      </c>
      <c r="M661">
        <f t="shared" si="111"/>
        <v>164.25</v>
      </c>
    </row>
    <row r="662" spans="1:13" x14ac:dyDescent="0.2">
      <c r="A662">
        <f t="shared" si="108"/>
        <v>164.5</v>
      </c>
      <c r="E662">
        <f t="shared" si="109"/>
        <v>164.5</v>
      </c>
      <c r="I662">
        <f t="shared" si="110"/>
        <v>164.5</v>
      </c>
      <c r="J662" t="s">
        <v>28</v>
      </c>
      <c r="K662">
        <v>38</v>
      </c>
      <c r="L662">
        <f>16.35117682*1.059464^K662</f>
        <v>146.83337288738056</v>
      </c>
      <c r="M662">
        <f t="shared" si="111"/>
        <v>164.5</v>
      </c>
    </row>
    <row r="663" spans="1:13" x14ac:dyDescent="0.2">
      <c r="A663">
        <f t="shared" si="108"/>
        <v>164.75</v>
      </c>
      <c r="E663">
        <f t="shared" si="109"/>
        <v>164.75</v>
      </c>
      <c r="I663">
        <f t="shared" si="110"/>
        <v>164.75</v>
      </c>
      <c r="M663">
        <f t="shared" si="111"/>
        <v>164.75</v>
      </c>
    </row>
    <row r="664" spans="1:13" x14ac:dyDescent="0.2">
      <c r="A664">
        <f t="shared" si="108"/>
        <v>165</v>
      </c>
      <c r="E664">
        <f t="shared" si="109"/>
        <v>165</v>
      </c>
      <c r="I664">
        <f t="shared" si="110"/>
        <v>165</v>
      </c>
      <c r="J664" t="s">
        <v>388</v>
      </c>
      <c r="K664">
        <v>29</v>
      </c>
      <c r="L664">
        <f>16.35117682*1.059464^K664</f>
        <v>87.306974197808145</v>
      </c>
      <c r="M664">
        <f t="shared" si="111"/>
        <v>165</v>
      </c>
    </row>
    <row r="665" spans="1:13" x14ac:dyDescent="0.2">
      <c r="A665">
        <f t="shared" si="108"/>
        <v>165.25</v>
      </c>
      <c r="E665">
        <f t="shared" si="109"/>
        <v>165.25</v>
      </c>
      <c r="I665">
        <f t="shared" si="110"/>
        <v>165.25</v>
      </c>
      <c r="M665">
        <f t="shared" si="111"/>
        <v>165.25</v>
      </c>
    </row>
    <row r="666" spans="1:13" x14ac:dyDescent="0.2">
      <c r="A666">
        <f t="shared" si="108"/>
        <v>165.5</v>
      </c>
      <c r="E666">
        <f t="shared" si="109"/>
        <v>165.5</v>
      </c>
      <c r="I666">
        <f t="shared" si="110"/>
        <v>165.5</v>
      </c>
      <c r="J666" t="s">
        <v>30</v>
      </c>
      <c r="K666">
        <v>41</v>
      </c>
      <c r="L666">
        <f>16.35117682*1.059464^K666</f>
        <v>174.61573954711864</v>
      </c>
      <c r="M666">
        <f t="shared" si="111"/>
        <v>165.5</v>
      </c>
    </row>
    <row r="667" spans="1:13" x14ac:dyDescent="0.2">
      <c r="A667">
        <f t="shared" si="108"/>
        <v>165.75</v>
      </c>
      <c r="E667">
        <f t="shared" si="109"/>
        <v>165.75</v>
      </c>
      <c r="I667">
        <f t="shared" si="110"/>
        <v>165.75</v>
      </c>
      <c r="M667">
        <f t="shared" si="111"/>
        <v>165.75</v>
      </c>
    </row>
    <row r="668" spans="1:13" x14ac:dyDescent="0.2">
      <c r="A668">
        <f t="shared" si="108"/>
        <v>166</v>
      </c>
      <c r="E668">
        <f t="shared" si="109"/>
        <v>166</v>
      </c>
      <c r="I668">
        <f t="shared" si="110"/>
        <v>166</v>
      </c>
      <c r="J668" t="s">
        <v>45</v>
      </c>
      <c r="K668">
        <v>31</v>
      </c>
      <c r="L668">
        <f>16.35117682*1.059464^K668</f>
        <v>97.998932630681253</v>
      </c>
      <c r="M668">
        <f t="shared" si="111"/>
        <v>166</v>
      </c>
    </row>
    <row r="669" spans="1:13" x14ac:dyDescent="0.2">
      <c r="A669">
        <f t="shared" si="108"/>
        <v>166.25</v>
      </c>
      <c r="E669">
        <f t="shared" si="109"/>
        <v>166.25</v>
      </c>
      <c r="I669">
        <f t="shared" si="110"/>
        <v>166.25</v>
      </c>
      <c r="J669" t="s">
        <v>414</v>
      </c>
      <c r="K669">
        <v>33</v>
      </c>
      <c r="L669">
        <f>16.35117682*1.059464^K669</f>
        <v>110.00027071140791</v>
      </c>
      <c r="M669">
        <f t="shared" si="111"/>
        <v>166.25</v>
      </c>
    </row>
    <row r="670" spans="1:13" x14ac:dyDescent="0.2">
      <c r="A670">
        <f t="shared" si="108"/>
        <v>166.5</v>
      </c>
      <c r="E670">
        <f t="shared" si="109"/>
        <v>166.5</v>
      </c>
      <c r="I670">
        <f t="shared" si="110"/>
        <v>166.5</v>
      </c>
      <c r="M670">
        <f t="shared" si="111"/>
        <v>166.5</v>
      </c>
    </row>
    <row r="671" spans="1:13" x14ac:dyDescent="0.2">
      <c r="A671">
        <f t="shared" si="108"/>
        <v>166.75</v>
      </c>
      <c r="E671">
        <f t="shared" si="109"/>
        <v>166.75</v>
      </c>
      <c r="I671">
        <f t="shared" si="110"/>
        <v>166.75</v>
      </c>
      <c r="J671" t="s">
        <v>27</v>
      </c>
      <c r="K671">
        <v>36</v>
      </c>
      <c r="L671">
        <f>16.35117682*1.059464^K671</f>
        <v>130.81344004395982</v>
      </c>
      <c r="M671">
        <f t="shared" si="111"/>
        <v>166.75</v>
      </c>
    </row>
    <row r="672" spans="1:13" x14ac:dyDescent="0.2">
      <c r="A672">
        <f t="shared" si="108"/>
        <v>167</v>
      </c>
      <c r="B672" t="s">
        <v>28</v>
      </c>
      <c r="C672">
        <v>38</v>
      </c>
      <c r="D672">
        <f>16.35117682*1.059464^C672</f>
        <v>146.83337288738056</v>
      </c>
      <c r="E672">
        <f t="shared" si="109"/>
        <v>167</v>
      </c>
      <c r="I672">
        <f t="shared" si="110"/>
        <v>167</v>
      </c>
      <c r="M672">
        <f t="shared" si="111"/>
        <v>167</v>
      </c>
    </row>
    <row r="673" spans="1:13" x14ac:dyDescent="0.2">
      <c r="A673">
        <f t="shared" si="108"/>
        <v>167.25</v>
      </c>
      <c r="E673">
        <f t="shared" si="109"/>
        <v>167.25</v>
      </c>
      <c r="I673">
        <f t="shared" si="110"/>
        <v>167.25</v>
      </c>
      <c r="M673">
        <f t="shared" si="111"/>
        <v>167.25</v>
      </c>
    </row>
    <row r="674" spans="1:13" x14ac:dyDescent="0.2">
      <c r="A674">
        <f t="shared" si="108"/>
        <v>167.5</v>
      </c>
      <c r="B674" t="s">
        <v>29</v>
      </c>
      <c r="C674">
        <v>40</v>
      </c>
      <c r="D674">
        <f>16.35117682*1.059464^C674</f>
        <v>164.8151702626221</v>
      </c>
      <c r="E674">
        <f t="shared" si="109"/>
        <v>167.5</v>
      </c>
      <c r="I674">
        <f t="shared" si="110"/>
        <v>167.5</v>
      </c>
      <c r="M674">
        <f t="shared" si="111"/>
        <v>167.5</v>
      </c>
    </row>
    <row r="675" spans="1:13" x14ac:dyDescent="0.2">
      <c r="A675">
        <f t="shared" si="108"/>
        <v>167.75</v>
      </c>
      <c r="E675">
        <f t="shared" si="109"/>
        <v>167.75</v>
      </c>
      <c r="I675">
        <f t="shared" si="110"/>
        <v>167.75</v>
      </c>
      <c r="M675">
        <f t="shared" si="111"/>
        <v>167.75</v>
      </c>
    </row>
    <row r="676" spans="1:13" x14ac:dyDescent="0.2">
      <c r="A676">
        <f t="shared" si="108"/>
        <v>168</v>
      </c>
      <c r="E676">
        <f t="shared" si="109"/>
        <v>168</v>
      </c>
      <c r="I676">
        <f t="shared" si="110"/>
        <v>168</v>
      </c>
      <c r="J676" t="s">
        <v>44</v>
      </c>
      <c r="K676">
        <v>43</v>
      </c>
      <c r="L676">
        <f>16.35117682*1.059464^K676</f>
        <v>195.99987576438383</v>
      </c>
      <c r="M676">
        <f t="shared" si="111"/>
        <v>168</v>
      </c>
    </row>
    <row r="677" spans="1:13" x14ac:dyDescent="0.2">
      <c r="A677">
        <f t="shared" si="108"/>
        <v>168.25</v>
      </c>
      <c r="E677">
        <f t="shared" si="109"/>
        <v>168.25</v>
      </c>
      <c r="I677">
        <f t="shared" si="110"/>
        <v>168.25</v>
      </c>
      <c r="J677" t="s">
        <v>46</v>
      </c>
      <c r="K677">
        <v>45</v>
      </c>
      <c r="L677">
        <f>16.35117682*1.059464^K677</f>
        <v>220.00279814001337</v>
      </c>
      <c r="M677">
        <f t="shared" si="111"/>
        <v>168.25</v>
      </c>
    </row>
    <row r="678" spans="1:13" x14ac:dyDescent="0.2">
      <c r="A678">
        <f t="shared" si="108"/>
        <v>168.5</v>
      </c>
      <c r="E678">
        <f t="shared" si="109"/>
        <v>168.5</v>
      </c>
      <c r="I678">
        <f t="shared" si="110"/>
        <v>168.5</v>
      </c>
      <c r="M678">
        <f t="shared" si="111"/>
        <v>168.5</v>
      </c>
    </row>
    <row r="679" spans="1:13" x14ac:dyDescent="0.2">
      <c r="A679">
        <f t="shared" si="108"/>
        <v>168.75</v>
      </c>
      <c r="E679">
        <f t="shared" si="109"/>
        <v>168.75</v>
      </c>
      <c r="I679">
        <f t="shared" si="110"/>
        <v>168.75</v>
      </c>
      <c r="J679" t="s">
        <v>479</v>
      </c>
      <c r="K679">
        <v>48</v>
      </c>
      <c r="L679">
        <f>16.35117682*1.059464^K679</f>
        <v>261.62956379894968</v>
      </c>
      <c r="M679">
        <f t="shared" si="111"/>
        <v>168.75</v>
      </c>
    </row>
    <row r="680" spans="1:13" x14ac:dyDescent="0.2">
      <c r="A680">
        <f t="shared" si="108"/>
        <v>169</v>
      </c>
      <c r="B680" t="s">
        <v>480</v>
      </c>
      <c r="C680">
        <v>50</v>
      </c>
      <c r="D680">
        <f>16.35117682*1.059464^C680</f>
        <v>293.66975814369101</v>
      </c>
      <c r="E680">
        <f t="shared" si="109"/>
        <v>169</v>
      </c>
      <c r="I680">
        <f t="shared" si="110"/>
        <v>169</v>
      </c>
      <c r="M680">
        <f t="shared" si="111"/>
        <v>169</v>
      </c>
    </row>
    <row r="681" spans="1:13" x14ac:dyDescent="0.2">
      <c r="A681">
        <f t="shared" si="108"/>
        <v>169.25</v>
      </c>
      <c r="E681">
        <f t="shared" si="109"/>
        <v>169.25</v>
      </c>
      <c r="I681">
        <f t="shared" si="110"/>
        <v>169.25</v>
      </c>
      <c r="M681">
        <f t="shared" si="111"/>
        <v>169.25</v>
      </c>
    </row>
    <row r="682" spans="1:13" x14ac:dyDescent="0.2">
      <c r="A682">
        <f t="shared" si="108"/>
        <v>169.5</v>
      </c>
      <c r="B682" t="s">
        <v>481</v>
      </c>
      <c r="C682">
        <v>52</v>
      </c>
      <c r="D682">
        <f>16.35117682*1.059464^C682</f>
        <v>329.63372180082422</v>
      </c>
      <c r="E682">
        <f t="shared" si="109"/>
        <v>169.5</v>
      </c>
      <c r="I682">
        <f t="shared" si="110"/>
        <v>169.5</v>
      </c>
      <c r="M682">
        <f t="shared" si="111"/>
        <v>169.5</v>
      </c>
    </row>
    <row r="683" spans="1:13" x14ac:dyDescent="0.2">
      <c r="A683">
        <f t="shared" si="108"/>
        <v>169.75</v>
      </c>
      <c r="B683" t="s">
        <v>239</v>
      </c>
      <c r="C683">
        <v>54</v>
      </c>
      <c r="D683">
        <f>16.35117682*1.059464^C683</f>
        <v>370.00197512709912</v>
      </c>
      <c r="E683">
        <f t="shared" si="109"/>
        <v>169.75</v>
      </c>
      <c r="I683">
        <f t="shared" si="110"/>
        <v>169.75</v>
      </c>
      <c r="M683">
        <f t="shared" si="111"/>
        <v>169.75</v>
      </c>
    </row>
    <row r="684" spans="1:13" x14ac:dyDescent="0.2">
      <c r="A684">
        <f t="shared" si="108"/>
        <v>170</v>
      </c>
      <c r="E684">
        <f t="shared" si="109"/>
        <v>170</v>
      </c>
      <c r="I684">
        <f t="shared" si="110"/>
        <v>170</v>
      </c>
      <c r="J684" t="s">
        <v>243</v>
      </c>
      <c r="K684">
        <v>57</v>
      </c>
      <c r="L684">
        <f>16.35117682*1.059464^K684</f>
        <v>440.01010976071973</v>
      </c>
      <c r="M684">
        <f t="shared" si="111"/>
        <v>170</v>
      </c>
    </row>
    <row r="685" spans="1:13" x14ac:dyDescent="0.2">
      <c r="A685">
        <f t="shared" si="108"/>
        <v>170.25</v>
      </c>
      <c r="E685">
        <f t="shared" si="109"/>
        <v>170.25</v>
      </c>
      <c r="I685">
        <f t="shared" si="110"/>
        <v>170.25</v>
      </c>
      <c r="J685" t="s">
        <v>240</v>
      </c>
      <c r="K685">
        <v>60</v>
      </c>
      <c r="L685">
        <f>16.35117682*1.059464^K685</f>
        <v>523.26449507501752</v>
      </c>
      <c r="M685">
        <f t="shared" si="111"/>
        <v>170.25</v>
      </c>
    </row>
    <row r="686" spans="1:13" x14ac:dyDescent="0.2">
      <c r="A686">
        <f t="shared" si="108"/>
        <v>170.5</v>
      </c>
      <c r="E686">
        <f t="shared" si="109"/>
        <v>170.5</v>
      </c>
      <c r="I686">
        <f t="shared" si="110"/>
        <v>170.5</v>
      </c>
      <c r="M686">
        <f t="shared" si="111"/>
        <v>170.5</v>
      </c>
    </row>
    <row r="687" spans="1:13" x14ac:dyDescent="0.2">
      <c r="A687">
        <f t="shared" si="108"/>
        <v>170.75</v>
      </c>
      <c r="E687">
        <f t="shared" si="109"/>
        <v>170.75</v>
      </c>
      <c r="I687">
        <f t="shared" si="110"/>
        <v>170.75</v>
      </c>
      <c r="J687" t="s">
        <v>242</v>
      </c>
      <c r="K687">
        <v>62</v>
      </c>
      <c r="L687">
        <f>16.35117682*1.059464^K687</f>
        <v>587.34554108704231</v>
      </c>
      <c r="M687">
        <f t="shared" si="111"/>
        <v>170.75</v>
      </c>
    </row>
    <row r="688" spans="1:13" x14ac:dyDescent="0.2">
      <c r="A688">
        <f t="shared" si="108"/>
        <v>171</v>
      </c>
      <c r="B688" t="s">
        <v>255</v>
      </c>
      <c r="C688">
        <v>64</v>
      </c>
      <c r="D688">
        <f>16.35117682*1.059464^C688</f>
        <v>659.27420622217721</v>
      </c>
      <c r="E688">
        <f t="shared" si="109"/>
        <v>171</v>
      </c>
      <c r="I688">
        <f t="shared" si="110"/>
        <v>171</v>
      </c>
      <c r="M688">
        <f t="shared" si="111"/>
        <v>171</v>
      </c>
    </row>
    <row r="689" spans="1:16" x14ac:dyDescent="0.2">
      <c r="A689">
        <f t="shared" si="108"/>
        <v>171.25</v>
      </c>
      <c r="E689">
        <f t="shared" si="109"/>
        <v>171.25</v>
      </c>
      <c r="I689">
        <f t="shared" si="110"/>
        <v>171.25</v>
      </c>
      <c r="M689">
        <f t="shared" si="111"/>
        <v>171.25</v>
      </c>
    </row>
    <row r="690" spans="1:16" x14ac:dyDescent="0.2">
      <c r="A690">
        <f t="shared" si="108"/>
        <v>171.5</v>
      </c>
      <c r="B690" t="s">
        <v>245</v>
      </c>
      <c r="C690">
        <v>67</v>
      </c>
      <c r="D690">
        <f>16.35117682*1.059464^C690</f>
        <v>784.01558732918636</v>
      </c>
      <c r="E690">
        <f t="shared" si="109"/>
        <v>171.5</v>
      </c>
      <c r="I690">
        <f t="shared" si="110"/>
        <v>171.5</v>
      </c>
      <c r="J690" t="s">
        <v>242</v>
      </c>
      <c r="K690">
        <v>62</v>
      </c>
      <c r="L690">
        <f>16.35117682*1.059464^K690</f>
        <v>587.34554108704231</v>
      </c>
      <c r="M690">
        <f t="shared" si="111"/>
        <v>171.5</v>
      </c>
      <c r="N690" t="s">
        <v>24</v>
      </c>
      <c r="O690">
        <v>65</v>
      </c>
      <c r="P690">
        <f>16.35117682*1.059464^O690</f>
        <v>698.47728762097279</v>
      </c>
    </row>
    <row r="691" spans="1:16" x14ac:dyDescent="0.2">
      <c r="A691">
        <f t="shared" si="108"/>
        <v>171.75</v>
      </c>
      <c r="B691" t="s">
        <v>256</v>
      </c>
      <c r="C691">
        <v>69</v>
      </c>
      <c r="D691">
        <f>16.35117682*1.059464^C691</f>
        <v>880.02924657542201</v>
      </c>
      <c r="E691">
        <f t="shared" si="109"/>
        <v>171.75</v>
      </c>
      <c r="I691">
        <f t="shared" si="110"/>
        <v>171.75</v>
      </c>
      <c r="M691">
        <f t="shared" si="111"/>
        <v>171.75</v>
      </c>
    </row>
    <row r="692" spans="1:16" x14ac:dyDescent="0.2">
      <c r="A692">
        <f t="shared" si="108"/>
        <v>172</v>
      </c>
      <c r="B692" t="s">
        <v>410</v>
      </c>
      <c r="C692">
        <v>72</v>
      </c>
      <c r="D692">
        <f>16.35117682*1.059464^C692</f>
        <v>1046.5397252143878</v>
      </c>
      <c r="E692">
        <f t="shared" si="109"/>
        <v>172</v>
      </c>
      <c r="F692" t="s">
        <v>245</v>
      </c>
      <c r="G692">
        <v>67</v>
      </c>
      <c r="H692">
        <f>16.35117682*1.059464^G692</f>
        <v>784.01558732918636</v>
      </c>
      <c r="I692">
        <f t="shared" si="110"/>
        <v>172</v>
      </c>
      <c r="J692" t="s">
        <v>240</v>
      </c>
      <c r="K692">
        <v>60</v>
      </c>
      <c r="L692">
        <f>16.35117682*1.059464^K692</f>
        <v>523.26449507501752</v>
      </c>
      <c r="M692">
        <f t="shared" si="111"/>
        <v>172</v>
      </c>
      <c r="N692" t="s">
        <v>25</v>
      </c>
      <c r="O692">
        <v>64</v>
      </c>
      <c r="P692">
        <f>16.35117682*1.059464^O692</f>
        <v>659.27420622217721</v>
      </c>
    </row>
    <row r="693" spans="1:16" x14ac:dyDescent="0.2">
      <c r="A693">
        <f t="shared" si="108"/>
        <v>172.25</v>
      </c>
      <c r="E693">
        <f t="shared" si="109"/>
        <v>172.25</v>
      </c>
      <c r="I693">
        <f t="shared" si="110"/>
        <v>172.25</v>
      </c>
      <c r="M693">
        <f t="shared" si="111"/>
        <v>172.25</v>
      </c>
    </row>
    <row r="694" spans="1:16" x14ac:dyDescent="0.2">
      <c r="A694">
        <f t="shared" si="108"/>
        <v>172.5</v>
      </c>
      <c r="E694">
        <f t="shared" si="109"/>
        <v>172.5</v>
      </c>
      <c r="I694">
        <f t="shared" si="110"/>
        <v>172.5</v>
      </c>
      <c r="M694">
        <f t="shared" si="111"/>
        <v>172.5</v>
      </c>
    </row>
    <row r="695" spans="1:16" x14ac:dyDescent="0.2">
      <c r="A695">
        <f t="shared" si="108"/>
        <v>172.75</v>
      </c>
      <c r="E695">
        <f t="shared" si="109"/>
        <v>172.75</v>
      </c>
      <c r="I695">
        <f t="shared" si="110"/>
        <v>172.75</v>
      </c>
      <c r="M695">
        <f t="shared" si="111"/>
        <v>172.75</v>
      </c>
    </row>
    <row r="696" spans="1:16" x14ac:dyDescent="0.2">
      <c r="A696">
        <f t="shared" si="108"/>
        <v>173</v>
      </c>
      <c r="B696" t="s">
        <v>240</v>
      </c>
      <c r="C696">
        <v>60</v>
      </c>
      <c r="D696">
        <f>16.35117682*1.059464^C696</f>
        <v>523.26449507501752</v>
      </c>
      <c r="E696">
        <f t="shared" si="109"/>
        <v>173</v>
      </c>
      <c r="F696" t="s">
        <v>239</v>
      </c>
      <c r="G696">
        <v>55</v>
      </c>
      <c r="H696">
        <f>16.35117682*1.059464^G696</f>
        <v>392.00377257605692</v>
      </c>
      <c r="I696">
        <f t="shared" si="110"/>
        <v>173</v>
      </c>
      <c r="J696" t="s">
        <v>489</v>
      </c>
      <c r="K696">
        <v>48</v>
      </c>
      <c r="L696">
        <f>16.35117682*1.059464^K696</f>
        <v>261.62956379894968</v>
      </c>
      <c r="M696">
        <f t="shared" si="111"/>
        <v>173</v>
      </c>
      <c r="N696" t="s">
        <v>394</v>
      </c>
      <c r="O696">
        <v>52</v>
      </c>
      <c r="P696">
        <f>16.35117682*1.059464^O696</f>
        <v>329.63372180082422</v>
      </c>
    </row>
  </sheetData>
  <sortState ref="R538:AK612">
    <sortCondition ref="R539:R612"/>
  </sortState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34"/>
  <sheetViews>
    <sheetView workbookViewId="0">
      <selection activeCell="BO62" sqref="BO62"/>
    </sheetView>
  </sheetViews>
  <sheetFormatPr defaultColWidth="8.85546875" defaultRowHeight="12.75" x14ac:dyDescent="0.2"/>
  <cols>
    <col min="1" max="20" width="1.28515625" customWidth="1"/>
    <col min="72" max="72" width="14.7109375" customWidth="1"/>
    <col min="75" max="75" width="15.7109375" customWidth="1"/>
  </cols>
  <sheetData>
    <row r="1" spans="1:77" x14ac:dyDescent="0.2">
      <c r="B1" t="s">
        <v>161</v>
      </c>
      <c r="W1" t="s">
        <v>161</v>
      </c>
    </row>
    <row r="2" spans="1:77" x14ac:dyDescent="0.2">
      <c r="B2" t="s">
        <v>460</v>
      </c>
      <c r="F2" t="s">
        <v>464</v>
      </c>
      <c r="J2" t="s">
        <v>465</v>
      </c>
      <c r="N2" t="s">
        <v>466</v>
      </c>
      <c r="R2" t="s">
        <v>467</v>
      </c>
      <c r="U2" t="s">
        <v>395</v>
      </c>
      <c r="W2" t="s">
        <v>460</v>
      </c>
      <c r="AB2" t="s">
        <v>464</v>
      </c>
      <c r="AG2" t="s">
        <v>465</v>
      </c>
      <c r="AL2" t="s">
        <v>466</v>
      </c>
      <c r="AQ2" t="s">
        <v>467</v>
      </c>
    </row>
    <row r="3" spans="1:77" x14ac:dyDescent="0.2">
      <c r="A3" t="s">
        <v>461</v>
      </c>
      <c r="B3" t="s">
        <v>462</v>
      </c>
      <c r="C3" t="s">
        <v>473</v>
      </c>
      <c r="D3" t="s">
        <v>463</v>
      </c>
      <c r="E3" t="s">
        <v>461</v>
      </c>
      <c r="F3" t="s">
        <v>462</v>
      </c>
      <c r="G3" t="s">
        <v>473</v>
      </c>
      <c r="H3" t="s">
        <v>463</v>
      </c>
      <c r="I3" t="s">
        <v>461</v>
      </c>
      <c r="J3" t="s">
        <v>462</v>
      </c>
      <c r="K3" t="s">
        <v>473</v>
      </c>
      <c r="L3" t="s">
        <v>463</v>
      </c>
      <c r="M3" t="s">
        <v>461</v>
      </c>
      <c r="N3" t="s">
        <v>462</v>
      </c>
      <c r="O3" t="s">
        <v>473</v>
      </c>
      <c r="P3" t="s">
        <v>463</v>
      </c>
      <c r="Q3" t="s">
        <v>461</v>
      </c>
      <c r="R3" t="s">
        <v>462</v>
      </c>
      <c r="S3" t="s">
        <v>473</v>
      </c>
      <c r="T3" t="s">
        <v>463</v>
      </c>
      <c r="V3" t="s">
        <v>461</v>
      </c>
      <c r="W3" t="s">
        <v>462</v>
      </c>
      <c r="X3" t="s">
        <v>473</v>
      </c>
      <c r="Y3" t="s">
        <v>463</v>
      </c>
      <c r="Z3" t="s">
        <v>404</v>
      </c>
      <c r="AA3" t="s">
        <v>461</v>
      </c>
      <c r="AB3" t="s">
        <v>462</v>
      </c>
      <c r="AC3" t="s">
        <v>473</v>
      </c>
      <c r="AD3" t="s">
        <v>463</v>
      </c>
      <c r="AE3" t="s">
        <v>404</v>
      </c>
      <c r="AF3" t="s">
        <v>461</v>
      </c>
      <c r="AG3" t="s">
        <v>462</v>
      </c>
      <c r="AH3" t="s">
        <v>473</v>
      </c>
      <c r="AI3" t="s">
        <v>463</v>
      </c>
      <c r="AJ3" t="s">
        <v>404</v>
      </c>
      <c r="AK3" t="s">
        <v>461</v>
      </c>
      <c r="AL3" t="s">
        <v>462</v>
      </c>
      <c r="AM3" t="s">
        <v>473</v>
      </c>
      <c r="AN3" t="s">
        <v>463</v>
      </c>
      <c r="AO3" t="s">
        <v>404</v>
      </c>
      <c r="AP3" t="s">
        <v>461</v>
      </c>
      <c r="AQ3" t="s">
        <v>462</v>
      </c>
      <c r="AR3" t="s">
        <v>473</v>
      </c>
      <c r="AS3" t="s">
        <v>463</v>
      </c>
      <c r="AT3" t="s">
        <v>404</v>
      </c>
      <c r="AU3" t="s">
        <v>470</v>
      </c>
    </row>
    <row r="4" spans="1:77" x14ac:dyDescent="0.2">
      <c r="A4">
        <v>0</v>
      </c>
      <c r="B4" t="s">
        <v>359</v>
      </c>
      <c r="C4">
        <v>48</v>
      </c>
      <c r="D4">
        <f>16.35117682*1.059464^C4</f>
        <v>261.62956379894968</v>
      </c>
      <c r="E4">
        <v>0</v>
      </c>
      <c r="I4">
        <v>0</v>
      </c>
      <c r="M4">
        <v>0</v>
      </c>
      <c r="N4" t="s">
        <v>80</v>
      </c>
      <c r="O4">
        <v>36</v>
      </c>
      <c r="P4">
        <f>16.35117682*1.059464^O4</f>
        <v>130.81344004395982</v>
      </c>
      <c r="Q4">
        <v>0</v>
      </c>
      <c r="V4">
        <v>0</v>
      </c>
      <c r="W4" t="s">
        <v>323</v>
      </c>
      <c r="X4">
        <v>48</v>
      </c>
      <c r="Y4">
        <f t="shared" ref="Y4:Y22" si="0">16.35117682*1.059464^X4</f>
        <v>261.62956379894968</v>
      </c>
      <c r="AA4">
        <v>0</v>
      </c>
      <c r="AF4">
        <v>0</v>
      </c>
      <c r="AK4">
        <v>0</v>
      </c>
      <c r="AL4" t="s">
        <v>80</v>
      </c>
      <c r="AM4">
        <v>36</v>
      </c>
      <c r="AN4">
        <f t="shared" ref="AN4:AN22" si="1">16.35117682*1.059464^AM4</f>
        <v>130.81344004395982</v>
      </c>
      <c r="AP4">
        <v>0</v>
      </c>
    </row>
    <row r="5" spans="1:77" x14ac:dyDescent="0.2">
      <c r="A5">
        <f t="shared" ref="A5:A68" si="2">A4+0.5</f>
        <v>0.5</v>
      </c>
      <c r="E5">
        <f t="shared" ref="E5:E68" si="3">E4+0.5</f>
        <v>0.5</v>
      </c>
      <c r="I5">
        <f t="shared" ref="I5:I68" si="4">I4+0.5</f>
        <v>0.5</v>
      </c>
      <c r="M5">
        <f t="shared" ref="M5:M68" si="5">M4+0.5</f>
        <v>0.5</v>
      </c>
      <c r="Q5">
        <f t="shared" ref="Q5:Q68" si="6">Q4+0.5</f>
        <v>0.5</v>
      </c>
      <c r="V5">
        <v>1</v>
      </c>
      <c r="W5" t="s">
        <v>323</v>
      </c>
      <c r="X5">
        <v>48</v>
      </c>
      <c r="Y5">
        <f t="shared" si="0"/>
        <v>261.62956379894968</v>
      </c>
      <c r="Z5">
        <f>ABS(X5-X4)</f>
        <v>0</v>
      </c>
      <c r="AA5">
        <v>1</v>
      </c>
      <c r="AF5">
        <v>1</v>
      </c>
      <c r="AK5">
        <v>1</v>
      </c>
      <c r="AL5" t="s">
        <v>80</v>
      </c>
      <c r="AM5">
        <v>36</v>
      </c>
      <c r="AN5">
        <f t="shared" si="1"/>
        <v>130.81344004395982</v>
      </c>
      <c r="AO5">
        <f>ABS(AM5-AM4)</f>
        <v>0</v>
      </c>
      <c r="AP5">
        <v>1</v>
      </c>
      <c r="AU5" t="s">
        <v>355</v>
      </c>
      <c r="AV5" t="s">
        <v>396</v>
      </c>
    </row>
    <row r="6" spans="1:77" x14ac:dyDescent="0.2">
      <c r="A6">
        <f t="shared" si="2"/>
        <v>1</v>
      </c>
      <c r="B6" t="s">
        <v>359</v>
      </c>
      <c r="C6">
        <v>48</v>
      </c>
      <c r="D6">
        <f>16.35117682*1.059464^C6</f>
        <v>261.62956379894968</v>
      </c>
      <c r="E6">
        <f t="shared" si="3"/>
        <v>1</v>
      </c>
      <c r="I6">
        <f t="shared" si="4"/>
        <v>1</v>
      </c>
      <c r="M6">
        <f t="shared" si="5"/>
        <v>1</v>
      </c>
      <c r="N6" t="s">
        <v>80</v>
      </c>
      <c r="O6">
        <v>36</v>
      </c>
      <c r="P6">
        <f>16.35117682*1.059464^O6</f>
        <v>130.81344004395982</v>
      </c>
      <c r="Q6">
        <f t="shared" si="6"/>
        <v>1</v>
      </c>
      <c r="V6">
        <v>1.5</v>
      </c>
      <c r="W6" t="s">
        <v>325</v>
      </c>
      <c r="X6">
        <v>46</v>
      </c>
      <c r="Y6">
        <f t="shared" si="0"/>
        <v>233.08504452861115</v>
      </c>
      <c r="Z6">
        <f t="shared" ref="Z6:Z24" si="7">ABS(X6-X5)</f>
        <v>2</v>
      </c>
      <c r="AA6">
        <v>1.5</v>
      </c>
      <c r="AF6">
        <v>1.5</v>
      </c>
      <c r="AK6">
        <v>1.5</v>
      </c>
      <c r="AL6" t="s">
        <v>81</v>
      </c>
      <c r="AM6">
        <v>34</v>
      </c>
      <c r="AN6">
        <f t="shared" si="1"/>
        <v>116.54132680899107</v>
      </c>
      <c r="AO6">
        <f t="shared" ref="AO6:AO24" si="8">ABS(AM6-AM5)</f>
        <v>2</v>
      </c>
      <c r="AP6">
        <v>1.5</v>
      </c>
      <c r="AU6">
        <f>SUM(Z5:Z171,AE8:AE13,AE17:AE22,AE30,AE32:AE33,AE41,AE43:AE44,AE52:AE73,AE101:AE106,AE110:AE115,AE123,AE125:AE126,AE134,AE136:AE137,AE165:AE170,AJ8:AJ13,AJ17:AJ22,AJ30,AJ32:AJ33,AJ41,AJ43:AJ44,AJ101:AJ106,AJ110:AJ115,AJ123,AJ125:AJ126,AJ134,AJ136:AJ137,AJ165:AJ170)</f>
        <v>996</v>
      </c>
      <c r="AV6">
        <f>(171-3)+(12+6)*4+22+12</f>
        <v>274</v>
      </c>
    </row>
    <row r="7" spans="1:77" x14ac:dyDescent="0.2">
      <c r="A7">
        <f t="shared" si="2"/>
        <v>1.5</v>
      </c>
      <c r="B7" t="s">
        <v>360</v>
      </c>
      <c r="C7">
        <v>46</v>
      </c>
      <c r="D7">
        <f>16.35117682*1.059464^C7</f>
        <v>233.08504452861115</v>
      </c>
      <c r="E7">
        <f t="shared" si="3"/>
        <v>1.5</v>
      </c>
      <c r="I7">
        <f t="shared" si="4"/>
        <v>1.5</v>
      </c>
      <c r="M7">
        <f t="shared" si="5"/>
        <v>1.5</v>
      </c>
      <c r="N7" t="s">
        <v>81</v>
      </c>
      <c r="O7">
        <v>34</v>
      </c>
      <c r="P7">
        <f>16.35117682*1.059464^O7</f>
        <v>116.54132680899107</v>
      </c>
      <c r="Q7">
        <f t="shared" si="6"/>
        <v>1.5</v>
      </c>
      <c r="V7">
        <v>2</v>
      </c>
      <c r="W7" t="s">
        <v>323</v>
      </c>
      <c r="X7">
        <v>48</v>
      </c>
      <c r="Y7">
        <f t="shared" si="0"/>
        <v>261.62956379894968</v>
      </c>
      <c r="Z7">
        <f t="shared" si="7"/>
        <v>2</v>
      </c>
      <c r="AA7">
        <v>2</v>
      </c>
      <c r="AF7">
        <v>2</v>
      </c>
      <c r="AK7">
        <v>2</v>
      </c>
      <c r="AL7" t="s">
        <v>80</v>
      </c>
      <c r="AM7">
        <v>36</v>
      </c>
      <c r="AN7">
        <f t="shared" si="1"/>
        <v>130.81344004395982</v>
      </c>
      <c r="AO7">
        <f t="shared" si="8"/>
        <v>2</v>
      </c>
      <c r="AP7">
        <v>2</v>
      </c>
    </row>
    <row r="8" spans="1:77" x14ac:dyDescent="0.2">
      <c r="A8">
        <f t="shared" si="2"/>
        <v>2</v>
      </c>
      <c r="B8" t="s">
        <v>361</v>
      </c>
      <c r="C8">
        <v>48</v>
      </c>
      <c r="D8">
        <f>16.35117682*1.059464^C8</f>
        <v>261.62956379894968</v>
      </c>
      <c r="E8">
        <f t="shared" si="3"/>
        <v>2</v>
      </c>
      <c r="I8">
        <f t="shared" si="4"/>
        <v>2</v>
      </c>
      <c r="M8">
        <f t="shared" si="5"/>
        <v>2</v>
      </c>
      <c r="N8" t="s">
        <v>80</v>
      </c>
      <c r="O8">
        <v>36</v>
      </c>
      <c r="P8">
        <f>16.35117682*1.059464^O8</f>
        <v>130.81344004395982</v>
      </c>
      <c r="Q8">
        <f t="shared" si="6"/>
        <v>2</v>
      </c>
      <c r="V8">
        <v>3</v>
      </c>
      <c r="W8" t="s">
        <v>23</v>
      </c>
      <c r="X8">
        <v>55</v>
      </c>
      <c r="Y8">
        <f t="shared" si="0"/>
        <v>392.00377257605692</v>
      </c>
      <c r="Z8">
        <f t="shared" si="7"/>
        <v>7</v>
      </c>
      <c r="AA8">
        <v>3</v>
      </c>
      <c r="AB8" t="s">
        <v>222</v>
      </c>
      <c r="AC8">
        <v>51</v>
      </c>
      <c r="AD8">
        <f t="shared" ref="AD8:AD13" si="9">16.35117682*1.059464^AC8</f>
        <v>311.13253664194741</v>
      </c>
      <c r="AE8">
        <f>ABS(AC8-X7)</f>
        <v>3</v>
      </c>
      <c r="AF8">
        <v>3</v>
      </c>
      <c r="AG8" t="s">
        <v>483</v>
      </c>
      <c r="AH8">
        <v>44</v>
      </c>
      <c r="AI8">
        <f t="shared" ref="AI8:AI13" si="10">16.35117682*1.059464^AH8</f>
        <v>207.65481237683719</v>
      </c>
      <c r="AJ8">
        <f>ABS(AH8-X7)</f>
        <v>4</v>
      </c>
      <c r="AK8">
        <v>3</v>
      </c>
      <c r="AL8" t="s">
        <v>485</v>
      </c>
      <c r="AM8">
        <v>39</v>
      </c>
      <c r="AN8">
        <f t="shared" si="1"/>
        <v>155.56467257275574</v>
      </c>
      <c r="AO8">
        <f t="shared" si="8"/>
        <v>3</v>
      </c>
      <c r="AP8">
        <v>3</v>
      </c>
      <c r="AQ8" t="s">
        <v>312</v>
      </c>
      <c r="AR8">
        <v>29</v>
      </c>
      <c r="AS8">
        <f t="shared" ref="AS8:AS13" si="11">16.35117682*1.059464^AR8</f>
        <v>87.306974197808145</v>
      </c>
      <c r="AT8">
        <f>ABS(AR8-AM7)</f>
        <v>7</v>
      </c>
      <c r="AU8" t="s">
        <v>356</v>
      </c>
    </row>
    <row r="9" spans="1:77" x14ac:dyDescent="0.2">
      <c r="A9">
        <f t="shared" si="2"/>
        <v>2.5</v>
      </c>
      <c r="E9">
        <f t="shared" si="3"/>
        <v>2.5</v>
      </c>
      <c r="I9">
        <f t="shared" si="4"/>
        <v>2.5</v>
      </c>
      <c r="M9">
        <f t="shared" si="5"/>
        <v>2.5</v>
      </c>
      <c r="Q9">
        <f t="shared" si="6"/>
        <v>2.5</v>
      </c>
      <c r="V9">
        <v>4</v>
      </c>
      <c r="W9" t="s">
        <v>23</v>
      </c>
      <c r="X9">
        <v>55</v>
      </c>
      <c r="Y9">
        <f t="shared" si="0"/>
        <v>392.00377257605692</v>
      </c>
      <c r="Z9">
        <f t="shared" si="7"/>
        <v>0</v>
      </c>
      <c r="AA9">
        <v>4</v>
      </c>
      <c r="AB9" t="s">
        <v>223</v>
      </c>
      <c r="AC9">
        <v>50</v>
      </c>
      <c r="AD9">
        <f t="shared" si="9"/>
        <v>293.66975814369101</v>
      </c>
      <c r="AE9">
        <f t="shared" ref="AE9:AE22" si="12">ABS(AC9-AC8)</f>
        <v>1</v>
      </c>
      <c r="AF9">
        <v>4</v>
      </c>
      <c r="AG9" t="s">
        <v>483</v>
      </c>
      <c r="AH9">
        <v>44</v>
      </c>
      <c r="AI9">
        <f t="shared" si="10"/>
        <v>207.65481237683719</v>
      </c>
      <c r="AJ9">
        <f t="shared" ref="AJ9:AJ22" si="13">ABS(AH9-AH8)</f>
        <v>0</v>
      </c>
      <c r="AK9">
        <v>4</v>
      </c>
      <c r="AL9" t="s">
        <v>82</v>
      </c>
      <c r="AM9">
        <v>38</v>
      </c>
      <c r="AN9">
        <f t="shared" si="1"/>
        <v>146.83337288738056</v>
      </c>
      <c r="AO9">
        <f t="shared" si="8"/>
        <v>1</v>
      </c>
      <c r="AP9">
        <v>4</v>
      </c>
      <c r="AQ9" t="s">
        <v>85</v>
      </c>
      <c r="AR9">
        <v>34</v>
      </c>
      <c r="AS9">
        <f t="shared" si="11"/>
        <v>116.54132680899107</v>
      </c>
      <c r="AT9">
        <f t="shared" ref="AT9:AT22" si="14">ABS(AR9-AR8)</f>
        <v>5</v>
      </c>
      <c r="AU9">
        <f>AU6/(AV6-1)</f>
        <v>3.6483516483516483</v>
      </c>
    </row>
    <row r="10" spans="1:77" x14ac:dyDescent="0.2">
      <c r="A10">
        <f t="shared" si="2"/>
        <v>3</v>
      </c>
      <c r="B10" t="s">
        <v>362</v>
      </c>
      <c r="C10">
        <v>55</v>
      </c>
      <c r="D10">
        <f>16.35117682*1.059464^C10</f>
        <v>392.00377257605692</v>
      </c>
      <c r="E10">
        <f t="shared" si="3"/>
        <v>3</v>
      </c>
      <c r="F10" t="s">
        <v>222</v>
      </c>
      <c r="G10">
        <v>51</v>
      </c>
      <c r="H10">
        <f>16.35117682*1.059464^G10</f>
        <v>311.13253664194741</v>
      </c>
      <c r="I10">
        <f t="shared" si="4"/>
        <v>3</v>
      </c>
      <c r="J10" t="s">
        <v>483</v>
      </c>
      <c r="K10">
        <v>44</v>
      </c>
      <c r="L10">
        <f>16.35117682*1.059464^K10</f>
        <v>207.65481237683719</v>
      </c>
      <c r="M10">
        <f t="shared" si="5"/>
        <v>3</v>
      </c>
      <c r="N10" t="s">
        <v>369</v>
      </c>
      <c r="O10">
        <v>39</v>
      </c>
      <c r="P10">
        <f>16.35117682*1.059464^O10</f>
        <v>155.56467257275574</v>
      </c>
      <c r="Q10">
        <f t="shared" si="6"/>
        <v>3</v>
      </c>
      <c r="R10" t="s">
        <v>312</v>
      </c>
      <c r="S10">
        <v>29</v>
      </c>
      <c r="T10">
        <f>16.35117682*1.059464^S10</f>
        <v>87.306974197808145</v>
      </c>
      <c r="V10">
        <v>5</v>
      </c>
      <c r="W10" t="s">
        <v>308</v>
      </c>
      <c r="X10">
        <v>53</v>
      </c>
      <c r="Y10">
        <f t="shared" si="0"/>
        <v>349.23506143398839</v>
      </c>
      <c r="Z10">
        <f t="shared" si="7"/>
        <v>2</v>
      </c>
      <c r="AA10">
        <v>5</v>
      </c>
      <c r="AB10" t="s">
        <v>224</v>
      </c>
      <c r="AC10">
        <v>49</v>
      </c>
      <c r="AD10">
        <f t="shared" si="9"/>
        <v>277.18710418069043</v>
      </c>
      <c r="AE10">
        <f t="shared" si="12"/>
        <v>1</v>
      </c>
      <c r="AF10">
        <v>5</v>
      </c>
      <c r="AG10" t="s">
        <v>444</v>
      </c>
      <c r="AH10">
        <v>43</v>
      </c>
      <c r="AI10">
        <f t="shared" si="10"/>
        <v>195.99987576438383</v>
      </c>
      <c r="AJ10">
        <f t="shared" si="13"/>
        <v>1</v>
      </c>
      <c r="AK10">
        <v>5</v>
      </c>
      <c r="AL10" t="s">
        <v>83</v>
      </c>
      <c r="AM10">
        <v>37</v>
      </c>
      <c r="AN10">
        <f t="shared" si="1"/>
        <v>138.5921304427338</v>
      </c>
      <c r="AO10">
        <f t="shared" si="8"/>
        <v>1</v>
      </c>
      <c r="AP10">
        <v>5</v>
      </c>
      <c r="AQ10" t="s">
        <v>313</v>
      </c>
      <c r="AR10">
        <v>27</v>
      </c>
      <c r="AS10">
        <f t="shared" si="11"/>
        <v>77.781538420453217</v>
      </c>
      <c r="AT10">
        <f t="shared" si="14"/>
        <v>7</v>
      </c>
    </row>
    <row r="11" spans="1:77" x14ac:dyDescent="0.2">
      <c r="A11">
        <f t="shared" si="2"/>
        <v>3.5</v>
      </c>
      <c r="E11">
        <f t="shared" si="3"/>
        <v>3.5</v>
      </c>
      <c r="I11">
        <f t="shared" si="4"/>
        <v>3.5</v>
      </c>
      <c r="M11">
        <f t="shared" si="5"/>
        <v>3.5</v>
      </c>
      <c r="Q11">
        <f t="shared" si="6"/>
        <v>3.5</v>
      </c>
      <c r="V11">
        <v>6</v>
      </c>
      <c r="W11" t="s">
        <v>222</v>
      </c>
      <c r="X11">
        <v>51</v>
      </c>
      <c r="Y11">
        <f t="shared" si="0"/>
        <v>311.13253664194741</v>
      </c>
      <c r="Z11">
        <f t="shared" si="7"/>
        <v>2</v>
      </c>
      <c r="AA11">
        <v>6</v>
      </c>
      <c r="AB11" t="s">
        <v>323</v>
      </c>
      <c r="AC11">
        <v>48</v>
      </c>
      <c r="AD11">
        <f t="shared" si="9"/>
        <v>261.62956379894968</v>
      </c>
      <c r="AE11">
        <f t="shared" si="12"/>
        <v>1</v>
      </c>
      <c r="AF11">
        <v>6</v>
      </c>
      <c r="AG11" t="s">
        <v>449</v>
      </c>
      <c r="AH11">
        <v>44</v>
      </c>
      <c r="AI11">
        <f t="shared" si="10"/>
        <v>207.65481237683719</v>
      </c>
      <c r="AJ11">
        <f t="shared" si="13"/>
        <v>1</v>
      </c>
      <c r="AK11">
        <v>6</v>
      </c>
      <c r="AL11" t="s">
        <v>488</v>
      </c>
      <c r="AM11">
        <v>36</v>
      </c>
      <c r="AN11">
        <f t="shared" si="1"/>
        <v>130.81344004395982</v>
      </c>
      <c r="AO11">
        <f t="shared" si="8"/>
        <v>1</v>
      </c>
      <c r="AP11">
        <v>6</v>
      </c>
      <c r="AQ11" t="s">
        <v>314</v>
      </c>
      <c r="AR11">
        <v>32</v>
      </c>
      <c r="AS11">
        <f t="shared" si="11"/>
        <v>103.82634116063208</v>
      </c>
      <c r="AT11">
        <f t="shared" si="14"/>
        <v>5</v>
      </c>
    </row>
    <row r="12" spans="1:77" x14ac:dyDescent="0.2">
      <c r="A12">
        <f t="shared" si="2"/>
        <v>4</v>
      </c>
      <c r="B12" t="s">
        <v>362</v>
      </c>
      <c r="C12">
        <v>55</v>
      </c>
      <c r="D12">
        <f>16.35117682*1.059464^C12</f>
        <v>392.00377257605692</v>
      </c>
      <c r="E12">
        <f t="shared" si="3"/>
        <v>4</v>
      </c>
      <c r="F12" t="s">
        <v>223</v>
      </c>
      <c r="G12">
        <v>50</v>
      </c>
      <c r="H12">
        <f>16.35117682*1.059464^G12</f>
        <v>293.66975814369101</v>
      </c>
      <c r="I12">
        <f t="shared" si="4"/>
        <v>4</v>
      </c>
      <c r="J12" t="s">
        <v>483</v>
      </c>
      <c r="K12">
        <v>44</v>
      </c>
      <c r="L12">
        <f>16.35117682*1.059464^K12</f>
        <v>207.65481237683719</v>
      </c>
      <c r="M12">
        <f t="shared" si="5"/>
        <v>4</v>
      </c>
      <c r="N12" t="s">
        <v>82</v>
      </c>
      <c r="O12">
        <v>38</v>
      </c>
      <c r="P12">
        <f>16.35117682*1.059464^O12</f>
        <v>146.83337288738056</v>
      </c>
      <c r="Q12">
        <f t="shared" si="6"/>
        <v>4</v>
      </c>
      <c r="R12" t="s">
        <v>85</v>
      </c>
      <c r="S12">
        <v>34</v>
      </c>
      <c r="T12">
        <f>16.35117682*1.059464^S12</f>
        <v>116.54132680899107</v>
      </c>
      <c r="V12">
        <v>7</v>
      </c>
      <c r="W12" t="s">
        <v>223</v>
      </c>
      <c r="X12">
        <v>50</v>
      </c>
      <c r="Y12">
        <f t="shared" si="0"/>
        <v>293.66975814369101</v>
      </c>
      <c r="Z12">
        <f t="shared" si="7"/>
        <v>1</v>
      </c>
      <c r="AA12">
        <v>7</v>
      </c>
      <c r="AB12" t="s">
        <v>443</v>
      </c>
      <c r="AC12">
        <v>47</v>
      </c>
      <c r="AD12">
        <f t="shared" si="9"/>
        <v>246.94521361646048</v>
      </c>
      <c r="AE12">
        <f t="shared" si="12"/>
        <v>1</v>
      </c>
      <c r="AF12">
        <v>7</v>
      </c>
      <c r="AG12" t="s">
        <v>444</v>
      </c>
      <c r="AH12">
        <v>43</v>
      </c>
      <c r="AI12">
        <f t="shared" si="10"/>
        <v>195.99987576438383</v>
      </c>
      <c r="AJ12">
        <f t="shared" si="13"/>
        <v>1</v>
      </c>
      <c r="AK12">
        <v>7</v>
      </c>
      <c r="AL12" t="s">
        <v>84</v>
      </c>
      <c r="AM12">
        <v>35</v>
      </c>
      <c r="AN12">
        <f t="shared" si="1"/>
        <v>123.4713402663609</v>
      </c>
      <c r="AO12">
        <f t="shared" si="8"/>
        <v>1</v>
      </c>
      <c r="AP12">
        <v>7</v>
      </c>
      <c r="AQ12" t="s">
        <v>315</v>
      </c>
      <c r="AR12">
        <v>31</v>
      </c>
      <c r="AS12">
        <f t="shared" si="11"/>
        <v>97.998932630681253</v>
      </c>
      <c r="AT12">
        <f t="shared" si="14"/>
        <v>1</v>
      </c>
      <c r="AU12" t="s">
        <v>472</v>
      </c>
    </row>
    <row r="13" spans="1:77" x14ac:dyDescent="0.2">
      <c r="A13">
        <f t="shared" si="2"/>
        <v>4.5</v>
      </c>
      <c r="E13">
        <f t="shared" si="3"/>
        <v>4.5</v>
      </c>
      <c r="I13">
        <f t="shared" si="4"/>
        <v>4.5</v>
      </c>
      <c r="M13">
        <f t="shared" si="5"/>
        <v>4.5</v>
      </c>
      <c r="Q13">
        <f t="shared" si="6"/>
        <v>4.5</v>
      </c>
      <c r="V13">
        <v>8</v>
      </c>
      <c r="W13" t="s">
        <v>323</v>
      </c>
      <c r="X13">
        <v>48</v>
      </c>
      <c r="Y13">
        <f t="shared" si="0"/>
        <v>261.62956379894968</v>
      </c>
      <c r="Z13">
        <f t="shared" si="7"/>
        <v>2</v>
      </c>
      <c r="AA13">
        <v>8</v>
      </c>
      <c r="AB13" t="s">
        <v>444</v>
      </c>
      <c r="AC13">
        <v>43</v>
      </c>
      <c r="AD13">
        <f t="shared" si="9"/>
        <v>195.99987576438383</v>
      </c>
      <c r="AE13">
        <f t="shared" si="12"/>
        <v>4</v>
      </c>
      <c r="AF13">
        <v>8</v>
      </c>
      <c r="AG13" t="s">
        <v>484</v>
      </c>
      <c r="AH13">
        <v>39</v>
      </c>
      <c r="AI13">
        <f t="shared" si="10"/>
        <v>155.56467257275574</v>
      </c>
      <c r="AJ13">
        <f t="shared" si="13"/>
        <v>4</v>
      </c>
      <c r="AK13">
        <v>8</v>
      </c>
      <c r="AL13" t="s">
        <v>80</v>
      </c>
      <c r="AM13">
        <v>36</v>
      </c>
      <c r="AN13">
        <f t="shared" si="1"/>
        <v>130.81344004395982</v>
      </c>
      <c r="AO13">
        <f t="shared" si="8"/>
        <v>1</v>
      </c>
      <c r="AP13">
        <v>8</v>
      </c>
      <c r="AQ13" t="s">
        <v>34</v>
      </c>
      <c r="AR13">
        <v>24</v>
      </c>
      <c r="AS13">
        <f t="shared" si="11"/>
        <v>65.406049101104529</v>
      </c>
      <c r="AT13">
        <f t="shared" si="14"/>
        <v>7</v>
      </c>
    </row>
    <row r="14" spans="1:77" x14ac:dyDescent="0.2">
      <c r="A14">
        <f t="shared" si="2"/>
        <v>5</v>
      </c>
      <c r="B14" t="s">
        <v>363</v>
      </c>
      <c r="C14">
        <v>53</v>
      </c>
      <c r="D14">
        <f>16.35117682*1.059464^C14</f>
        <v>349.23506143398839</v>
      </c>
      <c r="E14">
        <f t="shared" si="3"/>
        <v>5</v>
      </c>
      <c r="F14" t="s">
        <v>224</v>
      </c>
      <c r="G14">
        <v>49</v>
      </c>
      <c r="H14">
        <f>16.35117682*1.059464^G14</f>
        <v>277.18710418069043</v>
      </c>
      <c r="I14">
        <f t="shared" si="4"/>
        <v>5</v>
      </c>
      <c r="J14" t="s">
        <v>444</v>
      </c>
      <c r="K14">
        <v>43</v>
      </c>
      <c r="L14">
        <f>16.35117682*1.059464^K14</f>
        <v>195.99987576438383</v>
      </c>
      <c r="M14">
        <f t="shared" si="5"/>
        <v>5</v>
      </c>
      <c r="N14" t="s">
        <v>83</v>
      </c>
      <c r="O14">
        <v>37</v>
      </c>
      <c r="P14">
        <f>16.35117682*1.059464^O14</f>
        <v>138.5921304427338</v>
      </c>
      <c r="Q14">
        <f t="shared" si="6"/>
        <v>5</v>
      </c>
      <c r="R14" t="s">
        <v>313</v>
      </c>
      <c r="S14">
        <v>27</v>
      </c>
      <c r="T14">
        <f>16.35117682*1.059464^S14</f>
        <v>77.781538420453217</v>
      </c>
      <c r="V14">
        <v>9</v>
      </c>
      <c r="W14" t="s">
        <v>323</v>
      </c>
      <c r="X14">
        <v>48</v>
      </c>
      <c r="Y14">
        <f t="shared" si="0"/>
        <v>261.62956379894968</v>
      </c>
      <c r="Z14">
        <f t="shared" si="7"/>
        <v>0</v>
      </c>
      <c r="AA14">
        <v>9</v>
      </c>
      <c r="AF14">
        <v>9</v>
      </c>
      <c r="AK14">
        <v>9</v>
      </c>
      <c r="AL14" t="s">
        <v>80</v>
      </c>
      <c r="AM14">
        <v>36</v>
      </c>
      <c r="AN14">
        <f t="shared" si="1"/>
        <v>130.81344004395982</v>
      </c>
      <c r="AO14">
        <f t="shared" si="8"/>
        <v>0</v>
      </c>
      <c r="AP14">
        <v>9</v>
      </c>
      <c r="AU14" t="s">
        <v>235</v>
      </c>
      <c r="AV14" t="s">
        <v>396</v>
      </c>
      <c r="BR14" s="2" t="s">
        <v>228</v>
      </c>
      <c r="BS14" s="2"/>
      <c r="BT14" s="2" t="s">
        <v>229</v>
      </c>
      <c r="BU14" s="2"/>
      <c r="BV14" s="2"/>
      <c r="BW14" s="2"/>
      <c r="BX14" s="2" t="s">
        <v>72</v>
      </c>
      <c r="BY14" s="2"/>
    </row>
    <row r="15" spans="1:77" x14ac:dyDescent="0.2">
      <c r="A15">
        <f t="shared" si="2"/>
        <v>5.5</v>
      </c>
      <c r="E15">
        <f t="shared" si="3"/>
        <v>5.5</v>
      </c>
      <c r="I15">
        <f t="shared" si="4"/>
        <v>5.5</v>
      </c>
      <c r="M15">
        <f t="shared" si="5"/>
        <v>5.5</v>
      </c>
      <c r="Q15">
        <f t="shared" si="6"/>
        <v>5.5</v>
      </c>
      <c r="V15">
        <v>9.5</v>
      </c>
      <c r="W15" t="s">
        <v>325</v>
      </c>
      <c r="X15">
        <v>46</v>
      </c>
      <c r="Y15">
        <f t="shared" si="0"/>
        <v>233.08504452861115</v>
      </c>
      <c r="Z15">
        <f t="shared" si="7"/>
        <v>2</v>
      </c>
      <c r="AA15">
        <v>9.5</v>
      </c>
      <c r="AF15">
        <v>9.5</v>
      </c>
      <c r="AK15">
        <v>9.5</v>
      </c>
      <c r="AL15" t="s">
        <v>85</v>
      </c>
      <c r="AM15">
        <v>34</v>
      </c>
      <c r="AN15">
        <f t="shared" si="1"/>
        <v>116.54132680899107</v>
      </c>
      <c r="AO15">
        <f t="shared" si="8"/>
        <v>2</v>
      </c>
      <c r="AP15">
        <v>9.5</v>
      </c>
      <c r="AU15">
        <f>SUM(AO5:AO166,AT8:AT13,AT17:AT22,AT30:AT32,AT40:AT42,AT50:AT69,AT98:AT103,AT107:AT112,AT120:AT122,AT130:AT132,AT155:AT166)</f>
        <v>887</v>
      </c>
      <c r="AV15">
        <f>(166-3)+36+20+12</f>
        <v>231</v>
      </c>
      <c r="BR15" s="2">
        <v>0</v>
      </c>
      <c r="BS15" s="2">
        <v>996</v>
      </c>
      <c r="BT15" s="2" t="s">
        <v>347</v>
      </c>
      <c r="BU15" s="2">
        <v>0</v>
      </c>
      <c r="BV15" s="2">
        <f>-286.4*BU15+922.1</f>
        <v>922.1</v>
      </c>
      <c r="BW15" s="2"/>
      <c r="BX15" s="2">
        <v>0</v>
      </c>
      <c r="BY15" s="2">
        <f>AVERAGE(BS15,BS20)</f>
        <v>941.5</v>
      </c>
    </row>
    <row r="16" spans="1:77" ht="14.25" x14ac:dyDescent="0.2">
      <c r="A16">
        <f t="shared" si="2"/>
        <v>6</v>
      </c>
      <c r="B16" t="s">
        <v>364</v>
      </c>
      <c r="C16">
        <v>51</v>
      </c>
      <c r="D16">
        <f>16.35117682*1.059464^C16</f>
        <v>311.13253664194741</v>
      </c>
      <c r="E16">
        <f t="shared" si="3"/>
        <v>6</v>
      </c>
      <c r="F16" t="s">
        <v>366</v>
      </c>
      <c r="G16">
        <v>48</v>
      </c>
      <c r="H16">
        <f>16.35117682*1.059464^G16</f>
        <v>261.62956379894968</v>
      </c>
      <c r="I16">
        <f t="shared" si="4"/>
        <v>6</v>
      </c>
      <c r="J16" t="s">
        <v>449</v>
      </c>
      <c r="K16">
        <v>44</v>
      </c>
      <c r="L16">
        <f>16.35117682*1.059464^K16</f>
        <v>207.65481237683719</v>
      </c>
      <c r="M16">
        <f t="shared" si="5"/>
        <v>6</v>
      </c>
      <c r="N16" t="s">
        <v>488</v>
      </c>
      <c r="O16">
        <v>36</v>
      </c>
      <c r="P16">
        <f>16.35117682*1.059464^O16</f>
        <v>130.81344004395982</v>
      </c>
      <c r="Q16">
        <f t="shared" si="6"/>
        <v>6</v>
      </c>
      <c r="R16" t="s">
        <v>314</v>
      </c>
      <c r="S16">
        <v>32</v>
      </c>
      <c r="T16">
        <f>16.35117682*1.059464^S16</f>
        <v>103.82634116063208</v>
      </c>
      <c r="V16">
        <v>10</v>
      </c>
      <c r="W16" t="s">
        <v>323</v>
      </c>
      <c r="X16">
        <v>48</v>
      </c>
      <c r="Y16">
        <f t="shared" si="0"/>
        <v>261.62956379894968</v>
      </c>
      <c r="Z16">
        <f t="shared" si="7"/>
        <v>2</v>
      </c>
      <c r="AA16">
        <v>10</v>
      </c>
      <c r="AF16">
        <v>10</v>
      </c>
      <c r="AK16">
        <v>10</v>
      </c>
      <c r="AL16" t="s">
        <v>80</v>
      </c>
      <c r="AM16">
        <v>36</v>
      </c>
      <c r="AN16">
        <f t="shared" si="1"/>
        <v>130.81344004395982</v>
      </c>
      <c r="AO16">
        <f t="shared" si="8"/>
        <v>2</v>
      </c>
      <c r="AP16">
        <v>10</v>
      </c>
      <c r="BR16" s="2">
        <v>1</v>
      </c>
      <c r="BS16" s="2">
        <v>562</v>
      </c>
      <c r="BT16" s="2" t="s">
        <v>348</v>
      </c>
      <c r="BU16" s="2">
        <v>1</v>
      </c>
      <c r="BV16" s="2">
        <f>-286.4*BU16+922.1</f>
        <v>635.70000000000005</v>
      </c>
      <c r="BW16" s="2"/>
      <c r="BX16" s="2">
        <v>1</v>
      </c>
      <c r="BY16" s="2">
        <f>AVERAGE(BS16,BS21)</f>
        <v>509</v>
      </c>
    </row>
    <row r="17" spans="1:77" x14ac:dyDescent="0.2">
      <c r="A17">
        <f t="shared" si="2"/>
        <v>6.5</v>
      </c>
      <c r="E17">
        <f t="shared" si="3"/>
        <v>6.5</v>
      </c>
      <c r="I17">
        <f t="shared" si="4"/>
        <v>6.5</v>
      </c>
      <c r="M17">
        <f t="shared" si="5"/>
        <v>6.5</v>
      </c>
      <c r="Q17">
        <f t="shared" si="6"/>
        <v>6.5</v>
      </c>
      <c r="V17">
        <v>11</v>
      </c>
      <c r="W17" t="s">
        <v>23</v>
      </c>
      <c r="X17">
        <v>55</v>
      </c>
      <c r="Y17">
        <f t="shared" si="0"/>
        <v>392.00377257605692</v>
      </c>
      <c r="Z17">
        <f t="shared" si="7"/>
        <v>7</v>
      </c>
      <c r="AA17">
        <v>11</v>
      </c>
      <c r="AB17" t="s">
        <v>213</v>
      </c>
      <c r="AC17">
        <v>51</v>
      </c>
      <c r="AD17">
        <f t="shared" ref="AD17:AD22" si="15">16.35117682*1.059464^AC17</f>
        <v>311.13253664194741</v>
      </c>
      <c r="AE17">
        <f>ABS(AC17-X16)</f>
        <v>3</v>
      </c>
      <c r="AF17">
        <v>11</v>
      </c>
      <c r="AG17" t="s">
        <v>449</v>
      </c>
      <c r="AH17">
        <v>44</v>
      </c>
      <c r="AI17">
        <f t="shared" ref="AI17:AI22" si="16">16.35117682*1.059464^AH17</f>
        <v>207.65481237683719</v>
      </c>
      <c r="AJ17">
        <f>ABS(AH17-X16)</f>
        <v>4</v>
      </c>
      <c r="AK17">
        <v>11</v>
      </c>
      <c r="AL17" t="s">
        <v>485</v>
      </c>
      <c r="AM17">
        <v>39</v>
      </c>
      <c r="AN17">
        <f t="shared" si="1"/>
        <v>155.56467257275574</v>
      </c>
      <c r="AO17">
        <f t="shared" si="8"/>
        <v>3</v>
      </c>
      <c r="AP17">
        <v>11</v>
      </c>
      <c r="AQ17" t="s">
        <v>312</v>
      </c>
      <c r="AR17">
        <v>29</v>
      </c>
      <c r="AS17">
        <f t="shared" ref="AS17:AS22" si="17">16.35117682*1.059464^AR17</f>
        <v>87.306974197808145</v>
      </c>
      <c r="AT17">
        <f>ABS(AR17-AM16)</f>
        <v>7</v>
      </c>
      <c r="AU17" t="s">
        <v>236</v>
      </c>
      <c r="BR17" s="2">
        <v>2</v>
      </c>
      <c r="BS17" s="2">
        <v>275</v>
      </c>
      <c r="BT17" s="2"/>
      <c r="BU17" s="2">
        <v>2</v>
      </c>
      <c r="BV17" s="2">
        <f>-286.4*BU17+922.1</f>
        <v>349.30000000000007</v>
      </c>
      <c r="BW17" s="2"/>
      <c r="BX17" s="2">
        <v>2</v>
      </c>
      <c r="BY17" s="2">
        <f>AVERAGE(BS17,BS22)</f>
        <v>299</v>
      </c>
    </row>
    <row r="18" spans="1:77" x14ac:dyDescent="0.2">
      <c r="A18">
        <f t="shared" si="2"/>
        <v>7</v>
      </c>
      <c r="B18" t="s">
        <v>365</v>
      </c>
      <c r="C18">
        <v>50</v>
      </c>
      <c r="D18">
        <f>16.35117682*1.059464^C18</f>
        <v>293.66975814369101</v>
      </c>
      <c r="E18">
        <f t="shared" si="3"/>
        <v>7</v>
      </c>
      <c r="F18" t="s">
        <v>443</v>
      </c>
      <c r="G18">
        <v>47</v>
      </c>
      <c r="H18">
        <f>16.35117682*1.059464^G18</f>
        <v>246.94521361646048</v>
      </c>
      <c r="I18">
        <f t="shared" si="4"/>
        <v>7</v>
      </c>
      <c r="J18" t="s">
        <v>444</v>
      </c>
      <c r="K18">
        <v>43</v>
      </c>
      <c r="L18">
        <f>16.35117682*1.059464^K18</f>
        <v>195.99987576438383</v>
      </c>
      <c r="M18">
        <f t="shared" si="5"/>
        <v>7</v>
      </c>
      <c r="N18" t="s">
        <v>84</v>
      </c>
      <c r="O18">
        <v>35</v>
      </c>
      <c r="P18">
        <f>16.35117682*1.059464^O18</f>
        <v>123.4713402663609</v>
      </c>
      <c r="Q18">
        <f t="shared" si="6"/>
        <v>7</v>
      </c>
      <c r="R18" t="s">
        <v>315</v>
      </c>
      <c r="S18">
        <v>31</v>
      </c>
      <c r="T18">
        <f>16.35117682*1.059464^S18</f>
        <v>97.998932630681253</v>
      </c>
      <c r="V18">
        <v>12</v>
      </c>
      <c r="W18" t="s">
        <v>23</v>
      </c>
      <c r="X18">
        <v>55</v>
      </c>
      <c r="Y18">
        <f t="shared" si="0"/>
        <v>392.00377257605692</v>
      </c>
      <c r="Z18">
        <f t="shared" si="7"/>
        <v>0</v>
      </c>
      <c r="AA18">
        <v>12</v>
      </c>
      <c r="AB18" t="s">
        <v>223</v>
      </c>
      <c r="AC18">
        <v>50</v>
      </c>
      <c r="AD18">
        <f t="shared" si="15"/>
        <v>293.66975814369101</v>
      </c>
      <c r="AE18">
        <f t="shared" si="12"/>
        <v>1</v>
      </c>
      <c r="AF18">
        <v>12</v>
      </c>
      <c r="AG18" t="s">
        <v>483</v>
      </c>
      <c r="AH18">
        <v>44</v>
      </c>
      <c r="AI18">
        <f t="shared" si="16"/>
        <v>207.65481237683719</v>
      </c>
      <c r="AJ18">
        <f t="shared" si="13"/>
        <v>0</v>
      </c>
      <c r="AK18">
        <v>12</v>
      </c>
      <c r="AL18" t="s">
        <v>82</v>
      </c>
      <c r="AM18">
        <v>38</v>
      </c>
      <c r="AN18">
        <f t="shared" si="1"/>
        <v>146.83337288738056</v>
      </c>
      <c r="AO18">
        <f t="shared" si="8"/>
        <v>1</v>
      </c>
      <c r="AP18">
        <v>12</v>
      </c>
      <c r="AQ18" t="s">
        <v>85</v>
      </c>
      <c r="AR18">
        <v>34</v>
      </c>
      <c r="AS18">
        <f t="shared" si="17"/>
        <v>116.54132680899107</v>
      </c>
      <c r="AT18">
        <f t="shared" si="14"/>
        <v>5</v>
      </c>
      <c r="AU18">
        <f>AU15/(AV15-1)</f>
        <v>3.8565217391304349</v>
      </c>
      <c r="BR18" s="2">
        <v>3</v>
      </c>
      <c r="BS18" s="2">
        <v>137</v>
      </c>
      <c r="BT18" s="2"/>
      <c r="BU18" s="2">
        <v>3</v>
      </c>
      <c r="BV18" s="2">
        <f>-286.4*BU18+922.1</f>
        <v>62.900000000000091</v>
      </c>
      <c r="BW18" s="2"/>
      <c r="BX18" s="2">
        <v>3</v>
      </c>
      <c r="BY18" s="2">
        <f>AVERAGE(BS18,BS23)</f>
        <v>170.5</v>
      </c>
    </row>
    <row r="19" spans="1:77" x14ac:dyDescent="0.2">
      <c r="A19">
        <f t="shared" si="2"/>
        <v>7.5</v>
      </c>
      <c r="E19">
        <f t="shared" si="3"/>
        <v>7.5</v>
      </c>
      <c r="I19">
        <f t="shared" si="4"/>
        <v>7.5</v>
      </c>
      <c r="M19">
        <f t="shared" si="5"/>
        <v>7.5</v>
      </c>
      <c r="Q19">
        <f t="shared" si="6"/>
        <v>7.5</v>
      </c>
      <c r="V19">
        <v>13</v>
      </c>
      <c r="W19" t="s">
        <v>308</v>
      </c>
      <c r="X19">
        <v>53</v>
      </c>
      <c r="Y19">
        <f t="shared" si="0"/>
        <v>349.23506143398839</v>
      </c>
      <c r="Z19">
        <f t="shared" si="7"/>
        <v>2</v>
      </c>
      <c r="AA19">
        <v>13</v>
      </c>
      <c r="AB19" t="s">
        <v>224</v>
      </c>
      <c r="AC19">
        <v>49</v>
      </c>
      <c r="AD19">
        <f t="shared" si="15"/>
        <v>277.18710418069043</v>
      </c>
      <c r="AE19">
        <f t="shared" si="12"/>
        <v>1</v>
      </c>
      <c r="AF19">
        <v>13</v>
      </c>
      <c r="AG19" t="s">
        <v>468</v>
      </c>
      <c r="AH19">
        <v>43</v>
      </c>
      <c r="AI19">
        <f t="shared" si="16"/>
        <v>195.99987576438383</v>
      </c>
      <c r="AJ19">
        <f t="shared" si="13"/>
        <v>1</v>
      </c>
      <c r="AK19">
        <v>13</v>
      </c>
      <c r="AL19" t="s">
        <v>83</v>
      </c>
      <c r="AM19">
        <v>37</v>
      </c>
      <c r="AN19">
        <f t="shared" si="1"/>
        <v>138.5921304427338</v>
      </c>
      <c r="AO19">
        <f t="shared" si="8"/>
        <v>1</v>
      </c>
      <c r="AP19">
        <v>13</v>
      </c>
      <c r="AQ19" t="s">
        <v>313</v>
      </c>
      <c r="AR19">
        <v>27</v>
      </c>
      <c r="AS19">
        <f t="shared" si="17"/>
        <v>77.781538420453217</v>
      </c>
      <c r="AT19">
        <f t="shared" si="14"/>
        <v>7</v>
      </c>
      <c r="BR19" s="2" t="s">
        <v>230</v>
      </c>
      <c r="BS19" s="2"/>
      <c r="BT19" s="2" t="s">
        <v>231</v>
      </c>
      <c r="BU19" s="2"/>
      <c r="BV19" s="2"/>
      <c r="BW19" s="2" t="s">
        <v>73</v>
      </c>
      <c r="BX19" s="2"/>
      <c r="BY19" s="2"/>
    </row>
    <row r="20" spans="1:77" x14ac:dyDescent="0.2">
      <c r="A20">
        <f t="shared" si="2"/>
        <v>8</v>
      </c>
      <c r="B20" t="s">
        <v>366</v>
      </c>
      <c r="C20">
        <v>48</v>
      </c>
      <c r="D20">
        <f>16.35117682*1.059464^C20</f>
        <v>261.62956379894968</v>
      </c>
      <c r="E20">
        <f t="shared" si="3"/>
        <v>8</v>
      </c>
      <c r="F20" t="s">
        <v>444</v>
      </c>
      <c r="G20">
        <v>43</v>
      </c>
      <c r="H20">
        <f>16.35117682*1.059464^G20</f>
        <v>195.99987576438383</v>
      </c>
      <c r="I20">
        <f t="shared" si="4"/>
        <v>8</v>
      </c>
      <c r="J20" t="s">
        <v>484</v>
      </c>
      <c r="K20">
        <v>39</v>
      </c>
      <c r="L20">
        <f>16.35117682*1.059464^K20</f>
        <v>155.56467257275574</v>
      </c>
      <c r="M20">
        <f t="shared" si="5"/>
        <v>8</v>
      </c>
      <c r="N20" t="s">
        <v>80</v>
      </c>
      <c r="O20">
        <v>36</v>
      </c>
      <c r="P20">
        <f>16.35117682*1.059464^O20</f>
        <v>130.81344004395982</v>
      </c>
      <c r="Q20">
        <f t="shared" si="6"/>
        <v>8</v>
      </c>
      <c r="R20" t="s">
        <v>34</v>
      </c>
      <c r="S20">
        <v>24</v>
      </c>
      <c r="T20">
        <f>16.35117682*1.059464^S20</f>
        <v>65.406049101104529</v>
      </c>
      <c r="V20">
        <v>14</v>
      </c>
      <c r="W20" t="s">
        <v>222</v>
      </c>
      <c r="X20">
        <v>51</v>
      </c>
      <c r="Y20">
        <f t="shared" si="0"/>
        <v>311.13253664194741</v>
      </c>
      <c r="Z20">
        <f t="shared" si="7"/>
        <v>2</v>
      </c>
      <c r="AA20">
        <v>14</v>
      </c>
      <c r="AB20" t="s">
        <v>446</v>
      </c>
      <c r="AC20">
        <v>48</v>
      </c>
      <c r="AD20">
        <f t="shared" si="15"/>
        <v>261.62956379894968</v>
      </c>
      <c r="AE20">
        <f t="shared" si="12"/>
        <v>1</v>
      </c>
      <c r="AF20">
        <v>14</v>
      </c>
      <c r="AG20" t="s">
        <v>469</v>
      </c>
      <c r="AH20">
        <v>44</v>
      </c>
      <c r="AI20">
        <f t="shared" si="16"/>
        <v>207.65481237683719</v>
      </c>
      <c r="AJ20">
        <f t="shared" si="13"/>
        <v>1</v>
      </c>
      <c r="AK20">
        <v>14</v>
      </c>
      <c r="AL20" t="s">
        <v>80</v>
      </c>
      <c r="AM20">
        <v>36</v>
      </c>
      <c r="AN20">
        <f t="shared" si="1"/>
        <v>130.81344004395982</v>
      </c>
      <c r="AO20">
        <f t="shared" si="8"/>
        <v>1</v>
      </c>
      <c r="AP20">
        <v>14</v>
      </c>
      <c r="AQ20" t="s">
        <v>314</v>
      </c>
      <c r="AR20">
        <v>32</v>
      </c>
      <c r="AS20">
        <f t="shared" si="17"/>
        <v>103.82634116063208</v>
      </c>
      <c r="AT20">
        <f t="shared" si="14"/>
        <v>5</v>
      </c>
      <c r="BR20" s="2">
        <v>0</v>
      </c>
      <c r="BS20" s="2">
        <v>887</v>
      </c>
      <c r="BT20" s="2" t="s">
        <v>171</v>
      </c>
      <c r="BU20" s="2">
        <v>0</v>
      </c>
      <c r="BV20" s="2">
        <f>-218.2*BU20+794.8</f>
        <v>794.8</v>
      </c>
      <c r="BW20" s="2" t="s">
        <v>173</v>
      </c>
      <c r="BX20" s="2">
        <v>0</v>
      </c>
      <c r="BY20" s="2">
        <f>-252.15*BX20+858.1</f>
        <v>858.1</v>
      </c>
    </row>
    <row r="21" spans="1:77" ht="14.25" x14ac:dyDescent="0.2">
      <c r="A21">
        <f t="shared" si="2"/>
        <v>8.5</v>
      </c>
      <c r="E21">
        <f t="shared" si="3"/>
        <v>8.5</v>
      </c>
      <c r="I21">
        <f t="shared" si="4"/>
        <v>8.5</v>
      </c>
      <c r="M21">
        <f t="shared" si="5"/>
        <v>8.5</v>
      </c>
      <c r="Q21">
        <f t="shared" si="6"/>
        <v>8.5</v>
      </c>
      <c r="V21">
        <v>15</v>
      </c>
      <c r="W21" t="s">
        <v>223</v>
      </c>
      <c r="X21">
        <v>50</v>
      </c>
      <c r="Y21">
        <f t="shared" si="0"/>
        <v>293.66975814369101</v>
      </c>
      <c r="Z21">
        <f t="shared" si="7"/>
        <v>1</v>
      </c>
      <c r="AA21">
        <v>15</v>
      </c>
      <c r="AB21" t="s">
        <v>447</v>
      </c>
      <c r="AC21">
        <v>47</v>
      </c>
      <c r="AD21">
        <f t="shared" si="15"/>
        <v>246.94521361646048</v>
      </c>
      <c r="AE21">
        <f t="shared" si="12"/>
        <v>1</v>
      </c>
      <c r="AF21">
        <v>15</v>
      </c>
      <c r="AG21" t="s">
        <v>468</v>
      </c>
      <c r="AH21">
        <v>43</v>
      </c>
      <c r="AI21">
        <f t="shared" si="16"/>
        <v>195.99987576438383</v>
      </c>
      <c r="AJ21">
        <f t="shared" si="13"/>
        <v>1</v>
      </c>
      <c r="AK21">
        <v>15</v>
      </c>
      <c r="AL21" t="s">
        <v>307</v>
      </c>
      <c r="AM21">
        <v>35</v>
      </c>
      <c r="AN21">
        <f t="shared" si="1"/>
        <v>123.4713402663609</v>
      </c>
      <c r="AO21">
        <f t="shared" si="8"/>
        <v>1</v>
      </c>
      <c r="AP21">
        <v>15</v>
      </c>
      <c r="AQ21" t="s">
        <v>315</v>
      </c>
      <c r="AR21">
        <v>31</v>
      </c>
      <c r="AS21">
        <f t="shared" si="17"/>
        <v>97.998932630681253</v>
      </c>
      <c r="AT21">
        <f t="shared" si="14"/>
        <v>1</v>
      </c>
      <c r="BR21" s="2">
        <v>1</v>
      </c>
      <c r="BS21" s="2">
        <v>456</v>
      </c>
      <c r="BT21" s="2" t="s">
        <v>172</v>
      </c>
      <c r="BU21" s="2">
        <v>1</v>
      </c>
      <c r="BV21" s="2">
        <f>-218.2*BU21+794.8</f>
        <v>576.59999999999991</v>
      </c>
      <c r="BW21" s="2" t="s">
        <v>174</v>
      </c>
      <c r="BX21" s="2">
        <v>1</v>
      </c>
      <c r="BY21" s="2">
        <f>-252.15*BX21+858.1</f>
        <v>605.95000000000005</v>
      </c>
    </row>
    <row r="22" spans="1:77" x14ac:dyDescent="0.2">
      <c r="A22">
        <f t="shared" si="2"/>
        <v>9</v>
      </c>
      <c r="B22" t="s">
        <v>366</v>
      </c>
      <c r="C22">
        <v>48</v>
      </c>
      <c r="D22">
        <f>16.35117682*1.059464^C22</f>
        <v>261.62956379894968</v>
      </c>
      <c r="E22">
        <f t="shared" si="3"/>
        <v>9</v>
      </c>
      <c r="I22">
        <f t="shared" si="4"/>
        <v>9</v>
      </c>
      <c r="M22">
        <f t="shared" si="5"/>
        <v>9</v>
      </c>
      <c r="N22" t="s">
        <v>80</v>
      </c>
      <c r="O22">
        <v>36</v>
      </c>
      <c r="P22">
        <f>16.35117682*1.059464^O22</f>
        <v>130.81344004395982</v>
      </c>
      <c r="Q22">
        <f t="shared" si="6"/>
        <v>9</v>
      </c>
      <c r="V22">
        <v>16</v>
      </c>
      <c r="W22" t="s">
        <v>323</v>
      </c>
      <c r="X22">
        <v>48</v>
      </c>
      <c r="Y22">
        <f t="shared" si="0"/>
        <v>261.62956379894968</v>
      </c>
      <c r="Z22">
        <f t="shared" si="7"/>
        <v>2</v>
      </c>
      <c r="AA22">
        <v>16</v>
      </c>
      <c r="AB22" t="s">
        <v>448</v>
      </c>
      <c r="AC22">
        <v>43</v>
      </c>
      <c r="AD22">
        <f t="shared" si="15"/>
        <v>195.99987576438383</v>
      </c>
      <c r="AE22">
        <f t="shared" si="12"/>
        <v>4</v>
      </c>
      <c r="AF22">
        <v>16</v>
      </c>
      <c r="AG22" t="s">
        <v>485</v>
      </c>
      <c r="AH22">
        <v>39</v>
      </c>
      <c r="AI22">
        <f t="shared" si="16"/>
        <v>155.56467257275574</v>
      </c>
      <c r="AJ22">
        <f t="shared" si="13"/>
        <v>4</v>
      </c>
      <c r="AK22">
        <v>16</v>
      </c>
      <c r="AL22" t="s">
        <v>488</v>
      </c>
      <c r="AM22">
        <v>36</v>
      </c>
      <c r="AN22">
        <f t="shared" si="1"/>
        <v>130.81344004395982</v>
      </c>
      <c r="AO22">
        <f t="shared" si="8"/>
        <v>1</v>
      </c>
      <c r="AP22">
        <v>16</v>
      </c>
      <c r="AQ22" t="s">
        <v>34</v>
      </c>
      <c r="AR22">
        <v>24</v>
      </c>
      <c r="AS22">
        <f t="shared" si="17"/>
        <v>65.406049101104529</v>
      </c>
      <c r="AT22">
        <f t="shared" si="14"/>
        <v>7</v>
      </c>
      <c r="BR22" s="2">
        <v>2</v>
      </c>
      <c r="BS22" s="2">
        <v>323</v>
      </c>
      <c r="BT22" s="2"/>
      <c r="BU22" s="2">
        <v>2</v>
      </c>
      <c r="BV22" s="2">
        <f>-218.2*BU22+794.8</f>
        <v>358.4</v>
      </c>
      <c r="BW22" s="2"/>
      <c r="BX22" s="2">
        <v>2</v>
      </c>
      <c r="BY22" s="2">
        <f>-252.15*BX22+858.1</f>
        <v>353.8</v>
      </c>
    </row>
    <row r="23" spans="1:77" x14ac:dyDescent="0.2">
      <c r="A23">
        <f t="shared" si="2"/>
        <v>9.5</v>
      </c>
      <c r="B23" t="s">
        <v>367</v>
      </c>
      <c r="C23">
        <v>46</v>
      </c>
      <c r="D23">
        <f>16.35117682*1.059464^C23</f>
        <v>233.08504452861115</v>
      </c>
      <c r="E23">
        <f t="shared" si="3"/>
        <v>9.5</v>
      </c>
      <c r="I23">
        <f t="shared" si="4"/>
        <v>9.5</v>
      </c>
      <c r="M23">
        <f t="shared" si="5"/>
        <v>9.5</v>
      </c>
      <c r="N23" t="s">
        <v>85</v>
      </c>
      <c r="O23">
        <v>34</v>
      </c>
      <c r="P23">
        <f>16.35117682*1.059464^O23</f>
        <v>116.54132680899107</v>
      </c>
      <c r="Q23">
        <f t="shared" si="6"/>
        <v>9.5</v>
      </c>
      <c r="V23">
        <v>17</v>
      </c>
      <c r="W23" t="s">
        <v>323</v>
      </c>
      <c r="X23">
        <v>48</v>
      </c>
      <c r="Y23">
        <f t="shared" ref="Y23:Y29" si="18">16.35117682*1.059464^X23</f>
        <v>261.62956379894968</v>
      </c>
      <c r="Z23">
        <f t="shared" si="7"/>
        <v>0</v>
      </c>
      <c r="AA23">
        <v>17</v>
      </c>
      <c r="AF23">
        <v>17</v>
      </c>
      <c r="AK23">
        <v>17</v>
      </c>
      <c r="AL23" t="s">
        <v>488</v>
      </c>
      <c r="AM23">
        <v>36</v>
      </c>
      <c r="AN23">
        <f t="shared" ref="AN23:AN29" si="19">16.35117682*1.059464^AM23</f>
        <v>130.81344004395982</v>
      </c>
      <c r="AO23">
        <f t="shared" si="8"/>
        <v>0</v>
      </c>
      <c r="AP23">
        <v>17</v>
      </c>
      <c r="BR23" s="2">
        <v>3</v>
      </c>
      <c r="BS23" s="2">
        <v>204</v>
      </c>
      <c r="BT23" s="2"/>
      <c r="BU23" s="2">
        <v>3</v>
      </c>
      <c r="BV23" s="2">
        <f>-218.2*BU23+794.8</f>
        <v>140.20000000000005</v>
      </c>
      <c r="BW23" s="2"/>
      <c r="BX23" s="2">
        <v>3</v>
      </c>
      <c r="BY23" s="2">
        <f>-252.15*BX23+858.1</f>
        <v>101.64999999999998</v>
      </c>
    </row>
    <row r="24" spans="1:77" x14ac:dyDescent="0.2">
      <c r="A24">
        <f t="shared" si="2"/>
        <v>10</v>
      </c>
      <c r="B24" t="s">
        <v>361</v>
      </c>
      <c r="C24">
        <v>48</v>
      </c>
      <c r="D24">
        <f>16.35117682*1.059464^C24</f>
        <v>261.62956379894968</v>
      </c>
      <c r="E24">
        <f t="shared" si="3"/>
        <v>10</v>
      </c>
      <c r="I24">
        <f t="shared" si="4"/>
        <v>10</v>
      </c>
      <c r="M24">
        <f t="shared" si="5"/>
        <v>10</v>
      </c>
      <c r="N24" t="s">
        <v>80</v>
      </c>
      <c r="O24">
        <v>36</v>
      </c>
      <c r="P24">
        <f>16.35117682*1.059464^O24</f>
        <v>130.81344004395982</v>
      </c>
      <c r="Q24">
        <f t="shared" si="6"/>
        <v>10</v>
      </c>
      <c r="V24">
        <v>17.5</v>
      </c>
      <c r="W24" t="s">
        <v>325</v>
      </c>
      <c r="X24">
        <v>46</v>
      </c>
      <c r="Y24">
        <f t="shared" si="18"/>
        <v>233.08504452861115</v>
      </c>
      <c r="Z24">
        <f t="shared" si="7"/>
        <v>2</v>
      </c>
      <c r="AA24">
        <v>17.5</v>
      </c>
      <c r="AF24">
        <v>17.5</v>
      </c>
      <c r="AK24">
        <v>17.5</v>
      </c>
      <c r="AL24" t="s">
        <v>81</v>
      </c>
      <c r="AM24">
        <v>34</v>
      </c>
      <c r="AN24">
        <f t="shared" si="19"/>
        <v>116.54132680899107</v>
      </c>
      <c r="AO24">
        <f t="shared" si="8"/>
        <v>2</v>
      </c>
      <c r="AP24">
        <v>17.5</v>
      </c>
    </row>
    <row r="25" spans="1:77" x14ac:dyDescent="0.2">
      <c r="A25">
        <f t="shared" si="2"/>
        <v>10.5</v>
      </c>
      <c r="E25">
        <f t="shared" si="3"/>
        <v>10.5</v>
      </c>
      <c r="I25">
        <f t="shared" si="4"/>
        <v>10.5</v>
      </c>
      <c r="M25">
        <f t="shared" si="5"/>
        <v>10.5</v>
      </c>
      <c r="Q25">
        <f t="shared" si="6"/>
        <v>10.5</v>
      </c>
      <c r="V25">
        <v>18</v>
      </c>
      <c r="W25" t="s">
        <v>323</v>
      </c>
      <c r="X25">
        <v>48</v>
      </c>
      <c r="Y25">
        <f t="shared" si="18"/>
        <v>261.62956379894968</v>
      </c>
      <c r="Z25">
        <f>ABS(X25-X24)</f>
        <v>2</v>
      </c>
      <c r="AA25">
        <v>18</v>
      </c>
      <c r="AF25">
        <v>18</v>
      </c>
      <c r="AK25">
        <v>18</v>
      </c>
      <c r="AL25" t="s">
        <v>80</v>
      </c>
      <c r="AM25">
        <v>36</v>
      </c>
      <c r="AN25">
        <f t="shared" si="19"/>
        <v>130.81344004395982</v>
      </c>
      <c r="AO25">
        <f>ABS(AM25-AM24)</f>
        <v>2</v>
      </c>
      <c r="AP25">
        <v>18</v>
      </c>
    </row>
    <row r="26" spans="1:77" x14ac:dyDescent="0.2">
      <c r="A26">
        <f t="shared" si="2"/>
        <v>11</v>
      </c>
      <c r="B26" t="s">
        <v>362</v>
      </c>
      <c r="C26">
        <v>55</v>
      </c>
      <c r="D26">
        <f>16.35117682*1.059464^C26</f>
        <v>392.00377257605692</v>
      </c>
      <c r="E26">
        <f t="shared" si="3"/>
        <v>11</v>
      </c>
      <c r="F26" t="s">
        <v>213</v>
      </c>
      <c r="G26">
        <v>51</v>
      </c>
      <c r="H26">
        <f>16.35117682*1.059464^G26</f>
        <v>311.13253664194741</v>
      </c>
      <c r="I26">
        <f t="shared" si="4"/>
        <v>11</v>
      </c>
      <c r="J26" t="s">
        <v>449</v>
      </c>
      <c r="K26">
        <v>44</v>
      </c>
      <c r="L26">
        <f>16.35117682*1.059464^K26</f>
        <v>207.65481237683719</v>
      </c>
      <c r="M26">
        <f t="shared" si="5"/>
        <v>11</v>
      </c>
      <c r="N26" t="s">
        <v>86</v>
      </c>
      <c r="O26">
        <v>39</v>
      </c>
      <c r="P26">
        <f>16.35117682*1.059464^O26</f>
        <v>155.56467257275574</v>
      </c>
      <c r="Q26">
        <f t="shared" si="6"/>
        <v>11</v>
      </c>
      <c r="R26" t="s">
        <v>312</v>
      </c>
      <c r="S26">
        <v>29</v>
      </c>
      <c r="T26">
        <f>16.35117682*1.059464^S26</f>
        <v>87.306974197808145</v>
      </c>
      <c r="V26">
        <v>18.5</v>
      </c>
      <c r="W26" t="s">
        <v>325</v>
      </c>
      <c r="X26">
        <v>46</v>
      </c>
      <c r="Y26">
        <f t="shared" si="18"/>
        <v>233.08504452861115</v>
      </c>
      <c r="Z26">
        <f>ABS(X26-X25)</f>
        <v>2</v>
      </c>
      <c r="AA26">
        <v>18.5</v>
      </c>
      <c r="AF26">
        <v>18.5</v>
      </c>
      <c r="AK26">
        <v>18.5</v>
      </c>
      <c r="AL26" t="s">
        <v>85</v>
      </c>
      <c r="AM26">
        <v>34</v>
      </c>
      <c r="AN26">
        <f t="shared" si="19"/>
        <v>116.54132680899107</v>
      </c>
      <c r="AO26">
        <f>ABS(AM26-AM25)</f>
        <v>2</v>
      </c>
      <c r="AP26">
        <v>18.5</v>
      </c>
    </row>
    <row r="27" spans="1:77" x14ac:dyDescent="0.2">
      <c r="A27">
        <f t="shared" si="2"/>
        <v>11.5</v>
      </c>
      <c r="E27">
        <f t="shared" si="3"/>
        <v>11.5</v>
      </c>
      <c r="I27">
        <f t="shared" si="4"/>
        <v>11.5</v>
      </c>
      <c r="M27">
        <f t="shared" si="5"/>
        <v>11.5</v>
      </c>
      <c r="Q27">
        <f t="shared" si="6"/>
        <v>11.5</v>
      </c>
      <c r="V27">
        <v>19</v>
      </c>
      <c r="W27" t="s">
        <v>323</v>
      </c>
      <c r="X27">
        <v>48</v>
      </c>
      <c r="Y27">
        <f t="shared" si="18"/>
        <v>261.62956379894968</v>
      </c>
      <c r="Z27">
        <f t="shared" ref="Z27:Z45" si="20">ABS(X27-X26)</f>
        <v>2</v>
      </c>
      <c r="AA27">
        <v>19</v>
      </c>
      <c r="AF27">
        <v>19</v>
      </c>
      <c r="AK27">
        <v>19</v>
      </c>
      <c r="AL27" t="s">
        <v>80</v>
      </c>
      <c r="AM27">
        <v>36</v>
      </c>
      <c r="AN27">
        <f t="shared" si="19"/>
        <v>130.81344004395982</v>
      </c>
      <c r="AO27">
        <f t="shared" ref="AO27:AO45" si="21">ABS(AM27-AM26)</f>
        <v>2</v>
      </c>
      <c r="AP27">
        <v>19</v>
      </c>
    </row>
    <row r="28" spans="1:77" x14ac:dyDescent="0.2">
      <c r="A28">
        <f t="shared" si="2"/>
        <v>12</v>
      </c>
      <c r="B28" t="s">
        <v>362</v>
      </c>
      <c r="C28">
        <v>55</v>
      </c>
      <c r="D28">
        <f>16.35117682*1.059464^C28</f>
        <v>392.00377257605692</v>
      </c>
      <c r="E28">
        <f t="shared" si="3"/>
        <v>12</v>
      </c>
      <c r="F28" t="s">
        <v>365</v>
      </c>
      <c r="G28">
        <v>50</v>
      </c>
      <c r="H28">
        <f>16.35117682*1.059464^G28</f>
        <v>293.66975814369101</v>
      </c>
      <c r="I28">
        <f t="shared" si="4"/>
        <v>12</v>
      </c>
      <c r="J28" t="s">
        <v>483</v>
      </c>
      <c r="K28">
        <v>44</v>
      </c>
      <c r="L28">
        <f>16.35117682*1.059464^K28</f>
        <v>207.65481237683719</v>
      </c>
      <c r="M28">
        <f t="shared" si="5"/>
        <v>12</v>
      </c>
      <c r="N28" t="s">
        <v>87</v>
      </c>
      <c r="O28">
        <v>38</v>
      </c>
      <c r="P28">
        <f>16.35117682*1.059464^O28</f>
        <v>146.83337288738056</v>
      </c>
      <c r="Q28">
        <f t="shared" si="6"/>
        <v>12</v>
      </c>
      <c r="R28" t="s">
        <v>85</v>
      </c>
      <c r="S28">
        <v>34</v>
      </c>
      <c r="T28">
        <f>16.35117682*1.059464^S28</f>
        <v>116.54132680899107</v>
      </c>
      <c r="V28">
        <v>19.5</v>
      </c>
      <c r="W28" t="s">
        <v>223</v>
      </c>
      <c r="X28">
        <v>50</v>
      </c>
      <c r="Y28">
        <f t="shared" si="18"/>
        <v>293.66975814369101</v>
      </c>
      <c r="Z28">
        <f t="shared" si="20"/>
        <v>2</v>
      </c>
      <c r="AA28">
        <v>19.5</v>
      </c>
      <c r="AF28">
        <v>19.5</v>
      </c>
      <c r="AK28">
        <v>19.5</v>
      </c>
      <c r="AL28" t="s">
        <v>82</v>
      </c>
      <c r="AM28">
        <v>38</v>
      </c>
      <c r="AN28">
        <f t="shared" si="19"/>
        <v>146.83337288738056</v>
      </c>
      <c r="AO28">
        <f t="shared" si="21"/>
        <v>2</v>
      </c>
      <c r="AP28">
        <v>19.5</v>
      </c>
    </row>
    <row r="29" spans="1:77" x14ac:dyDescent="0.2">
      <c r="A29">
        <f t="shared" si="2"/>
        <v>12.5</v>
      </c>
      <c r="E29">
        <f t="shared" si="3"/>
        <v>12.5</v>
      </c>
      <c r="I29">
        <f t="shared" si="4"/>
        <v>12.5</v>
      </c>
      <c r="M29">
        <f t="shared" si="5"/>
        <v>12.5</v>
      </c>
      <c r="Q29">
        <f t="shared" si="6"/>
        <v>12.5</v>
      </c>
      <c r="V29">
        <v>20</v>
      </c>
      <c r="W29" t="s">
        <v>222</v>
      </c>
      <c r="X29">
        <v>51</v>
      </c>
      <c r="Y29">
        <f t="shared" si="18"/>
        <v>311.13253664194741</v>
      </c>
      <c r="Z29">
        <f t="shared" si="20"/>
        <v>1</v>
      </c>
      <c r="AA29">
        <v>20</v>
      </c>
      <c r="AF29">
        <v>20</v>
      </c>
      <c r="AK29">
        <v>20</v>
      </c>
      <c r="AL29" t="s">
        <v>485</v>
      </c>
      <c r="AM29">
        <v>39</v>
      </c>
      <c r="AN29">
        <f t="shared" si="19"/>
        <v>155.56467257275574</v>
      </c>
      <c r="AO29">
        <f t="shared" si="21"/>
        <v>1</v>
      </c>
      <c r="AP29">
        <v>20</v>
      </c>
    </row>
    <row r="30" spans="1:77" x14ac:dyDescent="0.2">
      <c r="A30">
        <f t="shared" si="2"/>
        <v>13</v>
      </c>
      <c r="B30" t="s">
        <v>363</v>
      </c>
      <c r="C30">
        <v>53</v>
      </c>
      <c r="D30">
        <f>16.35117682*1.059464^C30</f>
        <v>349.23506143398839</v>
      </c>
      <c r="E30">
        <f t="shared" si="3"/>
        <v>13</v>
      </c>
      <c r="F30" t="s">
        <v>445</v>
      </c>
      <c r="G30">
        <v>49</v>
      </c>
      <c r="H30">
        <f>16.35117682*1.059464^G30</f>
        <v>277.18710418069043</v>
      </c>
      <c r="I30">
        <f t="shared" si="4"/>
        <v>13</v>
      </c>
      <c r="J30" t="s">
        <v>468</v>
      </c>
      <c r="K30">
        <v>43</v>
      </c>
      <c r="L30">
        <f>16.35117682*1.059464^K30</f>
        <v>195.99987576438383</v>
      </c>
      <c r="M30">
        <f t="shared" si="5"/>
        <v>13</v>
      </c>
      <c r="N30" t="s">
        <v>83</v>
      </c>
      <c r="O30">
        <v>37</v>
      </c>
      <c r="P30">
        <f>16.35117682*1.059464^O30</f>
        <v>138.5921304427338</v>
      </c>
      <c r="Q30">
        <f t="shared" si="6"/>
        <v>13</v>
      </c>
      <c r="R30" t="s">
        <v>313</v>
      </c>
      <c r="S30">
        <v>27</v>
      </c>
      <c r="T30">
        <f>16.35117682*1.059464^S30</f>
        <v>77.781538420453217</v>
      </c>
      <c r="V30">
        <v>21</v>
      </c>
      <c r="W30" t="s">
        <v>23</v>
      </c>
      <c r="X30">
        <v>55</v>
      </c>
      <c r="Y30">
        <f>16.35117682*1.059464^X30</f>
        <v>392.00377257605692</v>
      </c>
      <c r="Z30">
        <f t="shared" si="20"/>
        <v>4</v>
      </c>
      <c r="AA30">
        <v>21</v>
      </c>
      <c r="AB30" t="s">
        <v>213</v>
      </c>
      <c r="AC30">
        <v>51</v>
      </c>
      <c r="AD30">
        <f>16.35117682*1.059464^AC30</f>
        <v>311.13253664194741</v>
      </c>
      <c r="AE30">
        <f>ABS(AC30-X29)</f>
        <v>0</v>
      </c>
      <c r="AF30">
        <v>21</v>
      </c>
      <c r="AG30" t="s">
        <v>483</v>
      </c>
      <c r="AH30">
        <v>44</v>
      </c>
      <c r="AI30">
        <f>16.35117682*1.059464^AH30</f>
        <v>207.65481237683719</v>
      </c>
      <c r="AJ30">
        <f>ABS(AH30-X29)</f>
        <v>7</v>
      </c>
      <c r="AK30">
        <v>21</v>
      </c>
      <c r="AL30" t="s">
        <v>485</v>
      </c>
      <c r="AM30">
        <v>39</v>
      </c>
      <c r="AN30">
        <f>16.35117682*1.059464^AM30</f>
        <v>155.56467257275574</v>
      </c>
      <c r="AO30">
        <f t="shared" si="21"/>
        <v>0</v>
      </c>
      <c r="AP30">
        <v>21</v>
      </c>
      <c r="AQ30" t="s">
        <v>312</v>
      </c>
      <c r="AR30">
        <v>29</v>
      </c>
      <c r="AS30">
        <f>16.35117682*1.059464^AR30</f>
        <v>87.306974197808145</v>
      </c>
      <c r="AT30">
        <f>ABS(AR30-AM29)</f>
        <v>10</v>
      </c>
    </row>
    <row r="31" spans="1:77" x14ac:dyDescent="0.2">
      <c r="A31">
        <f t="shared" si="2"/>
        <v>13.5</v>
      </c>
      <c r="E31">
        <f t="shared" si="3"/>
        <v>13.5</v>
      </c>
      <c r="I31">
        <f t="shared" si="4"/>
        <v>13.5</v>
      </c>
      <c r="M31">
        <f t="shared" si="5"/>
        <v>13.5</v>
      </c>
      <c r="Q31">
        <f t="shared" si="6"/>
        <v>13.5</v>
      </c>
      <c r="V31">
        <v>22</v>
      </c>
      <c r="W31" t="s">
        <v>403</v>
      </c>
      <c r="X31">
        <v>45</v>
      </c>
      <c r="Y31">
        <f>16.35117682*1.059464^X31</f>
        <v>220.00279814001337</v>
      </c>
      <c r="Z31">
        <f t="shared" si="20"/>
        <v>10</v>
      </c>
      <c r="AA31">
        <v>22</v>
      </c>
      <c r="AF31">
        <v>22</v>
      </c>
      <c r="AK31">
        <v>23</v>
      </c>
      <c r="AL31" t="s">
        <v>485</v>
      </c>
      <c r="AM31">
        <v>39</v>
      </c>
      <c r="AN31">
        <f>16.35117682*1.059464^AM31</f>
        <v>155.56467257275574</v>
      </c>
      <c r="AO31">
        <f t="shared" si="21"/>
        <v>0</v>
      </c>
      <c r="AP31">
        <v>23</v>
      </c>
      <c r="AQ31" t="s">
        <v>315</v>
      </c>
      <c r="AR31">
        <v>31</v>
      </c>
      <c r="AS31">
        <f>16.35117682*1.059464^AR31</f>
        <v>97.998932630681253</v>
      </c>
      <c r="AT31">
        <f t="shared" ref="AT31:AT42" si="22">ABS(AR31-AR30)</f>
        <v>2</v>
      </c>
    </row>
    <row r="32" spans="1:77" x14ac:dyDescent="0.2">
      <c r="A32">
        <f t="shared" si="2"/>
        <v>14</v>
      </c>
      <c r="B32" t="s">
        <v>364</v>
      </c>
      <c r="C32">
        <v>51</v>
      </c>
      <c r="D32">
        <f>16.35117682*1.059464^C32</f>
        <v>311.13253664194741</v>
      </c>
      <c r="E32">
        <f t="shared" si="3"/>
        <v>14</v>
      </c>
      <c r="F32" t="s">
        <v>446</v>
      </c>
      <c r="G32">
        <v>48</v>
      </c>
      <c r="H32">
        <f>16.35117682*1.059464^G32</f>
        <v>261.62956379894968</v>
      </c>
      <c r="I32">
        <f t="shared" si="4"/>
        <v>14</v>
      </c>
      <c r="J32" t="s">
        <v>469</v>
      </c>
      <c r="K32">
        <v>44</v>
      </c>
      <c r="L32">
        <f>16.35117682*1.059464^K32</f>
        <v>207.65481237683719</v>
      </c>
      <c r="M32">
        <f t="shared" si="5"/>
        <v>14</v>
      </c>
      <c r="N32" t="s">
        <v>80</v>
      </c>
      <c r="O32">
        <v>36</v>
      </c>
      <c r="P32">
        <f>16.35117682*1.059464^O32</f>
        <v>130.81344004395982</v>
      </c>
      <c r="Q32">
        <f t="shared" si="6"/>
        <v>14</v>
      </c>
      <c r="R32" t="s">
        <v>314</v>
      </c>
      <c r="S32">
        <v>32</v>
      </c>
      <c r="T32">
        <f>16.35117682*1.059464^S32</f>
        <v>103.82634116063208</v>
      </c>
      <c r="V32">
        <v>23</v>
      </c>
      <c r="W32" t="s">
        <v>23</v>
      </c>
      <c r="X32">
        <v>55</v>
      </c>
      <c r="Y32">
        <f>16.35117682*1.059464^X32</f>
        <v>392.00377257605692</v>
      </c>
      <c r="Z32">
        <f t="shared" si="20"/>
        <v>10</v>
      </c>
      <c r="AA32">
        <v>23</v>
      </c>
      <c r="AB32" t="s">
        <v>213</v>
      </c>
      <c r="AC32">
        <v>51</v>
      </c>
      <c r="AD32">
        <f>16.35117682*1.059464^AC32</f>
        <v>311.13253664194741</v>
      </c>
      <c r="AE32">
        <f>ABS(AC32-X31)</f>
        <v>6</v>
      </c>
      <c r="AF32">
        <v>23</v>
      </c>
      <c r="AG32" t="s">
        <v>325</v>
      </c>
      <c r="AH32">
        <v>46</v>
      </c>
      <c r="AI32">
        <f>16.35117682*1.059464^AH32</f>
        <v>233.08504452861115</v>
      </c>
      <c r="AJ32">
        <f>ABS(AH32-X31)</f>
        <v>1</v>
      </c>
      <c r="AK32">
        <v>24</v>
      </c>
      <c r="AL32" t="s">
        <v>488</v>
      </c>
      <c r="AM32">
        <v>36</v>
      </c>
      <c r="AN32">
        <f>16.35117682*1.059464^AM32</f>
        <v>130.81344004395982</v>
      </c>
      <c r="AO32">
        <f t="shared" si="21"/>
        <v>3</v>
      </c>
      <c r="AP32">
        <v>24</v>
      </c>
      <c r="AQ32" t="s">
        <v>316</v>
      </c>
      <c r="AR32">
        <v>25</v>
      </c>
      <c r="AS32">
        <f>16.35117682*1.059464^AR32</f>
        <v>69.295354404852617</v>
      </c>
      <c r="AT32">
        <f t="shared" si="22"/>
        <v>6</v>
      </c>
    </row>
    <row r="33" spans="1:46" x14ac:dyDescent="0.2">
      <c r="A33">
        <f t="shared" si="2"/>
        <v>14.5</v>
      </c>
      <c r="E33">
        <f t="shared" si="3"/>
        <v>14.5</v>
      </c>
      <c r="I33">
        <f t="shared" si="4"/>
        <v>14.5</v>
      </c>
      <c r="M33">
        <f t="shared" si="5"/>
        <v>14.5</v>
      </c>
      <c r="Q33">
        <f t="shared" si="6"/>
        <v>14.5</v>
      </c>
      <c r="V33">
        <v>24</v>
      </c>
      <c r="W33" t="s">
        <v>323</v>
      </c>
      <c r="X33">
        <v>48</v>
      </c>
      <c r="Y33">
        <f>16.35117682*1.059464^X33</f>
        <v>261.62956379894968</v>
      </c>
      <c r="Z33">
        <f t="shared" si="20"/>
        <v>7</v>
      </c>
      <c r="AA33">
        <v>24</v>
      </c>
      <c r="AB33" t="s">
        <v>448</v>
      </c>
      <c r="AC33">
        <v>43</v>
      </c>
      <c r="AD33">
        <f>16.35117682*1.059464^AC33</f>
        <v>195.99987576438383</v>
      </c>
      <c r="AE33">
        <f t="shared" ref="AE33:AE44" si="23">ABS(AC33-AC32)</f>
        <v>8</v>
      </c>
      <c r="AF33">
        <v>24</v>
      </c>
      <c r="AG33" t="s">
        <v>484</v>
      </c>
      <c r="AH33">
        <v>39</v>
      </c>
      <c r="AI33">
        <f>16.35117682*1.059464^AH33</f>
        <v>155.56467257275574</v>
      </c>
      <c r="AJ33">
        <f t="shared" ref="AJ33:AJ44" si="24">ABS(AH33-AH32)</f>
        <v>7</v>
      </c>
      <c r="AK33">
        <v>25</v>
      </c>
      <c r="AL33" t="s">
        <v>80</v>
      </c>
      <c r="AM33">
        <v>36</v>
      </c>
      <c r="AN33">
        <f t="shared" ref="AN33:AN39" si="25">16.35117682*1.059464^AM33</f>
        <v>130.81344004395982</v>
      </c>
      <c r="AO33">
        <f t="shared" si="21"/>
        <v>0</v>
      </c>
      <c r="AP33">
        <v>25</v>
      </c>
    </row>
    <row r="34" spans="1:46" x14ac:dyDescent="0.2">
      <c r="A34">
        <f t="shared" si="2"/>
        <v>15</v>
      </c>
      <c r="B34" t="s">
        <v>365</v>
      </c>
      <c r="C34">
        <v>50</v>
      </c>
      <c r="D34">
        <f>16.35117682*1.059464^C34</f>
        <v>293.66975814369101</v>
      </c>
      <c r="E34">
        <f t="shared" si="3"/>
        <v>15</v>
      </c>
      <c r="F34" t="s">
        <v>447</v>
      </c>
      <c r="G34">
        <v>47</v>
      </c>
      <c r="H34">
        <f>16.35117682*1.059464^G34</f>
        <v>246.94521361646048</v>
      </c>
      <c r="I34">
        <f t="shared" si="4"/>
        <v>15</v>
      </c>
      <c r="J34" t="s">
        <v>468</v>
      </c>
      <c r="K34">
        <v>43</v>
      </c>
      <c r="L34">
        <f>16.35117682*1.059464^K34</f>
        <v>195.99987576438383</v>
      </c>
      <c r="M34">
        <f t="shared" si="5"/>
        <v>15</v>
      </c>
      <c r="N34" t="s">
        <v>307</v>
      </c>
      <c r="O34">
        <v>35</v>
      </c>
      <c r="P34">
        <f>16.35117682*1.059464^O34</f>
        <v>123.4713402663609</v>
      </c>
      <c r="Q34">
        <f t="shared" si="6"/>
        <v>15</v>
      </c>
      <c r="R34" t="s">
        <v>315</v>
      </c>
      <c r="S34">
        <v>31</v>
      </c>
      <c r="T34">
        <f>16.35117682*1.059464^S34</f>
        <v>97.998932630681253</v>
      </c>
      <c r="V34">
        <v>25</v>
      </c>
      <c r="W34" t="s">
        <v>323</v>
      </c>
      <c r="X34">
        <v>48</v>
      </c>
      <c r="Y34">
        <f t="shared" ref="Y34:Y40" si="26">16.35117682*1.059464^X34</f>
        <v>261.62956379894968</v>
      </c>
      <c r="Z34">
        <f t="shared" si="20"/>
        <v>0</v>
      </c>
      <c r="AA34">
        <v>25</v>
      </c>
      <c r="AF34">
        <v>25</v>
      </c>
      <c r="AK34">
        <v>25.5</v>
      </c>
      <c r="AL34" t="s">
        <v>85</v>
      </c>
      <c r="AM34">
        <v>34</v>
      </c>
      <c r="AN34">
        <f t="shared" si="25"/>
        <v>116.54132680899107</v>
      </c>
      <c r="AO34">
        <f t="shared" si="21"/>
        <v>2</v>
      </c>
      <c r="AP34">
        <v>25.5</v>
      </c>
    </row>
    <row r="35" spans="1:46" x14ac:dyDescent="0.2">
      <c r="A35">
        <f t="shared" si="2"/>
        <v>15.5</v>
      </c>
      <c r="E35">
        <f t="shared" si="3"/>
        <v>15.5</v>
      </c>
      <c r="I35">
        <f t="shared" si="4"/>
        <v>15.5</v>
      </c>
      <c r="M35">
        <f t="shared" si="5"/>
        <v>15.5</v>
      </c>
      <c r="Q35">
        <f t="shared" si="6"/>
        <v>15.5</v>
      </c>
      <c r="V35">
        <v>25.5</v>
      </c>
      <c r="W35" t="s">
        <v>325</v>
      </c>
      <c r="X35">
        <v>46</v>
      </c>
      <c r="Y35">
        <f t="shared" si="26"/>
        <v>233.08504452861115</v>
      </c>
      <c r="Z35">
        <f t="shared" si="20"/>
        <v>2</v>
      </c>
      <c r="AA35">
        <v>25.5</v>
      </c>
      <c r="AF35">
        <v>25.5</v>
      </c>
      <c r="AK35">
        <v>26</v>
      </c>
      <c r="AL35" t="s">
        <v>80</v>
      </c>
      <c r="AM35">
        <v>36</v>
      </c>
      <c r="AN35">
        <f t="shared" si="25"/>
        <v>130.81344004395982</v>
      </c>
      <c r="AO35">
        <f t="shared" si="21"/>
        <v>2</v>
      </c>
      <c r="AP35">
        <v>26</v>
      </c>
    </row>
    <row r="36" spans="1:46" x14ac:dyDescent="0.2">
      <c r="A36">
        <f t="shared" si="2"/>
        <v>16</v>
      </c>
      <c r="B36" t="s">
        <v>366</v>
      </c>
      <c r="C36">
        <v>48</v>
      </c>
      <c r="D36">
        <f>16.35117682*1.059464^C36</f>
        <v>261.62956379894968</v>
      </c>
      <c r="E36">
        <f t="shared" si="3"/>
        <v>16</v>
      </c>
      <c r="F36" t="s">
        <v>448</v>
      </c>
      <c r="G36">
        <v>43</v>
      </c>
      <c r="H36">
        <f>16.35117682*1.059464^G36</f>
        <v>195.99987576438383</v>
      </c>
      <c r="I36">
        <f t="shared" si="4"/>
        <v>16</v>
      </c>
      <c r="J36" t="s">
        <v>485</v>
      </c>
      <c r="K36">
        <v>39</v>
      </c>
      <c r="L36">
        <f>16.35117682*1.059464^K36</f>
        <v>155.56467257275574</v>
      </c>
      <c r="M36">
        <f t="shared" si="5"/>
        <v>16</v>
      </c>
      <c r="N36" t="s">
        <v>488</v>
      </c>
      <c r="O36">
        <v>36</v>
      </c>
      <c r="P36">
        <f>16.35117682*1.059464^O36</f>
        <v>130.81344004395982</v>
      </c>
      <c r="Q36">
        <f t="shared" si="6"/>
        <v>16</v>
      </c>
      <c r="R36" t="s">
        <v>34</v>
      </c>
      <c r="S36">
        <v>24</v>
      </c>
      <c r="T36">
        <f>16.35117682*1.059464^S36</f>
        <v>65.406049101104529</v>
      </c>
      <c r="V36">
        <v>26</v>
      </c>
      <c r="W36" t="s">
        <v>323</v>
      </c>
      <c r="X36">
        <v>48</v>
      </c>
      <c r="Y36">
        <f t="shared" si="26"/>
        <v>261.62956379894968</v>
      </c>
      <c r="Z36">
        <f t="shared" si="20"/>
        <v>2</v>
      </c>
      <c r="AA36">
        <v>26</v>
      </c>
      <c r="AF36">
        <v>26</v>
      </c>
      <c r="AK36">
        <v>26.5</v>
      </c>
      <c r="AL36" t="s">
        <v>85</v>
      </c>
      <c r="AM36">
        <v>34</v>
      </c>
      <c r="AN36">
        <f t="shared" si="25"/>
        <v>116.54132680899107</v>
      </c>
      <c r="AO36">
        <f t="shared" si="21"/>
        <v>2</v>
      </c>
      <c r="AP36">
        <v>26.5</v>
      </c>
    </row>
    <row r="37" spans="1:46" x14ac:dyDescent="0.2">
      <c r="A37">
        <f t="shared" si="2"/>
        <v>16.5</v>
      </c>
      <c r="E37">
        <f t="shared" si="3"/>
        <v>16.5</v>
      </c>
      <c r="I37">
        <f t="shared" si="4"/>
        <v>16.5</v>
      </c>
      <c r="M37">
        <f t="shared" si="5"/>
        <v>16.5</v>
      </c>
      <c r="Q37">
        <f t="shared" si="6"/>
        <v>16.5</v>
      </c>
      <c r="V37">
        <v>26.5</v>
      </c>
      <c r="W37" t="s">
        <v>325</v>
      </c>
      <c r="X37">
        <v>46</v>
      </c>
      <c r="Y37">
        <f t="shared" si="26"/>
        <v>233.08504452861115</v>
      </c>
      <c r="Z37">
        <f t="shared" si="20"/>
        <v>2</v>
      </c>
      <c r="AA37">
        <v>26.5</v>
      </c>
      <c r="AF37">
        <v>26.5</v>
      </c>
      <c r="AK37">
        <v>27</v>
      </c>
      <c r="AL37" t="s">
        <v>80</v>
      </c>
      <c r="AM37">
        <v>36</v>
      </c>
      <c r="AN37">
        <f t="shared" si="25"/>
        <v>130.81344004395982</v>
      </c>
      <c r="AO37">
        <f t="shared" si="21"/>
        <v>2</v>
      </c>
      <c r="AP37">
        <v>27</v>
      </c>
    </row>
    <row r="38" spans="1:46" x14ac:dyDescent="0.2">
      <c r="A38">
        <f t="shared" si="2"/>
        <v>17</v>
      </c>
      <c r="B38" t="s">
        <v>366</v>
      </c>
      <c r="C38">
        <v>48</v>
      </c>
      <c r="D38">
        <f t="shared" ref="D38:D44" si="27">16.35117682*1.059464^C38</f>
        <v>261.62956379894968</v>
      </c>
      <c r="E38">
        <f t="shared" si="3"/>
        <v>17</v>
      </c>
      <c r="I38">
        <f t="shared" si="4"/>
        <v>17</v>
      </c>
      <c r="M38">
        <f t="shared" si="5"/>
        <v>17</v>
      </c>
      <c r="N38" t="s">
        <v>488</v>
      </c>
      <c r="O38">
        <v>36</v>
      </c>
      <c r="P38">
        <f t="shared" ref="P38:P44" si="28">16.35117682*1.059464^O38</f>
        <v>130.81344004395982</v>
      </c>
      <c r="Q38">
        <f t="shared" si="6"/>
        <v>17</v>
      </c>
      <c r="V38">
        <v>27</v>
      </c>
      <c r="W38" t="s">
        <v>323</v>
      </c>
      <c r="X38">
        <v>48</v>
      </c>
      <c r="Y38">
        <f t="shared" si="26"/>
        <v>261.62956379894968</v>
      </c>
      <c r="Z38">
        <f t="shared" si="20"/>
        <v>2</v>
      </c>
      <c r="AA38">
        <v>27</v>
      </c>
      <c r="AF38">
        <v>27</v>
      </c>
      <c r="AK38">
        <v>27.5</v>
      </c>
      <c r="AL38" t="s">
        <v>82</v>
      </c>
      <c r="AM38">
        <v>38</v>
      </c>
      <c r="AN38">
        <f t="shared" si="25"/>
        <v>146.83337288738056</v>
      </c>
      <c r="AO38">
        <f t="shared" si="21"/>
        <v>2</v>
      </c>
      <c r="AP38">
        <v>27.5</v>
      </c>
    </row>
    <row r="39" spans="1:46" x14ac:dyDescent="0.2">
      <c r="A39">
        <f t="shared" si="2"/>
        <v>17.5</v>
      </c>
      <c r="B39" t="s">
        <v>367</v>
      </c>
      <c r="C39">
        <v>46</v>
      </c>
      <c r="D39">
        <f t="shared" si="27"/>
        <v>233.08504452861115</v>
      </c>
      <c r="E39">
        <f t="shared" si="3"/>
        <v>17.5</v>
      </c>
      <c r="I39">
        <f t="shared" si="4"/>
        <v>17.5</v>
      </c>
      <c r="M39">
        <f t="shared" si="5"/>
        <v>17.5</v>
      </c>
      <c r="N39" t="s">
        <v>81</v>
      </c>
      <c r="O39">
        <v>34</v>
      </c>
      <c r="P39">
        <f t="shared" si="28"/>
        <v>116.54132680899107</v>
      </c>
      <c r="Q39">
        <f t="shared" si="6"/>
        <v>17.5</v>
      </c>
      <c r="V39">
        <v>27.5</v>
      </c>
      <c r="W39" t="s">
        <v>223</v>
      </c>
      <c r="X39">
        <v>50</v>
      </c>
      <c r="Y39">
        <f t="shared" si="26"/>
        <v>293.66975814369101</v>
      </c>
      <c r="Z39">
        <f t="shared" si="20"/>
        <v>2</v>
      </c>
      <c r="AA39">
        <v>27.5</v>
      </c>
      <c r="AF39">
        <v>27.5</v>
      </c>
      <c r="AK39">
        <v>28</v>
      </c>
      <c r="AL39" t="s">
        <v>485</v>
      </c>
      <c r="AM39">
        <v>39</v>
      </c>
      <c r="AN39">
        <f t="shared" si="25"/>
        <v>155.56467257275574</v>
      </c>
      <c r="AO39">
        <f t="shared" si="21"/>
        <v>1</v>
      </c>
      <c r="AP39">
        <v>28</v>
      </c>
    </row>
    <row r="40" spans="1:46" x14ac:dyDescent="0.2">
      <c r="A40">
        <f t="shared" si="2"/>
        <v>18</v>
      </c>
      <c r="B40" t="s">
        <v>366</v>
      </c>
      <c r="C40">
        <v>48</v>
      </c>
      <c r="D40">
        <f t="shared" si="27"/>
        <v>261.62956379894968</v>
      </c>
      <c r="E40">
        <f t="shared" si="3"/>
        <v>18</v>
      </c>
      <c r="I40">
        <f t="shared" si="4"/>
        <v>18</v>
      </c>
      <c r="M40">
        <f t="shared" si="5"/>
        <v>18</v>
      </c>
      <c r="N40" t="s">
        <v>80</v>
      </c>
      <c r="O40">
        <v>36</v>
      </c>
      <c r="P40">
        <f t="shared" si="28"/>
        <v>130.81344004395982</v>
      </c>
      <c r="Q40">
        <f t="shared" si="6"/>
        <v>18</v>
      </c>
      <c r="V40">
        <v>28</v>
      </c>
      <c r="W40" t="s">
        <v>222</v>
      </c>
      <c r="X40">
        <v>51</v>
      </c>
      <c r="Y40">
        <f t="shared" si="26"/>
        <v>311.13253664194741</v>
      </c>
      <c r="Z40">
        <f t="shared" si="20"/>
        <v>1</v>
      </c>
      <c r="AA40">
        <v>28</v>
      </c>
      <c r="AF40">
        <v>28</v>
      </c>
      <c r="AK40">
        <v>29</v>
      </c>
      <c r="AL40" t="s">
        <v>484</v>
      </c>
      <c r="AM40">
        <v>39</v>
      </c>
      <c r="AN40">
        <f>16.35117682*1.059464^AM40</f>
        <v>155.56467257275574</v>
      </c>
      <c r="AO40">
        <f t="shared" si="21"/>
        <v>0</v>
      </c>
      <c r="AP40">
        <v>29</v>
      </c>
      <c r="AQ40" t="s">
        <v>312</v>
      </c>
      <c r="AR40">
        <v>29</v>
      </c>
      <c r="AS40">
        <f>16.35117682*1.059464^AR40</f>
        <v>87.306974197808145</v>
      </c>
      <c r="AT40">
        <f>ABS(AR40-AM39)</f>
        <v>10</v>
      </c>
    </row>
    <row r="41" spans="1:46" x14ac:dyDescent="0.2">
      <c r="A41">
        <f t="shared" si="2"/>
        <v>18.5</v>
      </c>
      <c r="B41" t="s">
        <v>368</v>
      </c>
      <c r="C41">
        <v>46</v>
      </c>
      <c r="D41">
        <f t="shared" si="27"/>
        <v>233.08504452861115</v>
      </c>
      <c r="E41">
        <f t="shared" si="3"/>
        <v>18.5</v>
      </c>
      <c r="I41">
        <f t="shared" si="4"/>
        <v>18.5</v>
      </c>
      <c r="M41">
        <f t="shared" si="5"/>
        <v>18.5</v>
      </c>
      <c r="N41" t="s">
        <v>85</v>
      </c>
      <c r="O41">
        <v>34</v>
      </c>
      <c r="P41">
        <f t="shared" si="28"/>
        <v>116.54132680899107</v>
      </c>
      <c r="Q41">
        <f t="shared" si="6"/>
        <v>18.5</v>
      </c>
      <c r="V41">
        <v>29</v>
      </c>
      <c r="W41" t="s">
        <v>23</v>
      </c>
      <c r="X41">
        <v>55</v>
      </c>
      <c r="Y41">
        <f>16.35117682*1.059464^X41</f>
        <v>392.00377257605692</v>
      </c>
      <c r="Z41">
        <f t="shared" si="20"/>
        <v>4</v>
      </c>
      <c r="AA41">
        <v>29</v>
      </c>
      <c r="AB41" t="s">
        <v>222</v>
      </c>
      <c r="AC41">
        <v>51</v>
      </c>
      <c r="AD41">
        <f>16.35117682*1.059464^AC41</f>
        <v>311.13253664194741</v>
      </c>
      <c r="AE41">
        <f>ABS(AC41-X40)</f>
        <v>0</v>
      </c>
      <c r="AF41">
        <v>29</v>
      </c>
      <c r="AG41" t="s">
        <v>449</v>
      </c>
      <c r="AH41">
        <v>44</v>
      </c>
      <c r="AI41">
        <f>16.35117682*1.059464^AH41</f>
        <v>207.65481237683719</v>
      </c>
      <c r="AJ41">
        <f>ABS(AH41-X40)</f>
        <v>7</v>
      </c>
      <c r="AK41">
        <v>31</v>
      </c>
      <c r="AL41" t="s">
        <v>484</v>
      </c>
      <c r="AM41">
        <v>39</v>
      </c>
      <c r="AN41">
        <f>16.35117682*1.059464^AM41</f>
        <v>155.56467257275574</v>
      </c>
      <c r="AO41">
        <f t="shared" si="21"/>
        <v>0</v>
      </c>
      <c r="AP41">
        <v>31</v>
      </c>
      <c r="AQ41" t="s">
        <v>315</v>
      </c>
      <c r="AR41">
        <v>31</v>
      </c>
      <c r="AS41">
        <f>16.35117682*1.059464^AR41</f>
        <v>97.998932630681253</v>
      </c>
      <c r="AT41">
        <f t="shared" si="22"/>
        <v>2</v>
      </c>
    </row>
    <row r="42" spans="1:46" x14ac:dyDescent="0.2">
      <c r="A42">
        <f t="shared" si="2"/>
        <v>19</v>
      </c>
      <c r="B42" t="s">
        <v>366</v>
      </c>
      <c r="C42">
        <v>48</v>
      </c>
      <c r="D42">
        <f t="shared" si="27"/>
        <v>261.62956379894968</v>
      </c>
      <c r="E42">
        <f t="shared" si="3"/>
        <v>19</v>
      </c>
      <c r="I42">
        <f t="shared" si="4"/>
        <v>19</v>
      </c>
      <c r="M42">
        <f t="shared" si="5"/>
        <v>19</v>
      </c>
      <c r="N42" t="s">
        <v>80</v>
      </c>
      <c r="O42">
        <v>36</v>
      </c>
      <c r="P42">
        <f t="shared" si="28"/>
        <v>130.81344004395982</v>
      </c>
      <c r="Q42">
        <f t="shared" si="6"/>
        <v>19</v>
      </c>
      <c r="V42">
        <v>30</v>
      </c>
      <c r="W42" t="s">
        <v>487</v>
      </c>
      <c r="X42">
        <v>45</v>
      </c>
      <c r="Y42">
        <f>16.35117682*1.059464^X42</f>
        <v>220.00279814001337</v>
      </c>
      <c r="Z42">
        <f t="shared" si="20"/>
        <v>10</v>
      </c>
      <c r="AA42">
        <v>30</v>
      </c>
      <c r="AF42">
        <v>30</v>
      </c>
      <c r="AK42">
        <v>32</v>
      </c>
      <c r="AL42" t="s">
        <v>80</v>
      </c>
      <c r="AM42">
        <v>36</v>
      </c>
      <c r="AN42">
        <f>16.35117682*1.059464^AM42</f>
        <v>130.81344004395982</v>
      </c>
      <c r="AO42">
        <f t="shared" si="21"/>
        <v>3</v>
      </c>
      <c r="AP42">
        <v>32</v>
      </c>
      <c r="AQ42" t="s">
        <v>316</v>
      </c>
      <c r="AR42">
        <v>24</v>
      </c>
      <c r="AS42">
        <f>16.35117682*1.059464^AR42</f>
        <v>65.406049101104529</v>
      </c>
      <c r="AT42">
        <f t="shared" si="22"/>
        <v>7</v>
      </c>
    </row>
    <row r="43" spans="1:46" x14ac:dyDescent="0.2">
      <c r="A43">
        <f t="shared" si="2"/>
        <v>19.5</v>
      </c>
      <c r="B43" t="s">
        <v>365</v>
      </c>
      <c r="C43">
        <v>50</v>
      </c>
      <c r="D43">
        <f t="shared" si="27"/>
        <v>293.66975814369101</v>
      </c>
      <c r="E43">
        <f t="shared" si="3"/>
        <v>19.5</v>
      </c>
      <c r="I43">
        <f t="shared" si="4"/>
        <v>19.5</v>
      </c>
      <c r="M43">
        <f t="shared" si="5"/>
        <v>19.5</v>
      </c>
      <c r="N43" t="s">
        <v>82</v>
      </c>
      <c r="O43">
        <v>38</v>
      </c>
      <c r="P43">
        <f t="shared" si="28"/>
        <v>146.83337288738056</v>
      </c>
      <c r="Q43">
        <f t="shared" si="6"/>
        <v>19.5</v>
      </c>
      <c r="V43">
        <v>31</v>
      </c>
      <c r="W43" t="s">
        <v>23</v>
      </c>
      <c r="X43">
        <v>55</v>
      </c>
      <c r="Y43">
        <f>16.35117682*1.059464^X43</f>
        <v>392.00377257605692</v>
      </c>
      <c r="Z43">
        <f t="shared" si="20"/>
        <v>10</v>
      </c>
      <c r="AA43">
        <v>31</v>
      </c>
      <c r="AB43" t="s">
        <v>222</v>
      </c>
      <c r="AC43">
        <v>51</v>
      </c>
      <c r="AD43">
        <f>16.35117682*1.059464^AC43</f>
        <v>311.13253664194741</v>
      </c>
      <c r="AE43">
        <f>ABS(AC43-X42)</f>
        <v>6</v>
      </c>
      <c r="AF43">
        <v>31</v>
      </c>
      <c r="AG43" t="s">
        <v>325</v>
      </c>
      <c r="AH43">
        <v>46</v>
      </c>
      <c r="AI43">
        <f>16.35117682*1.059464^AH43</f>
        <v>233.08504452861115</v>
      </c>
      <c r="AJ43">
        <f>ABS(AH43-X42)</f>
        <v>1</v>
      </c>
      <c r="AK43">
        <v>33</v>
      </c>
      <c r="AL43" t="s">
        <v>80</v>
      </c>
      <c r="AM43">
        <v>36</v>
      </c>
      <c r="AN43">
        <f t="shared" ref="AN43:AN49" si="29">16.35117682*1.059464^AM43</f>
        <v>130.81344004395982</v>
      </c>
      <c r="AO43">
        <f t="shared" si="21"/>
        <v>0</v>
      </c>
      <c r="AP43">
        <v>33</v>
      </c>
    </row>
    <row r="44" spans="1:46" x14ac:dyDescent="0.2">
      <c r="A44">
        <f t="shared" si="2"/>
        <v>20</v>
      </c>
      <c r="B44" t="s">
        <v>364</v>
      </c>
      <c r="C44">
        <v>51</v>
      </c>
      <c r="D44">
        <f t="shared" si="27"/>
        <v>311.13253664194741</v>
      </c>
      <c r="E44">
        <f t="shared" si="3"/>
        <v>20</v>
      </c>
      <c r="I44">
        <f t="shared" si="4"/>
        <v>20</v>
      </c>
      <c r="M44">
        <f t="shared" si="5"/>
        <v>20</v>
      </c>
      <c r="N44" t="s">
        <v>369</v>
      </c>
      <c r="O44">
        <v>39</v>
      </c>
      <c r="P44">
        <f t="shared" si="28"/>
        <v>155.56467257275574</v>
      </c>
      <c r="Q44">
        <f t="shared" si="6"/>
        <v>20</v>
      </c>
      <c r="V44">
        <v>32</v>
      </c>
      <c r="W44" t="s">
        <v>323</v>
      </c>
      <c r="X44">
        <v>48</v>
      </c>
      <c r="Y44">
        <f>16.35117682*1.059464^X44</f>
        <v>261.62956379894968</v>
      </c>
      <c r="Z44">
        <f t="shared" si="20"/>
        <v>7</v>
      </c>
      <c r="AA44">
        <v>32</v>
      </c>
      <c r="AB44" t="s">
        <v>448</v>
      </c>
      <c r="AC44">
        <v>43</v>
      </c>
      <c r="AD44">
        <f>16.35117682*1.059464^AC44</f>
        <v>195.99987576438383</v>
      </c>
      <c r="AE44">
        <f t="shared" si="23"/>
        <v>8</v>
      </c>
      <c r="AF44">
        <v>32</v>
      </c>
      <c r="AG44" t="s">
        <v>485</v>
      </c>
      <c r="AH44">
        <v>39</v>
      </c>
      <c r="AI44">
        <f>16.35117682*1.059464^AH44</f>
        <v>155.56467257275574</v>
      </c>
      <c r="AJ44">
        <f t="shared" si="24"/>
        <v>7</v>
      </c>
      <c r="AK44">
        <v>33.5</v>
      </c>
      <c r="AL44" t="s">
        <v>325</v>
      </c>
      <c r="AM44">
        <v>34</v>
      </c>
      <c r="AN44">
        <f t="shared" si="29"/>
        <v>116.54132680899107</v>
      </c>
      <c r="AO44">
        <f t="shared" si="21"/>
        <v>2</v>
      </c>
      <c r="AP44">
        <v>33.5</v>
      </c>
    </row>
    <row r="45" spans="1:46" x14ac:dyDescent="0.2">
      <c r="A45">
        <f t="shared" si="2"/>
        <v>20.5</v>
      </c>
      <c r="E45">
        <f t="shared" si="3"/>
        <v>20.5</v>
      </c>
      <c r="I45">
        <f t="shared" si="4"/>
        <v>20.5</v>
      </c>
      <c r="M45">
        <f t="shared" si="5"/>
        <v>20.5</v>
      </c>
      <c r="Q45">
        <f t="shared" si="6"/>
        <v>20.5</v>
      </c>
      <c r="V45">
        <v>33</v>
      </c>
      <c r="W45" t="s">
        <v>323</v>
      </c>
      <c r="X45">
        <v>48</v>
      </c>
      <c r="Y45">
        <f t="shared" ref="Y45:Y51" si="30">16.35117682*1.059464^X45</f>
        <v>261.62956379894968</v>
      </c>
      <c r="Z45">
        <f t="shared" si="20"/>
        <v>0</v>
      </c>
      <c r="AA45">
        <v>33</v>
      </c>
      <c r="AF45">
        <v>33</v>
      </c>
      <c r="AK45">
        <v>34</v>
      </c>
      <c r="AL45" t="s">
        <v>80</v>
      </c>
      <c r="AM45">
        <v>36</v>
      </c>
      <c r="AN45">
        <f t="shared" si="29"/>
        <v>130.81344004395982</v>
      </c>
      <c r="AO45">
        <f t="shared" si="21"/>
        <v>2</v>
      </c>
      <c r="AP45">
        <v>34</v>
      </c>
    </row>
    <row r="46" spans="1:46" x14ac:dyDescent="0.2">
      <c r="A46">
        <f t="shared" si="2"/>
        <v>21</v>
      </c>
      <c r="B46" t="s">
        <v>362</v>
      </c>
      <c r="C46">
        <v>55</v>
      </c>
      <c r="D46">
        <f>16.35117682*1.059464^C46</f>
        <v>392.00377257605692</v>
      </c>
      <c r="E46">
        <f t="shared" si="3"/>
        <v>21</v>
      </c>
      <c r="F46" t="s">
        <v>213</v>
      </c>
      <c r="G46">
        <v>51</v>
      </c>
      <c r="H46">
        <f>16.35117682*1.059464^G46</f>
        <v>311.13253664194741</v>
      </c>
      <c r="I46">
        <f t="shared" si="4"/>
        <v>21</v>
      </c>
      <c r="J46" t="s">
        <v>483</v>
      </c>
      <c r="K46">
        <v>44</v>
      </c>
      <c r="L46">
        <f>16.35117682*1.059464^K46</f>
        <v>207.65481237683719</v>
      </c>
      <c r="M46">
        <f t="shared" si="5"/>
        <v>21</v>
      </c>
      <c r="N46" t="s">
        <v>369</v>
      </c>
      <c r="O46">
        <v>39</v>
      </c>
      <c r="P46">
        <f>16.35117682*1.059464^O46</f>
        <v>155.56467257275574</v>
      </c>
      <c r="Q46">
        <f t="shared" si="6"/>
        <v>21</v>
      </c>
      <c r="R46" t="s">
        <v>312</v>
      </c>
      <c r="S46">
        <v>29</v>
      </c>
      <c r="T46">
        <f>16.35117682*1.059464^S46</f>
        <v>87.306974197808145</v>
      </c>
      <c r="V46">
        <v>33.5</v>
      </c>
      <c r="W46" t="s">
        <v>325</v>
      </c>
      <c r="X46">
        <v>46</v>
      </c>
      <c r="Y46">
        <f t="shared" si="30"/>
        <v>233.08504452861115</v>
      </c>
      <c r="Z46">
        <f>ABS(X46-X45)</f>
        <v>2</v>
      </c>
      <c r="AA46">
        <v>33.5</v>
      </c>
      <c r="AF46">
        <v>33.5</v>
      </c>
      <c r="AK46">
        <v>34.5</v>
      </c>
      <c r="AL46" t="s">
        <v>325</v>
      </c>
      <c r="AM46">
        <v>34</v>
      </c>
      <c r="AN46">
        <f t="shared" si="29"/>
        <v>116.54132680899107</v>
      </c>
      <c r="AO46">
        <f>ABS(AM46-AM45)</f>
        <v>2</v>
      </c>
      <c r="AP46">
        <v>34.5</v>
      </c>
    </row>
    <row r="47" spans="1:46" x14ac:dyDescent="0.2">
      <c r="A47">
        <f t="shared" si="2"/>
        <v>21.5</v>
      </c>
      <c r="E47">
        <f t="shared" si="3"/>
        <v>21.5</v>
      </c>
      <c r="I47">
        <f t="shared" si="4"/>
        <v>21.5</v>
      </c>
      <c r="M47">
        <f t="shared" si="5"/>
        <v>21.5</v>
      </c>
      <c r="Q47">
        <f t="shared" si="6"/>
        <v>21.5</v>
      </c>
      <c r="V47">
        <v>34</v>
      </c>
      <c r="W47" t="s">
        <v>323</v>
      </c>
      <c r="X47">
        <v>48</v>
      </c>
      <c r="Y47">
        <f t="shared" si="30"/>
        <v>261.62956379894968</v>
      </c>
      <c r="Z47">
        <f>ABS(X47-X46)</f>
        <v>2</v>
      </c>
      <c r="AA47">
        <v>34</v>
      </c>
      <c r="AF47">
        <v>34</v>
      </c>
      <c r="AK47">
        <v>35</v>
      </c>
      <c r="AL47" t="s">
        <v>80</v>
      </c>
      <c r="AM47">
        <v>36</v>
      </c>
      <c r="AN47">
        <f t="shared" si="29"/>
        <v>130.81344004395982</v>
      </c>
      <c r="AO47">
        <f>ABS(AM47-AM46)</f>
        <v>2</v>
      </c>
      <c r="AP47">
        <v>35</v>
      </c>
    </row>
    <row r="48" spans="1:46" x14ac:dyDescent="0.2">
      <c r="A48">
        <f t="shared" si="2"/>
        <v>22</v>
      </c>
      <c r="E48">
        <f t="shared" si="3"/>
        <v>22</v>
      </c>
      <c r="I48">
        <f t="shared" si="4"/>
        <v>22</v>
      </c>
      <c r="J48" t="s">
        <v>486</v>
      </c>
      <c r="K48">
        <v>45</v>
      </c>
      <c r="M48">
        <f t="shared" si="5"/>
        <v>22</v>
      </c>
      <c r="Q48">
        <f t="shared" si="6"/>
        <v>22</v>
      </c>
      <c r="V48">
        <v>34.5</v>
      </c>
      <c r="W48" t="s">
        <v>325</v>
      </c>
      <c r="X48">
        <v>46</v>
      </c>
      <c r="Y48">
        <f t="shared" si="30"/>
        <v>233.08504452861115</v>
      </c>
      <c r="Z48">
        <f t="shared" ref="Z48:Z66" si="31">ABS(X48-X47)</f>
        <v>2</v>
      </c>
      <c r="AA48">
        <v>34.5</v>
      </c>
      <c r="AF48">
        <v>34.5</v>
      </c>
      <c r="AK48">
        <v>35.5</v>
      </c>
      <c r="AL48" t="s">
        <v>485</v>
      </c>
      <c r="AM48">
        <v>38</v>
      </c>
      <c r="AN48">
        <f t="shared" si="29"/>
        <v>146.83337288738056</v>
      </c>
      <c r="AO48">
        <f t="shared" ref="AO48:AO66" si="32">ABS(AM48-AM47)</f>
        <v>2</v>
      </c>
      <c r="AP48">
        <v>35.5</v>
      </c>
    </row>
    <row r="49" spans="1:46" x14ac:dyDescent="0.2">
      <c r="A49">
        <f t="shared" si="2"/>
        <v>22.5</v>
      </c>
      <c r="E49">
        <f t="shared" si="3"/>
        <v>22.5</v>
      </c>
      <c r="I49">
        <f t="shared" si="4"/>
        <v>22.5</v>
      </c>
      <c r="M49">
        <f t="shared" si="5"/>
        <v>22.5</v>
      </c>
      <c r="Q49">
        <f t="shared" si="6"/>
        <v>22.5</v>
      </c>
      <c r="V49">
        <v>35</v>
      </c>
      <c r="W49" t="s">
        <v>323</v>
      </c>
      <c r="X49">
        <v>48</v>
      </c>
      <c r="Y49">
        <f t="shared" si="30"/>
        <v>261.62956379894968</v>
      </c>
      <c r="Z49">
        <f t="shared" si="31"/>
        <v>2</v>
      </c>
      <c r="AA49">
        <v>35</v>
      </c>
      <c r="AF49">
        <v>35</v>
      </c>
      <c r="AK49">
        <v>36</v>
      </c>
      <c r="AL49" t="s">
        <v>448</v>
      </c>
      <c r="AM49">
        <v>43</v>
      </c>
      <c r="AN49">
        <f t="shared" si="29"/>
        <v>195.99987576438383</v>
      </c>
      <c r="AO49">
        <f t="shared" si="32"/>
        <v>5</v>
      </c>
      <c r="AP49">
        <v>36</v>
      </c>
    </row>
    <row r="50" spans="1:46" x14ac:dyDescent="0.2">
      <c r="A50">
        <f t="shared" si="2"/>
        <v>23</v>
      </c>
      <c r="B50" t="s">
        <v>362</v>
      </c>
      <c r="C50">
        <v>55</v>
      </c>
      <c r="D50">
        <f>16.35117682*1.059464^C50</f>
        <v>392.00377257605692</v>
      </c>
      <c r="E50">
        <f t="shared" si="3"/>
        <v>23</v>
      </c>
      <c r="F50" t="s">
        <v>213</v>
      </c>
      <c r="G50">
        <v>51</v>
      </c>
      <c r="H50">
        <f>16.35117682*1.059464^G50</f>
        <v>311.13253664194741</v>
      </c>
      <c r="I50">
        <f t="shared" si="4"/>
        <v>23</v>
      </c>
      <c r="J50" t="s">
        <v>367</v>
      </c>
      <c r="K50">
        <v>46</v>
      </c>
      <c r="L50">
        <f>16.35117682*1.059464^K50</f>
        <v>233.08504452861115</v>
      </c>
      <c r="M50">
        <f t="shared" si="5"/>
        <v>23</v>
      </c>
      <c r="N50" t="s">
        <v>369</v>
      </c>
      <c r="O50">
        <v>39</v>
      </c>
      <c r="P50">
        <f>16.35117682*1.059464^O50</f>
        <v>155.56467257275574</v>
      </c>
      <c r="Q50">
        <f t="shared" si="6"/>
        <v>23</v>
      </c>
      <c r="R50" t="s">
        <v>315</v>
      </c>
      <c r="S50">
        <v>31</v>
      </c>
      <c r="T50">
        <f>16.35117682*1.059464^S50</f>
        <v>97.998932630681253</v>
      </c>
      <c r="V50">
        <v>35.5</v>
      </c>
      <c r="W50" t="s">
        <v>222</v>
      </c>
      <c r="X50">
        <v>51</v>
      </c>
      <c r="Y50">
        <f t="shared" si="30"/>
        <v>311.13253664194741</v>
      </c>
      <c r="Z50">
        <f t="shared" si="31"/>
        <v>3</v>
      </c>
      <c r="AA50">
        <v>35.5</v>
      </c>
      <c r="AF50">
        <v>35.5</v>
      </c>
      <c r="AK50">
        <v>39</v>
      </c>
      <c r="AL50" t="s">
        <v>209</v>
      </c>
      <c r="AM50">
        <v>53</v>
      </c>
      <c r="AN50">
        <f>16.35117682*1.059464^AM50</f>
        <v>349.23506143398839</v>
      </c>
      <c r="AO50">
        <f t="shared" si="32"/>
        <v>10</v>
      </c>
      <c r="AP50">
        <v>39</v>
      </c>
      <c r="AQ50" t="s">
        <v>318</v>
      </c>
      <c r="AR50">
        <v>41</v>
      </c>
      <c r="AS50">
        <f>16.35117682*1.059464^AR50</f>
        <v>174.61573954711864</v>
      </c>
      <c r="AT50">
        <f>ABS(AR50-AM49)</f>
        <v>2</v>
      </c>
    </row>
    <row r="51" spans="1:46" x14ac:dyDescent="0.2">
      <c r="A51">
        <f t="shared" si="2"/>
        <v>23.5</v>
      </c>
      <c r="E51">
        <f t="shared" si="3"/>
        <v>23.5</v>
      </c>
      <c r="I51">
        <f t="shared" si="4"/>
        <v>23.5</v>
      </c>
      <c r="M51">
        <f t="shared" si="5"/>
        <v>23.5</v>
      </c>
      <c r="Q51">
        <f t="shared" si="6"/>
        <v>23.5</v>
      </c>
      <c r="V51">
        <v>36</v>
      </c>
      <c r="W51" t="s">
        <v>23</v>
      </c>
      <c r="X51">
        <v>55</v>
      </c>
      <c r="Y51">
        <f t="shared" si="30"/>
        <v>392.00377257605692</v>
      </c>
      <c r="Z51">
        <f t="shared" si="31"/>
        <v>4</v>
      </c>
      <c r="AA51">
        <v>36</v>
      </c>
      <c r="AF51">
        <v>36</v>
      </c>
      <c r="AK51">
        <v>40</v>
      </c>
      <c r="AL51" t="s">
        <v>323</v>
      </c>
      <c r="AM51">
        <v>48</v>
      </c>
      <c r="AN51">
        <f>16.35117682*1.059464^AM51</f>
        <v>261.62956379894968</v>
      </c>
      <c r="AO51">
        <f t="shared" si="32"/>
        <v>5</v>
      </c>
      <c r="AP51">
        <v>40</v>
      </c>
      <c r="AQ51" t="s">
        <v>488</v>
      </c>
      <c r="AR51">
        <v>36</v>
      </c>
      <c r="AS51">
        <f>16.35117682*1.059464^AR51</f>
        <v>130.81344004395982</v>
      </c>
      <c r="AT51">
        <f t="shared" ref="AT51:AT66" si="33">ABS(AR51-AR50)</f>
        <v>5</v>
      </c>
    </row>
    <row r="52" spans="1:46" x14ac:dyDescent="0.2">
      <c r="A52">
        <f t="shared" si="2"/>
        <v>24</v>
      </c>
      <c r="B52" t="s">
        <v>366</v>
      </c>
      <c r="C52">
        <v>48</v>
      </c>
      <c r="D52">
        <f>16.35117682*1.059464^C52</f>
        <v>261.62956379894968</v>
      </c>
      <c r="E52">
        <f t="shared" si="3"/>
        <v>24</v>
      </c>
      <c r="F52" t="s">
        <v>448</v>
      </c>
      <c r="G52">
        <v>43</v>
      </c>
      <c r="H52">
        <f>16.35117682*1.059464^G52</f>
        <v>195.99987576438383</v>
      </c>
      <c r="I52">
        <f t="shared" si="4"/>
        <v>24</v>
      </c>
      <c r="J52" t="s">
        <v>484</v>
      </c>
      <c r="K52">
        <v>39</v>
      </c>
      <c r="L52">
        <f>16.35117682*1.059464^K52</f>
        <v>155.56467257275574</v>
      </c>
      <c r="M52">
        <f t="shared" si="5"/>
        <v>24</v>
      </c>
      <c r="N52" t="s">
        <v>488</v>
      </c>
      <c r="O52">
        <v>36</v>
      </c>
      <c r="P52">
        <f>16.35117682*1.059464^O52</f>
        <v>130.81344004395982</v>
      </c>
      <c r="Q52">
        <f t="shared" si="6"/>
        <v>24</v>
      </c>
      <c r="R52" t="s">
        <v>316</v>
      </c>
      <c r="S52">
        <v>25</v>
      </c>
      <c r="T52">
        <f>16.35117682*1.059464^S52</f>
        <v>69.295354404852617</v>
      </c>
      <c r="V52">
        <v>39</v>
      </c>
      <c r="W52" t="s">
        <v>371</v>
      </c>
      <c r="X52">
        <v>67</v>
      </c>
      <c r="Y52">
        <f>16.35117682*1.059464^X52</f>
        <v>784.01558732918636</v>
      </c>
      <c r="Z52">
        <f t="shared" si="31"/>
        <v>12</v>
      </c>
      <c r="AA52">
        <v>39</v>
      </c>
      <c r="AB52" t="s">
        <v>23</v>
      </c>
      <c r="AC52">
        <v>55</v>
      </c>
      <c r="AD52">
        <f>16.35117682*1.059464^AC52</f>
        <v>392.00377257605692</v>
      </c>
      <c r="AE52">
        <f>ABS(AC52-X51)</f>
        <v>0</v>
      </c>
      <c r="AF52">
        <v>39</v>
      </c>
      <c r="AK52">
        <v>41.5</v>
      </c>
      <c r="AL52" t="s">
        <v>209</v>
      </c>
      <c r="AM52">
        <v>53</v>
      </c>
      <c r="AN52">
        <f>16.35117682*1.059464^AM52</f>
        <v>349.23506143398839</v>
      </c>
      <c r="AO52">
        <f t="shared" si="32"/>
        <v>5</v>
      </c>
      <c r="AP52">
        <v>41.5</v>
      </c>
      <c r="AQ52" t="s">
        <v>318</v>
      </c>
      <c r="AR52">
        <v>41</v>
      </c>
      <c r="AS52">
        <f>16.35117682*1.059464^AR52</f>
        <v>174.61573954711864</v>
      </c>
      <c r="AT52">
        <f t="shared" si="33"/>
        <v>5</v>
      </c>
    </row>
    <row r="53" spans="1:46" x14ac:dyDescent="0.2">
      <c r="A53">
        <f t="shared" si="2"/>
        <v>24.5</v>
      </c>
      <c r="E53">
        <f t="shared" si="3"/>
        <v>24.5</v>
      </c>
      <c r="I53">
        <f t="shared" si="4"/>
        <v>24.5</v>
      </c>
      <c r="M53">
        <f t="shared" si="5"/>
        <v>24.5</v>
      </c>
      <c r="Q53">
        <f t="shared" si="6"/>
        <v>24.5</v>
      </c>
      <c r="V53">
        <v>40</v>
      </c>
      <c r="W53" t="s">
        <v>372</v>
      </c>
      <c r="X53">
        <v>62</v>
      </c>
      <c r="Y53">
        <f>16.35117682*1.059464^X53</f>
        <v>587.34554108704231</v>
      </c>
      <c r="Z53">
        <f t="shared" si="31"/>
        <v>5</v>
      </c>
      <c r="AA53">
        <v>40</v>
      </c>
      <c r="AB53" t="s">
        <v>267</v>
      </c>
      <c r="AC53">
        <v>50</v>
      </c>
      <c r="AD53">
        <f>16.35117682*1.059464^AC53</f>
        <v>293.66975814369101</v>
      </c>
      <c r="AE53">
        <f t="shared" ref="AE53:AE66" si="34">ABS(AC53-AC52)</f>
        <v>5</v>
      </c>
      <c r="AF53">
        <v>40</v>
      </c>
      <c r="AK53">
        <v>42</v>
      </c>
      <c r="AL53" t="s">
        <v>323</v>
      </c>
      <c r="AM53">
        <v>48</v>
      </c>
      <c r="AN53">
        <f>16.35117682*1.059464^AM53</f>
        <v>261.62956379894968</v>
      </c>
      <c r="AO53">
        <f t="shared" si="32"/>
        <v>5</v>
      </c>
      <c r="AP53">
        <v>42</v>
      </c>
      <c r="AQ53" t="s">
        <v>80</v>
      </c>
      <c r="AR53">
        <v>36</v>
      </c>
      <c r="AS53">
        <f>16.35117682*1.059464^AR53</f>
        <v>130.81344004395982</v>
      </c>
      <c r="AT53">
        <f t="shared" si="33"/>
        <v>5</v>
      </c>
    </row>
    <row r="54" spans="1:46" x14ac:dyDescent="0.2">
      <c r="A54">
        <f t="shared" si="2"/>
        <v>25</v>
      </c>
      <c r="B54" t="s">
        <v>366</v>
      </c>
      <c r="C54">
        <v>48</v>
      </c>
      <c r="D54">
        <f t="shared" ref="D54:D60" si="35">16.35117682*1.059464^C54</f>
        <v>261.62956379894968</v>
      </c>
      <c r="E54">
        <f t="shared" si="3"/>
        <v>25</v>
      </c>
      <c r="I54">
        <f t="shared" si="4"/>
        <v>25</v>
      </c>
      <c r="M54">
        <f t="shared" si="5"/>
        <v>25</v>
      </c>
      <c r="N54" t="s">
        <v>80</v>
      </c>
      <c r="O54">
        <v>36</v>
      </c>
      <c r="P54">
        <f t="shared" ref="P54:P60" si="36">16.35117682*1.059464^O54</f>
        <v>130.81344004395982</v>
      </c>
      <c r="Q54">
        <f t="shared" si="6"/>
        <v>25</v>
      </c>
      <c r="V54">
        <v>41.5</v>
      </c>
      <c r="W54" t="s">
        <v>371</v>
      </c>
      <c r="X54">
        <v>67</v>
      </c>
      <c r="Y54">
        <f>16.35117682*1.059464^X54</f>
        <v>784.01558732918636</v>
      </c>
      <c r="Z54">
        <f t="shared" si="31"/>
        <v>5</v>
      </c>
      <c r="AA54">
        <v>41.5</v>
      </c>
      <c r="AB54" t="s">
        <v>23</v>
      </c>
      <c r="AC54">
        <v>55</v>
      </c>
      <c r="AD54">
        <f>16.35117682*1.059464^AC54</f>
        <v>392.00377257605692</v>
      </c>
      <c r="AE54">
        <f t="shared" si="34"/>
        <v>5</v>
      </c>
      <c r="AF54">
        <v>41.5</v>
      </c>
      <c r="AK54">
        <v>43.5</v>
      </c>
      <c r="AL54" t="s">
        <v>308</v>
      </c>
      <c r="AM54">
        <v>53</v>
      </c>
      <c r="AN54">
        <f t="shared" ref="AN54:AN59" si="37">16.35117682*1.059464^AM54</f>
        <v>349.23506143398839</v>
      </c>
      <c r="AO54">
        <f t="shared" si="32"/>
        <v>5</v>
      </c>
      <c r="AP54">
        <v>43.5</v>
      </c>
      <c r="AQ54" t="s">
        <v>318</v>
      </c>
      <c r="AR54">
        <v>41</v>
      </c>
      <c r="AS54">
        <f t="shared" ref="AS54:AS59" si="38">16.35117682*1.059464^AR54</f>
        <v>174.61573954711864</v>
      </c>
      <c r="AT54">
        <f t="shared" si="33"/>
        <v>5</v>
      </c>
    </row>
    <row r="55" spans="1:46" x14ac:dyDescent="0.2">
      <c r="A55">
        <f t="shared" si="2"/>
        <v>25.5</v>
      </c>
      <c r="B55" t="s">
        <v>367</v>
      </c>
      <c r="C55">
        <v>46</v>
      </c>
      <c r="D55">
        <f t="shared" si="35"/>
        <v>233.08504452861115</v>
      </c>
      <c r="E55">
        <f t="shared" si="3"/>
        <v>25.5</v>
      </c>
      <c r="I55">
        <f t="shared" si="4"/>
        <v>25.5</v>
      </c>
      <c r="M55">
        <f t="shared" si="5"/>
        <v>25.5</v>
      </c>
      <c r="N55" t="s">
        <v>85</v>
      </c>
      <c r="O55">
        <v>34</v>
      </c>
      <c r="P55">
        <f t="shared" si="36"/>
        <v>116.54132680899107</v>
      </c>
      <c r="Q55">
        <f t="shared" si="6"/>
        <v>25.5</v>
      </c>
      <c r="V55">
        <v>42</v>
      </c>
      <c r="W55" t="s">
        <v>259</v>
      </c>
      <c r="X55">
        <v>62</v>
      </c>
      <c r="Y55">
        <f>16.35117682*1.059464^X55</f>
        <v>587.34554108704231</v>
      </c>
      <c r="Z55">
        <f t="shared" si="31"/>
        <v>5</v>
      </c>
      <c r="AA55">
        <v>42</v>
      </c>
      <c r="AB55" t="s">
        <v>223</v>
      </c>
      <c r="AC55">
        <v>50</v>
      </c>
      <c r="AD55">
        <f>16.35117682*1.059464^AC55</f>
        <v>293.66975814369101</v>
      </c>
      <c r="AE55">
        <f t="shared" si="34"/>
        <v>5</v>
      </c>
      <c r="AF55">
        <v>42</v>
      </c>
      <c r="AK55">
        <v>44</v>
      </c>
      <c r="AL55" t="s">
        <v>323</v>
      </c>
      <c r="AM55">
        <v>48</v>
      </c>
      <c r="AN55">
        <f t="shared" si="37"/>
        <v>261.62956379894968</v>
      </c>
      <c r="AO55">
        <f t="shared" si="32"/>
        <v>5</v>
      </c>
      <c r="AP55">
        <v>44</v>
      </c>
      <c r="AQ55" t="s">
        <v>80</v>
      </c>
      <c r="AR55">
        <v>36</v>
      </c>
      <c r="AS55">
        <f t="shared" si="38"/>
        <v>130.81344004395982</v>
      </c>
      <c r="AT55">
        <f t="shared" si="33"/>
        <v>5</v>
      </c>
    </row>
    <row r="56" spans="1:46" x14ac:dyDescent="0.2">
      <c r="A56">
        <f t="shared" si="2"/>
        <v>26</v>
      </c>
      <c r="B56" t="s">
        <v>366</v>
      </c>
      <c r="C56">
        <v>48</v>
      </c>
      <c r="D56">
        <f t="shared" si="35"/>
        <v>261.62956379894968</v>
      </c>
      <c r="E56">
        <f t="shared" si="3"/>
        <v>26</v>
      </c>
      <c r="I56">
        <f t="shared" si="4"/>
        <v>26</v>
      </c>
      <c r="M56">
        <f t="shared" si="5"/>
        <v>26</v>
      </c>
      <c r="N56" t="s">
        <v>80</v>
      </c>
      <c r="O56">
        <v>36</v>
      </c>
      <c r="P56">
        <f t="shared" si="36"/>
        <v>130.81344004395982</v>
      </c>
      <c r="Q56">
        <f t="shared" si="6"/>
        <v>26</v>
      </c>
      <c r="V56">
        <v>43.5</v>
      </c>
      <c r="W56" t="s">
        <v>371</v>
      </c>
      <c r="X56">
        <v>67</v>
      </c>
      <c r="Y56">
        <f t="shared" ref="Y56:Y61" si="39">16.35117682*1.059464^X56</f>
        <v>784.01558732918636</v>
      </c>
      <c r="Z56">
        <f t="shared" si="31"/>
        <v>5</v>
      </c>
      <c r="AA56">
        <v>43.5</v>
      </c>
      <c r="AB56" t="s">
        <v>23</v>
      </c>
      <c r="AC56">
        <v>55</v>
      </c>
      <c r="AD56">
        <f t="shared" ref="AD56:AD61" si="40">16.35117682*1.059464^AC56</f>
        <v>392.00377257605692</v>
      </c>
      <c r="AE56">
        <f t="shared" si="34"/>
        <v>5</v>
      </c>
      <c r="AF56">
        <v>43.5</v>
      </c>
      <c r="AK56">
        <v>44.5</v>
      </c>
      <c r="AL56" t="s">
        <v>308</v>
      </c>
      <c r="AM56">
        <v>53</v>
      </c>
      <c r="AN56">
        <f t="shared" si="37"/>
        <v>349.23506143398839</v>
      </c>
      <c r="AO56">
        <f t="shared" si="32"/>
        <v>5</v>
      </c>
      <c r="AP56">
        <v>44.5</v>
      </c>
      <c r="AQ56" t="s">
        <v>318</v>
      </c>
      <c r="AR56">
        <v>41</v>
      </c>
      <c r="AS56">
        <f t="shared" si="38"/>
        <v>174.61573954711864</v>
      </c>
      <c r="AT56">
        <f t="shared" si="33"/>
        <v>5</v>
      </c>
    </row>
    <row r="57" spans="1:46" x14ac:dyDescent="0.2">
      <c r="A57">
        <f t="shared" si="2"/>
        <v>26.5</v>
      </c>
      <c r="B57" t="s">
        <v>367</v>
      </c>
      <c r="C57">
        <v>46</v>
      </c>
      <c r="D57">
        <f t="shared" si="35"/>
        <v>233.08504452861115</v>
      </c>
      <c r="E57">
        <f t="shared" si="3"/>
        <v>26.5</v>
      </c>
      <c r="I57">
        <f t="shared" si="4"/>
        <v>26.5</v>
      </c>
      <c r="M57">
        <f t="shared" si="5"/>
        <v>26.5</v>
      </c>
      <c r="N57" t="s">
        <v>85</v>
      </c>
      <c r="O57">
        <v>34</v>
      </c>
      <c r="P57">
        <f t="shared" si="36"/>
        <v>116.54132680899107</v>
      </c>
      <c r="Q57">
        <f t="shared" si="6"/>
        <v>26.5</v>
      </c>
      <c r="V57">
        <v>44</v>
      </c>
      <c r="W57" t="s">
        <v>372</v>
      </c>
      <c r="X57">
        <v>62</v>
      </c>
      <c r="Y57">
        <f t="shared" si="39"/>
        <v>587.34554108704231</v>
      </c>
      <c r="Z57">
        <f t="shared" si="31"/>
        <v>5</v>
      </c>
      <c r="AA57">
        <v>44</v>
      </c>
      <c r="AB57" t="s">
        <v>223</v>
      </c>
      <c r="AC57">
        <v>50</v>
      </c>
      <c r="AD57">
        <f t="shared" si="40"/>
        <v>293.66975814369101</v>
      </c>
      <c r="AE57">
        <f t="shared" si="34"/>
        <v>5</v>
      </c>
      <c r="AF57">
        <v>44</v>
      </c>
      <c r="AK57">
        <v>45</v>
      </c>
      <c r="AL57" t="s">
        <v>323</v>
      </c>
      <c r="AM57">
        <v>48</v>
      </c>
      <c r="AN57">
        <f t="shared" si="37"/>
        <v>261.62956379894968</v>
      </c>
      <c r="AO57">
        <f t="shared" si="32"/>
        <v>5</v>
      </c>
      <c r="AP57">
        <v>45</v>
      </c>
      <c r="AQ57" t="s">
        <v>80</v>
      </c>
      <c r="AR57">
        <v>36</v>
      </c>
      <c r="AS57">
        <f t="shared" si="38"/>
        <v>130.81344004395982</v>
      </c>
      <c r="AT57">
        <f t="shared" si="33"/>
        <v>5</v>
      </c>
    </row>
    <row r="58" spans="1:46" x14ac:dyDescent="0.2">
      <c r="A58">
        <f t="shared" si="2"/>
        <v>27</v>
      </c>
      <c r="B58" t="s">
        <v>366</v>
      </c>
      <c r="C58">
        <v>48</v>
      </c>
      <c r="D58">
        <f t="shared" si="35"/>
        <v>261.62956379894968</v>
      </c>
      <c r="E58">
        <f t="shared" si="3"/>
        <v>27</v>
      </c>
      <c r="I58">
        <f t="shared" si="4"/>
        <v>27</v>
      </c>
      <c r="M58">
        <f t="shared" si="5"/>
        <v>27</v>
      </c>
      <c r="N58" t="s">
        <v>80</v>
      </c>
      <c r="O58">
        <v>36</v>
      </c>
      <c r="P58">
        <f t="shared" si="36"/>
        <v>130.81344004395982</v>
      </c>
      <c r="Q58">
        <f t="shared" si="6"/>
        <v>27</v>
      </c>
      <c r="V58">
        <v>44.5</v>
      </c>
      <c r="W58" t="s">
        <v>371</v>
      </c>
      <c r="X58">
        <v>67</v>
      </c>
      <c r="Y58">
        <f t="shared" si="39"/>
        <v>784.01558732918636</v>
      </c>
      <c r="Z58">
        <f t="shared" si="31"/>
        <v>5</v>
      </c>
      <c r="AA58">
        <v>44.5</v>
      </c>
      <c r="AB58" t="s">
        <v>23</v>
      </c>
      <c r="AC58">
        <v>55</v>
      </c>
      <c r="AD58">
        <f t="shared" si="40"/>
        <v>392.00377257605692</v>
      </c>
      <c r="AE58">
        <f t="shared" si="34"/>
        <v>5</v>
      </c>
      <c r="AF58">
        <v>44.5</v>
      </c>
      <c r="AK58">
        <v>45.5</v>
      </c>
      <c r="AL58" t="s">
        <v>308</v>
      </c>
      <c r="AM58">
        <v>53</v>
      </c>
      <c r="AN58">
        <f t="shared" si="37"/>
        <v>349.23506143398839</v>
      </c>
      <c r="AO58">
        <f t="shared" si="32"/>
        <v>5</v>
      </c>
      <c r="AP58">
        <v>45.5</v>
      </c>
      <c r="AQ58" t="s">
        <v>318</v>
      </c>
      <c r="AR58">
        <v>41</v>
      </c>
      <c r="AS58">
        <f t="shared" si="38"/>
        <v>174.61573954711864</v>
      </c>
      <c r="AT58">
        <f t="shared" si="33"/>
        <v>5</v>
      </c>
    </row>
    <row r="59" spans="1:46" x14ac:dyDescent="0.2">
      <c r="A59">
        <f t="shared" si="2"/>
        <v>27.5</v>
      </c>
      <c r="B59" t="s">
        <v>365</v>
      </c>
      <c r="C59">
        <v>50</v>
      </c>
      <c r="D59">
        <f t="shared" si="35"/>
        <v>293.66975814369101</v>
      </c>
      <c r="E59">
        <f t="shared" si="3"/>
        <v>27.5</v>
      </c>
      <c r="I59">
        <f t="shared" si="4"/>
        <v>27.5</v>
      </c>
      <c r="M59">
        <f t="shared" si="5"/>
        <v>27.5</v>
      </c>
      <c r="N59" t="s">
        <v>82</v>
      </c>
      <c r="O59">
        <v>38</v>
      </c>
      <c r="P59">
        <f t="shared" si="36"/>
        <v>146.83337288738056</v>
      </c>
      <c r="Q59">
        <f t="shared" si="6"/>
        <v>27.5</v>
      </c>
      <c r="V59">
        <v>45</v>
      </c>
      <c r="W59" t="s">
        <v>259</v>
      </c>
      <c r="X59">
        <v>62</v>
      </c>
      <c r="Y59">
        <f t="shared" si="39"/>
        <v>587.34554108704231</v>
      </c>
      <c r="Z59">
        <f t="shared" si="31"/>
        <v>5</v>
      </c>
      <c r="AA59">
        <v>45</v>
      </c>
      <c r="AB59" t="s">
        <v>223</v>
      </c>
      <c r="AC59">
        <v>50</v>
      </c>
      <c r="AD59">
        <f t="shared" si="40"/>
        <v>293.66975814369101</v>
      </c>
      <c r="AE59">
        <f t="shared" si="34"/>
        <v>5</v>
      </c>
      <c r="AF59">
        <v>45</v>
      </c>
      <c r="AK59">
        <v>46</v>
      </c>
      <c r="AL59" t="s">
        <v>323</v>
      </c>
      <c r="AM59">
        <v>48</v>
      </c>
      <c r="AN59">
        <f t="shared" si="37"/>
        <v>261.62956379894968</v>
      </c>
      <c r="AO59">
        <f t="shared" si="32"/>
        <v>5</v>
      </c>
      <c r="AP59">
        <v>46</v>
      </c>
      <c r="AQ59" t="s">
        <v>80</v>
      </c>
      <c r="AR59">
        <v>36</v>
      </c>
      <c r="AS59">
        <f t="shared" si="38"/>
        <v>130.81344004395982</v>
      </c>
      <c r="AT59">
        <f t="shared" si="33"/>
        <v>5</v>
      </c>
    </row>
    <row r="60" spans="1:46" x14ac:dyDescent="0.2">
      <c r="A60">
        <f t="shared" si="2"/>
        <v>28</v>
      </c>
      <c r="B60" t="s">
        <v>364</v>
      </c>
      <c r="C60">
        <v>51</v>
      </c>
      <c r="D60">
        <f t="shared" si="35"/>
        <v>311.13253664194741</v>
      </c>
      <c r="E60">
        <f t="shared" si="3"/>
        <v>28</v>
      </c>
      <c r="I60">
        <f t="shared" si="4"/>
        <v>28</v>
      </c>
      <c r="M60">
        <f t="shared" si="5"/>
        <v>28</v>
      </c>
      <c r="N60" t="s">
        <v>369</v>
      </c>
      <c r="O60">
        <v>39</v>
      </c>
      <c r="P60">
        <f t="shared" si="36"/>
        <v>155.56467257275574</v>
      </c>
      <c r="Q60">
        <f t="shared" si="6"/>
        <v>28</v>
      </c>
      <c r="V60">
        <v>45.5</v>
      </c>
      <c r="W60" t="s">
        <v>260</v>
      </c>
      <c r="X60">
        <v>67</v>
      </c>
      <c r="Y60">
        <f t="shared" si="39"/>
        <v>784.01558732918636</v>
      </c>
      <c r="Z60">
        <f t="shared" si="31"/>
        <v>5</v>
      </c>
      <c r="AA60">
        <v>45.5</v>
      </c>
      <c r="AB60" t="s">
        <v>23</v>
      </c>
      <c r="AC60">
        <v>55</v>
      </c>
      <c r="AD60">
        <f t="shared" si="40"/>
        <v>392.00377257605692</v>
      </c>
      <c r="AE60">
        <f t="shared" si="34"/>
        <v>5</v>
      </c>
      <c r="AF60">
        <v>45.5</v>
      </c>
      <c r="AK60">
        <v>47</v>
      </c>
      <c r="AL60" t="s">
        <v>308</v>
      </c>
      <c r="AM60">
        <v>53</v>
      </c>
      <c r="AN60">
        <f>16.35117682*1.059464^AM60</f>
        <v>349.23506143398839</v>
      </c>
      <c r="AO60">
        <f t="shared" si="32"/>
        <v>5</v>
      </c>
      <c r="AP60">
        <v>47</v>
      </c>
      <c r="AQ60" t="s">
        <v>318</v>
      </c>
      <c r="AR60">
        <v>41</v>
      </c>
      <c r="AS60">
        <f>16.35117682*1.059464^AR60</f>
        <v>174.61573954711864</v>
      </c>
      <c r="AT60">
        <f t="shared" si="33"/>
        <v>5</v>
      </c>
    </row>
    <row r="61" spans="1:46" x14ac:dyDescent="0.2">
      <c r="A61">
        <f t="shared" si="2"/>
        <v>28.5</v>
      </c>
      <c r="E61">
        <f t="shared" si="3"/>
        <v>28.5</v>
      </c>
      <c r="I61">
        <f t="shared" si="4"/>
        <v>28.5</v>
      </c>
      <c r="M61">
        <f t="shared" si="5"/>
        <v>28.5</v>
      </c>
      <c r="Q61">
        <f t="shared" si="6"/>
        <v>28.5</v>
      </c>
      <c r="V61">
        <v>46</v>
      </c>
      <c r="W61" t="s">
        <v>372</v>
      </c>
      <c r="X61">
        <v>62</v>
      </c>
      <c r="Y61">
        <f t="shared" si="39"/>
        <v>587.34554108704231</v>
      </c>
      <c r="Z61">
        <f t="shared" si="31"/>
        <v>5</v>
      </c>
      <c r="AA61">
        <v>46</v>
      </c>
      <c r="AB61" t="s">
        <v>223</v>
      </c>
      <c r="AC61">
        <v>50</v>
      </c>
      <c r="AD61">
        <f t="shared" si="40"/>
        <v>293.66975814369101</v>
      </c>
      <c r="AE61">
        <f t="shared" si="34"/>
        <v>5</v>
      </c>
      <c r="AF61">
        <v>46</v>
      </c>
      <c r="AK61">
        <v>48</v>
      </c>
      <c r="AL61" t="s">
        <v>323</v>
      </c>
      <c r="AM61">
        <v>48</v>
      </c>
      <c r="AN61">
        <f t="shared" ref="AN61:AN69" si="41">16.35117682*1.059464^AM61</f>
        <v>261.62956379894968</v>
      </c>
      <c r="AO61">
        <f t="shared" si="32"/>
        <v>5</v>
      </c>
      <c r="AP61">
        <v>48</v>
      </c>
      <c r="AQ61" t="s">
        <v>488</v>
      </c>
      <c r="AR61">
        <v>36</v>
      </c>
      <c r="AS61">
        <f t="shared" ref="AS61:AS69" si="42">16.35117682*1.059464^AR61</f>
        <v>130.81344004395982</v>
      </c>
      <c r="AT61">
        <f t="shared" si="33"/>
        <v>5</v>
      </c>
    </row>
    <row r="62" spans="1:46" x14ac:dyDescent="0.2">
      <c r="A62">
        <f t="shared" si="2"/>
        <v>29</v>
      </c>
      <c r="B62" t="s">
        <v>362</v>
      </c>
      <c r="C62">
        <v>55</v>
      </c>
      <c r="D62">
        <f>16.35117682*1.059464^C62</f>
        <v>392.00377257605692</v>
      </c>
      <c r="E62">
        <f t="shared" si="3"/>
        <v>29</v>
      </c>
      <c r="F62" t="s">
        <v>364</v>
      </c>
      <c r="G62">
        <v>51</v>
      </c>
      <c r="H62">
        <f>16.35117682*1.059464^G62</f>
        <v>311.13253664194741</v>
      </c>
      <c r="I62">
        <f t="shared" si="4"/>
        <v>29</v>
      </c>
      <c r="J62" t="s">
        <v>449</v>
      </c>
      <c r="K62">
        <v>44</v>
      </c>
      <c r="L62">
        <f>16.35117682*1.059464^K62</f>
        <v>207.65481237683719</v>
      </c>
      <c r="M62">
        <f t="shared" si="5"/>
        <v>29</v>
      </c>
      <c r="N62" t="s">
        <v>484</v>
      </c>
      <c r="O62">
        <v>39</v>
      </c>
      <c r="P62">
        <f>16.35117682*1.059464^O62</f>
        <v>155.56467257275574</v>
      </c>
      <c r="Q62">
        <f t="shared" si="6"/>
        <v>29</v>
      </c>
      <c r="R62" t="s">
        <v>317</v>
      </c>
      <c r="S62">
        <v>29</v>
      </c>
      <c r="T62">
        <f>16.35117682*1.059464^S62</f>
        <v>87.306974197808145</v>
      </c>
      <c r="V62">
        <v>47</v>
      </c>
      <c r="W62" t="s">
        <v>371</v>
      </c>
      <c r="X62">
        <v>67</v>
      </c>
      <c r="Y62">
        <f>16.35117682*1.059464^X62</f>
        <v>784.01558732918636</v>
      </c>
      <c r="Z62">
        <f t="shared" si="31"/>
        <v>5</v>
      </c>
      <c r="AA62">
        <v>47</v>
      </c>
      <c r="AB62" t="s">
        <v>23</v>
      </c>
      <c r="AC62">
        <v>55</v>
      </c>
      <c r="AD62">
        <f>16.35117682*1.059464^AC62</f>
        <v>392.00377257605692</v>
      </c>
      <c r="AE62">
        <f t="shared" si="34"/>
        <v>5</v>
      </c>
      <c r="AF62">
        <v>47</v>
      </c>
      <c r="AK62">
        <v>48.5</v>
      </c>
      <c r="AL62" t="s">
        <v>223</v>
      </c>
      <c r="AM62">
        <v>50</v>
      </c>
      <c r="AN62">
        <f t="shared" si="41"/>
        <v>293.66975814369101</v>
      </c>
      <c r="AO62">
        <f t="shared" si="32"/>
        <v>2</v>
      </c>
      <c r="AP62">
        <v>48.5</v>
      </c>
      <c r="AQ62" t="s">
        <v>82</v>
      </c>
      <c r="AR62">
        <v>38</v>
      </c>
      <c r="AS62">
        <f t="shared" si="42"/>
        <v>146.83337288738056</v>
      </c>
      <c r="AT62">
        <f t="shared" si="33"/>
        <v>2</v>
      </c>
    </row>
    <row r="63" spans="1:46" x14ac:dyDescent="0.2">
      <c r="A63">
        <f t="shared" si="2"/>
        <v>29.5</v>
      </c>
      <c r="E63">
        <f t="shared" si="3"/>
        <v>29.5</v>
      </c>
      <c r="I63">
        <f t="shared" si="4"/>
        <v>29.5</v>
      </c>
      <c r="M63">
        <f t="shared" si="5"/>
        <v>29.5</v>
      </c>
      <c r="Q63">
        <f t="shared" si="6"/>
        <v>29.5</v>
      </c>
      <c r="V63">
        <v>48</v>
      </c>
      <c r="W63" t="s">
        <v>372</v>
      </c>
      <c r="X63">
        <v>62</v>
      </c>
      <c r="Y63">
        <f t="shared" ref="Y63:Y71" si="43">16.35117682*1.059464^X63</f>
        <v>587.34554108704231</v>
      </c>
      <c r="Z63">
        <f t="shared" si="31"/>
        <v>5</v>
      </c>
      <c r="AA63">
        <v>48</v>
      </c>
      <c r="AB63" t="s">
        <v>223</v>
      </c>
      <c r="AC63">
        <v>50</v>
      </c>
      <c r="AD63">
        <f t="shared" ref="AD63:AD71" si="44">16.35117682*1.059464^AC63</f>
        <v>293.66975814369101</v>
      </c>
      <c r="AE63">
        <f t="shared" si="34"/>
        <v>5</v>
      </c>
      <c r="AF63">
        <v>48</v>
      </c>
      <c r="AK63">
        <v>49</v>
      </c>
      <c r="AL63" t="s">
        <v>222</v>
      </c>
      <c r="AM63">
        <v>51</v>
      </c>
      <c r="AN63">
        <f t="shared" si="41"/>
        <v>311.13253664194741</v>
      </c>
      <c r="AO63">
        <f t="shared" si="32"/>
        <v>1</v>
      </c>
      <c r="AP63">
        <v>49</v>
      </c>
      <c r="AQ63" t="s">
        <v>485</v>
      </c>
      <c r="AR63">
        <v>39</v>
      </c>
      <c r="AS63">
        <f t="shared" si="42"/>
        <v>155.56467257275574</v>
      </c>
      <c r="AT63">
        <f t="shared" si="33"/>
        <v>1</v>
      </c>
    </row>
    <row r="64" spans="1:46" x14ac:dyDescent="0.2">
      <c r="A64">
        <f t="shared" si="2"/>
        <v>30</v>
      </c>
      <c r="E64">
        <f t="shared" si="3"/>
        <v>30</v>
      </c>
      <c r="I64">
        <f t="shared" si="4"/>
        <v>30</v>
      </c>
      <c r="J64" t="s">
        <v>487</v>
      </c>
      <c r="K64">
        <v>45</v>
      </c>
      <c r="M64">
        <f t="shared" si="5"/>
        <v>30</v>
      </c>
      <c r="Q64">
        <f t="shared" si="6"/>
        <v>30</v>
      </c>
      <c r="V64">
        <v>48.5</v>
      </c>
      <c r="W64" t="s">
        <v>261</v>
      </c>
      <c r="X64">
        <v>63</v>
      </c>
      <c r="Y64">
        <f t="shared" si="43"/>
        <v>622.27145634224212</v>
      </c>
      <c r="Z64">
        <f t="shared" si="31"/>
        <v>1</v>
      </c>
      <c r="AA64">
        <v>48.5</v>
      </c>
      <c r="AB64" t="s">
        <v>222</v>
      </c>
      <c r="AC64">
        <v>51</v>
      </c>
      <c r="AD64">
        <f t="shared" si="44"/>
        <v>311.13253664194741</v>
      </c>
      <c r="AE64">
        <f t="shared" si="34"/>
        <v>1</v>
      </c>
      <c r="AF64">
        <v>48.5</v>
      </c>
      <c r="AK64">
        <v>49.5</v>
      </c>
      <c r="AL64" t="s">
        <v>308</v>
      </c>
      <c r="AM64">
        <v>53</v>
      </c>
      <c r="AN64">
        <f t="shared" si="41"/>
        <v>349.23506143398839</v>
      </c>
      <c r="AO64">
        <f t="shared" si="32"/>
        <v>2</v>
      </c>
      <c r="AP64">
        <v>49.5</v>
      </c>
      <c r="AQ64" t="s">
        <v>318</v>
      </c>
      <c r="AR64">
        <v>41</v>
      </c>
      <c r="AS64">
        <f t="shared" si="42"/>
        <v>174.61573954711864</v>
      </c>
      <c r="AT64">
        <f t="shared" si="33"/>
        <v>2</v>
      </c>
    </row>
    <row r="65" spans="1:46" x14ac:dyDescent="0.2">
      <c r="A65">
        <f t="shared" si="2"/>
        <v>30.5</v>
      </c>
      <c r="E65">
        <f t="shared" si="3"/>
        <v>30.5</v>
      </c>
      <c r="I65">
        <f t="shared" si="4"/>
        <v>30.5</v>
      </c>
      <c r="M65">
        <f t="shared" si="5"/>
        <v>30.5</v>
      </c>
      <c r="Q65">
        <f t="shared" si="6"/>
        <v>30.5</v>
      </c>
      <c r="V65">
        <v>49</v>
      </c>
      <c r="W65" t="s">
        <v>262</v>
      </c>
      <c r="X65">
        <v>65</v>
      </c>
      <c r="Y65">
        <f t="shared" si="43"/>
        <v>698.47728762097279</v>
      </c>
      <c r="Z65">
        <f t="shared" si="31"/>
        <v>2</v>
      </c>
      <c r="AA65">
        <v>49</v>
      </c>
      <c r="AB65" t="s">
        <v>308</v>
      </c>
      <c r="AC65">
        <v>53</v>
      </c>
      <c r="AD65">
        <f t="shared" si="44"/>
        <v>349.23506143398839</v>
      </c>
      <c r="AE65">
        <f t="shared" si="34"/>
        <v>2</v>
      </c>
      <c r="AF65">
        <v>49</v>
      </c>
      <c r="AK65">
        <v>50</v>
      </c>
      <c r="AL65" t="s">
        <v>222</v>
      </c>
      <c r="AM65">
        <v>51</v>
      </c>
      <c r="AN65">
        <f t="shared" si="41"/>
        <v>311.13253664194741</v>
      </c>
      <c r="AO65">
        <f t="shared" si="32"/>
        <v>2</v>
      </c>
      <c r="AP65">
        <v>50</v>
      </c>
      <c r="AQ65" t="s">
        <v>485</v>
      </c>
      <c r="AR65">
        <v>39</v>
      </c>
      <c r="AS65">
        <f t="shared" si="42"/>
        <v>155.56467257275574</v>
      </c>
      <c r="AT65">
        <f t="shared" si="33"/>
        <v>2</v>
      </c>
    </row>
    <row r="66" spans="1:46" x14ac:dyDescent="0.2">
      <c r="A66">
        <f t="shared" si="2"/>
        <v>31</v>
      </c>
      <c r="B66" t="s">
        <v>362</v>
      </c>
      <c r="C66">
        <v>55</v>
      </c>
      <c r="D66">
        <f>16.35117682*1.059464^C66</f>
        <v>392.00377257605692</v>
      </c>
      <c r="E66">
        <f t="shared" si="3"/>
        <v>31</v>
      </c>
      <c r="F66" t="s">
        <v>364</v>
      </c>
      <c r="G66">
        <v>51</v>
      </c>
      <c r="H66">
        <f>16.35117682*1.059464^G66</f>
        <v>311.13253664194741</v>
      </c>
      <c r="I66">
        <f t="shared" si="4"/>
        <v>31</v>
      </c>
      <c r="J66" t="s">
        <v>367</v>
      </c>
      <c r="K66">
        <v>46</v>
      </c>
      <c r="L66">
        <f>16.35117682*1.059464^K66</f>
        <v>233.08504452861115</v>
      </c>
      <c r="M66">
        <f t="shared" si="5"/>
        <v>31</v>
      </c>
      <c r="N66" t="s">
        <v>484</v>
      </c>
      <c r="O66">
        <v>39</v>
      </c>
      <c r="P66">
        <f>16.35117682*1.059464^O66</f>
        <v>155.56467257275574</v>
      </c>
      <c r="Q66">
        <f t="shared" si="6"/>
        <v>31</v>
      </c>
      <c r="R66" t="s">
        <v>315</v>
      </c>
      <c r="S66">
        <v>31</v>
      </c>
      <c r="T66">
        <f>16.35117682*1.059464^S66</f>
        <v>97.998932630681253</v>
      </c>
      <c r="V66">
        <v>49.5</v>
      </c>
      <c r="W66" t="s">
        <v>371</v>
      </c>
      <c r="X66">
        <v>67</v>
      </c>
      <c r="Y66">
        <f t="shared" si="43"/>
        <v>784.01558732918636</v>
      </c>
      <c r="Z66">
        <f t="shared" si="31"/>
        <v>2</v>
      </c>
      <c r="AA66">
        <v>49.5</v>
      </c>
      <c r="AB66" t="s">
        <v>23</v>
      </c>
      <c r="AC66">
        <v>55</v>
      </c>
      <c r="AD66">
        <f t="shared" si="44"/>
        <v>392.00377257605692</v>
      </c>
      <c r="AE66">
        <f t="shared" si="34"/>
        <v>2</v>
      </c>
      <c r="AF66">
        <v>49.5</v>
      </c>
      <c r="AK66">
        <v>50.5</v>
      </c>
      <c r="AL66" t="s">
        <v>223</v>
      </c>
      <c r="AM66">
        <v>50</v>
      </c>
      <c r="AN66">
        <f t="shared" si="41"/>
        <v>293.66975814369101</v>
      </c>
      <c r="AO66">
        <f t="shared" si="32"/>
        <v>1</v>
      </c>
      <c r="AP66">
        <v>50.5</v>
      </c>
      <c r="AQ66" t="s">
        <v>82</v>
      </c>
      <c r="AR66">
        <v>38</v>
      </c>
      <c r="AS66">
        <f t="shared" si="42"/>
        <v>146.83337288738056</v>
      </c>
      <c r="AT66">
        <f t="shared" si="33"/>
        <v>1</v>
      </c>
    </row>
    <row r="67" spans="1:46" x14ac:dyDescent="0.2">
      <c r="A67">
        <f t="shared" si="2"/>
        <v>31.5</v>
      </c>
      <c r="E67">
        <f t="shared" si="3"/>
        <v>31.5</v>
      </c>
      <c r="I67">
        <f t="shared" si="4"/>
        <v>31.5</v>
      </c>
      <c r="M67">
        <f t="shared" si="5"/>
        <v>31.5</v>
      </c>
      <c r="Q67">
        <f t="shared" si="6"/>
        <v>31.5</v>
      </c>
      <c r="V67">
        <v>50</v>
      </c>
      <c r="W67" t="s">
        <v>263</v>
      </c>
      <c r="X67">
        <v>65</v>
      </c>
      <c r="Y67">
        <f t="shared" si="43"/>
        <v>698.47728762097279</v>
      </c>
      <c r="Z67">
        <f>ABS(X67-X66)</f>
        <v>2</v>
      </c>
      <c r="AA67">
        <v>50</v>
      </c>
      <c r="AB67" t="s">
        <v>308</v>
      </c>
      <c r="AC67">
        <v>53</v>
      </c>
      <c r="AD67">
        <f t="shared" si="44"/>
        <v>349.23506143398839</v>
      </c>
      <c r="AE67">
        <f>ABS(AC67-AC66)</f>
        <v>2</v>
      </c>
      <c r="AF67">
        <v>50</v>
      </c>
      <c r="AK67">
        <v>51</v>
      </c>
      <c r="AL67" t="s">
        <v>323</v>
      </c>
      <c r="AM67">
        <v>48</v>
      </c>
      <c r="AN67">
        <f t="shared" si="41"/>
        <v>261.62956379894968</v>
      </c>
      <c r="AO67">
        <f>ABS(AM67-AM66)</f>
        <v>2</v>
      </c>
      <c r="AP67">
        <v>51</v>
      </c>
      <c r="AQ67" t="s">
        <v>80</v>
      </c>
      <c r="AR67">
        <v>36</v>
      </c>
      <c r="AS67">
        <f t="shared" si="42"/>
        <v>130.81344004395982</v>
      </c>
      <c r="AT67">
        <f>ABS(AR67-AR66)</f>
        <v>2</v>
      </c>
    </row>
    <row r="68" spans="1:46" x14ac:dyDescent="0.2">
      <c r="A68">
        <f t="shared" si="2"/>
        <v>32</v>
      </c>
      <c r="B68" t="s">
        <v>366</v>
      </c>
      <c r="C68">
        <v>48</v>
      </c>
      <c r="D68">
        <f>16.35117682*1.059464^C68</f>
        <v>261.62956379894968</v>
      </c>
      <c r="E68">
        <f t="shared" si="3"/>
        <v>32</v>
      </c>
      <c r="F68" t="s">
        <v>448</v>
      </c>
      <c r="G68">
        <v>43</v>
      </c>
      <c r="H68">
        <f>16.35117682*1.059464^G68</f>
        <v>195.99987576438383</v>
      </c>
      <c r="I68">
        <f t="shared" si="4"/>
        <v>32</v>
      </c>
      <c r="J68" t="s">
        <v>369</v>
      </c>
      <c r="K68">
        <v>39</v>
      </c>
      <c r="L68">
        <f>16.35117682*1.059464^K68</f>
        <v>155.56467257275574</v>
      </c>
      <c r="M68">
        <f t="shared" si="5"/>
        <v>32</v>
      </c>
      <c r="N68" t="s">
        <v>80</v>
      </c>
      <c r="O68">
        <v>36</v>
      </c>
      <c r="P68">
        <f>16.35117682*1.059464^O68</f>
        <v>130.81344004395982</v>
      </c>
      <c r="Q68">
        <f t="shared" si="6"/>
        <v>32</v>
      </c>
      <c r="R68" t="s">
        <v>316</v>
      </c>
      <c r="S68">
        <v>24</v>
      </c>
      <c r="T68">
        <f>16.35117682*1.059464^S68</f>
        <v>65.406049101104529</v>
      </c>
      <c r="V68">
        <v>50.5</v>
      </c>
      <c r="W68" t="s">
        <v>264</v>
      </c>
      <c r="X68">
        <v>63</v>
      </c>
      <c r="Y68">
        <f t="shared" si="43"/>
        <v>622.27145634224212</v>
      </c>
      <c r="Z68">
        <f>ABS(X68-X67)</f>
        <v>2</v>
      </c>
      <c r="AA68">
        <v>50.5</v>
      </c>
      <c r="AB68" t="s">
        <v>222</v>
      </c>
      <c r="AC68">
        <v>51</v>
      </c>
      <c r="AD68">
        <f t="shared" si="44"/>
        <v>311.13253664194741</v>
      </c>
      <c r="AE68">
        <f>ABS(AC68-AC67)</f>
        <v>2</v>
      </c>
      <c r="AF68">
        <v>50.5</v>
      </c>
      <c r="AK68">
        <v>51.5</v>
      </c>
      <c r="AL68" t="s">
        <v>325</v>
      </c>
      <c r="AM68">
        <v>46</v>
      </c>
      <c r="AN68">
        <f t="shared" si="41"/>
        <v>233.08504452861115</v>
      </c>
      <c r="AO68">
        <f>ABS(AM68-AM67)</f>
        <v>2</v>
      </c>
      <c r="AP68">
        <v>51.5</v>
      </c>
      <c r="AQ68" t="s">
        <v>85</v>
      </c>
      <c r="AR68">
        <v>34</v>
      </c>
      <c r="AS68">
        <f t="shared" si="42"/>
        <v>116.54132680899107</v>
      </c>
      <c r="AT68">
        <f>ABS(AR68-AR67)</f>
        <v>2</v>
      </c>
    </row>
    <row r="69" spans="1:46" x14ac:dyDescent="0.2">
      <c r="A69">
        <f t="shared" ref="A69:A132" si="45">A68+0.5</f>
        <v>32.5</v>
      </c>
      <c r="E69">
        <f t="shared" ref="E69:E132" si="46">E68+0.5</f>
        <v>32.5</v>
      </c>
      <c r="I69">
        <f t="shared" ref="I69:I132" si="47">I68+0.5</f>
        <v>32.5</v>
      </c>
      <c r="M69">
        <f t="shared" ref="M69:M132" si="48">M68+0.5</f>
        <v>32.5</v>
      </c>
      <c r="Q69">
        <f t="shared" ref="Q69:Q132" si="49">Q68+0.5</f>
        <v>32.5</v>
      </c>
      <c r="V69">
        <v>51</v>
      </c>
      <c r="W69" t="s">
        <v>372</v>
      </c>
      <c r="X69">
        <v>62</v>
      </c>
      <c r="Y69">
        <f t="shared" si="43"/>
        <v>587.34554108704231</v>
      </c>
      <c r="Z69">
        <f t="shared" ref="Z69:Z87" si="50">ABS(X69-X68)</f>
        <v>1</v>
      </c>
      <c r="AA69">
        <v>51</v>
      </c>
      <c r="AB69" t="s">
        <v>223</v>
      </c>
      <c r="AC69">
        <v>50</v>
      </c>
      <c r="AD69">
        <f t="shared" si="44"/>
        <v>293.66975814369101</v>
      </c>
      <c r="AE69">
        <f t="shared" ref="AE69:AE73" si="51">ABS(AC69-AC68)</f>
        <v>1</v>
      </c>
      <c r="AF69">
        <v>51</v>
      </c>
      <c r="AK69">
        <v>52</v>
      </c>
      <c r="AL69" t="s">
        <v>323</v>
      </c>
      <c r="AM69">
        <v>48</v>
      </c>
      <c r="AN69">
        <f t="shared" si="41"/>
        <v>261.62956379894968</v>
      </c>
      <c r="AO69">
        <f t="shared" ref="AO69:AO87" si="52">ABS(AM69-AM68)</f>
        <v>2</v>
      </c>
      <c r="AP69">
        <v>52</v>
      </c>
      <c r="AQ69" t="s">
        <v>80</v>
      </c>
      <c r="AR69">
        <v>36</v>
      </c>
      <c r="AS69">
        <f t="shared" si="42"/>
        <v>130.81344004395982</v>
      </c>
      <c r="AT69">
        <f t="shared" ref="AT69" si="53">ABS(AR69-AR68)</f>
        <v>2</v>
      </c>
    </row>
    <row r="70" spans="1:46" x14ac:dyDescent="0.2">
      <c r="A70">
        <f t="shared" si="45"/>
        <v>33</v>
      </c>
      <c r="B70" t="s">
        <v>366</v>
      </c>
      <c r="C70">
        <v>48</v>
      </c>
      <c r="D70">
        <f t="shared" ref="D70:D76" si="54">16.35117682*1.059464^C70</f>
        <v>261.62956379894968</v>
      </c>
      <c r="E70">
        <f t="shared" si="46"/>
        <v>33</v>
      </c>
      <c r="I70">
        <f t="shared" si="47"/>
        <v>33</v>
      </c>
      <c r="M70">
        <f t="shared" si="48"/>
        <v>33</v>
      </c>
      <c r="N70" t="s">
        <v>80</v>
      </c>
      <c r="O70">
        <v>36</v>
      </c>
      <c r="P70">
        <f t="shared" ref="P70:P76" si="55">16.35117682*1.059464^O70</f>
        <v>130.81344004395982</v>
      </c>
      <c r="Q70">
        <f t="shared" si="49"/>
        <v>33</v>
      </c>
      <c r="V70">
        <v>51.5</v>
      </c>
      <c r="W70" t="s">
        <v>265</v>
      </c>
      <c r="X70">
        <v>60</v>
      </c>
      <c r="Y70">
        <f t="shared" si="43"/>
        <v>523.26449507501752</v>
      </c>
      <c r="Z70">
        <f t="shared" si="50"/>
        <v>2</v>
      </c>
      <c r="AA70">
        <v>51.5</v>
      </c>
      <c r="AB70" t="s">
        <v>323</v>
      </c>
      <c r="AC70">
        <v>48</v>
      </c>
      <c r="AD70">
        <f t="shared" si="44"/>
        <v>261.62956379894968</v>
      </c>
      <c r="AE70">
        <f t="shared" si="51"/>
        <v>2</v>
      </c>
      <c r="AF70">
        <v>51.5</v>
      </c>
      <c r="AK70">
        <v>53</v>
      </c>
      <c r="AL70" t="s">
        <v>448</v>
      </c>
      <c r="AM70">
        <v>43</v>
      </c>
      <c r="AN70">
        <f t="shared" ref="AN70:AN75" si="56">16.35117682*1.059464^AM70</f>
        <v>195.99987576438383</v>
      </c>
      <c r="AO70">
        <f t="shared" si="52"/>
        <v>5</v>
      </c>
      <c r="AP70">
        <v>53</v>
      </c>
    </row>
    <row r="71" spans="1:46" x14ac:dyDescent="0.2">
      <c r="A71">
        <f t="shared" si="45"/>
        <v>33.5</v>
      </c>
      <c r="B71" t="s">
        <v>368</v>
      </c>
      <c r="C71">
        <v>46</v>
      </c>
      <c r="D71">
        <f t="shared" si="54"/>
        <v>233.08504452861115</v>
      </c>
      <c r="E71">
        <f t="shared" si="46"/>
        <v>33.5</v>
      </c>
      <c r="I71">
        <f t="shared" si="47"/>
        <v>33.5</v>
      </c>
      <c r="M71">
        <f t="shared" si="48"/>
        <v>33.5</v>
      </c>
      <c r="N71" t="s">
        <v>367</v>
      </c>
      <c r="O71">
        <v>34</v>
      </c>
      <c r="P71">
        <f t="shared" si="55"/>
        <v>116.54132680899107</v>
      </c>
      <c r="Q71">
        <f t="shared" si="49"/>
        <v>33.5</v>
      </c>
      <c r="V71">
        <v>52</v>
      </c>
      <c r="W71" t="s">
        <v>372</v>
      </c>
      <c r="X71">
        <v>62</v>
      </c>
      <c r="Y71">
        <f t="shared" si="43"/>
        <v>587.34554108704231</v>
      </c>
      <c r="Z71">
        <f t="shared" si="50"/>
        <v>2</v>
      </c>
      <c r="AA71">
        <v>52</v>
      </c>
      <c r="AB71" t="s">
        <v>223</v>
      </c>
      <c r="AC71">
        <v>50</v>
      </c>
      <c r="AD71">
        <f t="shared" si="44"/>
        <v>293.66975814369101</v>
      </c>
      <c r="AE71">
        <f t="shared" si="51"/>
        <v>2</v>
      </c>
      <c r="AF71">
        <v>52</v>
      </c>
      <c r="AK71">
        <v>54</v>
      </c>
      <c r="AL71" t="s">
        <v>448</v>
      </c>
      <c r="AM71">
        <v>43</v>
      </c>
      <c r="AN71">
        <f t="shared" si="56"/>
        <v>195.99987576438383</v>
      </c>
      <c r="AO71">
        <f t="shared" si="52"/>
        <v>0</v>
      </c>
      <c r="AP71">
        <v>54</v>
      </c>
    </row>
    <row r="72" spans="1:46" x14ac:dyDescent="0.2">
      <c r="A72">
        <f t="shared" si="45"/>
        <v>34</v>
      </c>
      <c r="B72" t="s">
        <v>361</v>
      </c>
      <c r="C72">
        <v>48</v>
      </c>
      <c r="D72">
        <f t="shared" si="54"/>
        <v>261.62956379894968</v>
      </c>
      <c r="E72">
        <f t="shared" si="46"/>
        <v>34</v>
      </c>
      <c r="I72">
        <f t="shared" si="47"/>
        <v>34</v>
      </c>
      <c r="M72">
        <f t="shared" si="48"/>
        <v>34</v>
      </c>
      <c r="N72" t="s">
        <v>80</v>
      </c>
      <c r="O72">
        <v>36</v>
      </c>
      <c r="P72">
        <f t="shared" si="55"/>
        <v>130.81344004395982</v>
      </c>
      <c r="Q72">
        <f t="shared" si="49"/>
        <v>34</v>
      </c>
      <c r="V72">
        <v>53</v>
      </c>
      <c r="W72" t="s">
        <v>266</v>
      </c>
      <c r="X72">
        <v>56</v>
      </c>
      <c r="Y72">
        <f t="shared" ref="Y72:Y77" si="57">16.35117682*1.059464^X72</f>
        <v>415.31388490851958</v>
      </c>
      <c r="Z72">
        <f t="shared" si="50"/>
        <v>6</v>
      </c>
      <c r="AA72">
        <v>53</v>
      </c>
      <c r="AB72" t="s">
        <v>449</v>
      </c>
      <c r="AC72">
        <v>44</v>
      </c>
      <c r="AD72">
        <f>16.35117682*1.059464^AC72</f>
        <v>207.65481237683719</v>
      </c>
      <c r="AE72">
        <f t="shared" si="51"/>
        <v>6</v>
      </c>
      <c r="AF72">
        <v>53</v>
      </c>
      <c r="AK72">
        <v>55</v>
      </c>
      <c r="AL72" t="s">
        <v>308</v>
      </c>
      <c r="AM72">
        <v>53</v>
      </c>
      <c r="AN72">
        <f t="shared" si="56"/>
        <v>349.23506143398839</v>
      </c>
      <c r="AO72">
        <f t="shared" si="52"/>
        <v>10</v>
      </c>
      <c r="AP72">
        <v>55</v>
      </c>
    </row>
    <row r="73" spans="1:46" x14ac:dyDescent="0.2">
      <c r="A73">
        <f t="shared" si="45"/>
        <v>34.5</v>
      </c>
      <c r="B73" t="s">
        <v>368</v>
      </c>
      <c r="C73">
        <v>46</v>
      </c>
      <c r="D73">
        <f t="shared" si="54"/>
        <v>233.08504452861115</v>
      </c>
      <c r="E73">
        <f t="shared" si="46"/>
        <v>34.5</v>
      </c>
      <c r="I73">
        <f t="shared" si="47"/>
        <v>34.5</v>
      </c>
      <c r="M73">
        <f t="shared" si="48"/>
        <v>34.5</v>
      </c>
      <c r="N73" t="s">
        <v>367</v>
      </c>
      <c r="O73">
        <v>34</v>
      </c>
      <c r="P73">
        <f t="shared" si="55"/>
        <v>116.54132680899107</v>
      </c>
      <c r="Q73">
        <f t="shared" si="49"/>
        <v>34.5</v>
      </c>
      <c r="V73">
        <v>54</v>
      </c>
      <c r="W73" t="s">
        <v>266</v>
      </c>
      <c r="X73">
        <v>56</v>
      </c>
      <c r="Y73">
        <f t="shared" si="57"/>
        <v>415.31388490851958</v>
      </c>
      <c r="Z73">
        <f t="shared" si="50"/>
        <v>0</v>
      </c>
      <c r="AA73">
        <v>54</v>
      </c>
      <c r="AB73" t="s">
        <v>449</v>
      </c>
      <c r="AC73">
        <v>44</v>
      </c>
      <c r="AD73">
        <f>16.35117682*1.059464^AC73</f>
        <v>207.65481237683719</v>
      </c>
      <c r="AE73">
        <f t="shared" si="51"/>
        <v>0</v>
      </c>
      <c r="AF73">
        <v>54</v>
      </c>
      <c r="AK73">
        <v>56</v>
      </c>
      <c r="AL73" t="s">
        <v>323</v>
      </c>
      <c r="AM73">
        <v>48</v>
      </c>
      <c r="AN73">
        <f t="shared" si="56"/>
        <v>261.62956379894968</v>
      </c>
      <c r="AO73">
        <f t="shared" si="52"/>
        <v>5</v>
      </c>
      <c r="AP73">
        <v>56</v>
      </c>
    </row>
    <row r="74" spans="1:46" x14ac:dyDescent="0.2">
      <c r="A74">
        <f t="shared" si="45"/>
        <v>35</v>
      </c>
      <c r="B74" t="s">
        <v>361</v>
      </c>
      <c r="C74">
        <v>48</v>
      </c>
      <c r="D74">
        <f t="shared" si="54"/>
        <v>261.62956379894968</v>
      </c>
      <c r="E74">
        <f t="shared" si="46"/>
        <v>35</v>
      </c>
      <c r="I74">
        <f t="shared" si="47"/>
        <v>35</v>
      </c>
      <c r="M74">
        <f t="shared" si="48"/>
        <v>35</v>
      </c>
      <c r="N74" t="s">
        <v>80</v>
      </c>
      <c r="O74">
        <v>36</v>
      </c>
      <c r="P74">
        <f t="shared" si="55"/>
        <v>130.81344004395982</v>
      </c>
      <c r="Q74">
        <f t="shared" si="49"/>
        <v>35</v>
      </c>
      <c r="V74">
        <v>55</v>
      </c>
      <c r="W74" t="s">
        <v>23</v>
      </c>
      <c r="X74">
        <v>55</v>
      </c>
      <c r="Y74">
        <f t="shared" si="57"/>
        <v>392.00377257605692</v>
      </c>
      <c r="Z74">
        <f t="shared" si="50"/>
        <v>1</v>
      </c>
      <c r="AA74">
        <v>55</v>
      </c>
      <c r="AF74">
        <v>55</v>
      </c>
      <c r="AK74">
        <v>57.5</v>
      </c>
      <c r="AL74" t="s">
        <v>308</v>
      </c>
      <c r="AM74">
        <v>53</v>
      </c>
      <c r="AN74">
        <f t="shared" si="56"/>
        <v>349.23506143398839</v>
      </c>
      <c r="AO74">
        <f t="shared" si="52"/>
        <v>5</v>
      </c>
      <c r="AP74">
        <v>57.5</v>
      </c>
    </row>
    <row r="75" spans="1:46" x14ac:dyDescent="0.2">
      <c r="A75">
        <f t="shared" si="45"/>
        <v>35.5</v>
      </c>
      <c r="B75" t="s">
        <v>370</v>
      </c>
      <c r="C75">
        <v>51</v>
      </c>
      <c r="D75">
        <f t="shared" si="54"/>
        <v>311.13253664194741</v>
      </c>
      <c r="E75">
        <f t="shared" si="46"/>
        <v>35.5</v>
      </c>
      <c r="I75">
        <f t="shared" si="47"/>
        <v>35.5</v>
      </c>
      <c r="M75">
        <f t="shared" si="48"/>
        <v>35.5</v>
      </c>
      <c r="N75" t="s">
        <v>369</v>
      </c>
      <c r="O75">
        <v>38</v>
      </c>
      <c r="P75">
        <f t="shared" si="55"/>
        <v>146.83337288738056</v>
      </c>
      <c r="Q75">
        <f t="shared" si="49"/>
        <v>35.5</v>
      </c>
      <c r="V75">
        <v>56</v>
      </c>
      <c r="W75" t="s">
        <v>223</v>
      </c>
      <c r="X75">
        <v>50</v>
      </c>
      <c r="Y75">
        <f t="shared" si="57"/>
        <v>293.66975814369101</v>
      </c>
      <c r="Z75">
        <f t="shared" si="50"/>
        <v>5</v>
      </c>
      <c r="AA75">
        <v>56</v>
      </c>
      <c r="AF75">
        <v>56</v>
      </c>
      <c r="AK75">
        <v>58</v>
      </c>
      <c r="AL75" t="s">
        <v>323</v>
      </c>
      <c r="AM75">
        <v>48</v>
      </c>
      <c r="AN75">
        <f t="shared" si="56"/>
        <v>261.62956379894968</v>
      </c>
      <c r="AO75">
        <f t="shared" si="52"/>
        <v>5</v>
      </c>
      <c r="AP75">
        <v>58</v>
      </c>
    </row>
    <row r="76" spans="1:46" x14ac:dyDescent="0.2">
      <c r="A76">
        <f t="shared" si="45"/>
        <v>36</v>
      </c>
      <c r="B76" t="s">
        <v>362</v>
      </c>
      <c r="C76">
        <v>55</v>
      </c>
      <c r="D76">
        <f t="shared" si="54"/>
        <v>392.00377257605692</v>
      </c>
      <c r="E76">
        <f t="shared" si="46"/>
        <v>36</v>
      </c>
      <c r="I76">
        <f t="shared" si="47"/>
        <v>36</v>
      </c>
      <c r="M76">
        <f t="shared" si="48"/>
        <v>36</v>
      </c>
      <c r="N76" t="s">
        <v>448</v>
      </c>
      <c r="O76">
        <v>43</v>
      </c>
      <c r="P76">
        <f t="shared" si="55"/>
        <v>195.99987576438383</v>
      </c>
      <c r="Q76">
        <f t="shared" si="49"/>
        <v>36</v>
      </c>
      <c r="V76">
        <v>57.5</v>
      </c>
      <c r="W76" t="s">
        <v>23</v>
      </c>
      <c r="X76">
        <v>55</v>
      </c>
      <c r="Y76">
        <f t="shared" si="57"/>
        <v>392.00377257605692</v>
      </c>
      <c r="Z76">
        <f t="shared" si="50"/>
        <v>5</v>
      </c>
      <c r="AA76">
        <v>57.5</v>
      </c>
      <c r="AF76">
        <v>57.5</v>
      </c>
      <c r="AK76">
        <v>59.5</v>
      </c>
      <c r="AL76" t="s">
        <v>308</v>
      </c>
      <c r="AM76">
        <v>53</v>
      </c>
      <c r="AN76">
        <f t="shared" ref="AN76:AN81" si="58">16.35117682*1.059464^AM76</f>
        <v>349.23506143398839</v>
      </c>
      <c r="AO76">
        <f t="shared" si="52"/>
        <v>5</v>
      </c>
      <c r="AP76">
        <v>59.5</v>
      </c>
    </row>
    <row r="77" spans="1:46" x14ac:dyDescent="0.2">
      <c r="A77">
        <f t="shared" si="45"/>
        <v>36.5</v>
      </c>
      <c r="E77">
        <f t="shared" si="46"/>
        <v>36.5</v>
      </c>
      <c r="I77">
        <f t="shared" si="47"/>
        <v>36.5</v>
      </c>
      <c r="M77">
        <f t="shared" si="48"/>
        <v>36.5</v>
      </c>
      <c r="Q77">
        <f t="shared" si="49"/>
        <v>36.5</v>
      </c>
      <c r="V77">
        <v>58</v>
      </c>
      <c r="W77" t="s">
        <v>223</v>
      </c>
      <c r="X77">
        <v>50</v>
      </c>
      <c r="Y77">
        <f t="shared" si="57"/>
        <v>293.66975814369101</v>
      </c>
      <c r="Z77">
        <f t="shared" si="50"/>
        <v>5</v>
      </c>
      <c r="AA77">
        <v>58</v>
      </c>
      <c r="AF77">
        <v>58</v>
      </c>
      <c r="AK77">
        <v>60</v>
      </c>
      <c r="AL77" t="s">
        <v>323</v>
      </c>
      <c r="AM77">
        <v>48</v>
      </c>
      <c r="AN77">
        <f t="shared" si="58"/>
        <v>261.62956379894968</v>
      </c>
      <c r="AO77">
        <f t="shared" si="52"/>
        <v>5</v>
      </c>
      <c r="AP77">
        <v>60</v>
      </c>
    </row>
    <row r="78" spans="1:46" x14ac:dyDescent="0.2">
      <c r="A78">
        <f t="shared" si="45"/>
        <v>37</v>
      </c>
      <c r="E78">
        <f t="shared" si="46"/>
        <v>37</v>
      </c>
      <c r="I78">
        <f t="shared" si="47"/>
        <v>37</v>
      </c>
      <c r="M78">
        <f t="shared" si="48"/>
        <v>37</v>
      </c>
      <c r="Q78">
        <f t="shared" si="49"/>
        <v>37</v>
      </c>
      <c r="V78">
        <v>59.5</v>
      </c>
      <c r="W78" t="s">
        <v>23</v>
      </c>
      <c r="X78">
        <v>55</v>
      </c>
      <c r="Y78">
        <f t="shared" ref="Y78:Y83" si="59">16.35117682*1.059464^X78</f>
        <v>392.00377257605692</v>
      </c>
      <c r="Z78">
        <f t="shared" si="50"/>
        <v>5</v>
      </c>
      <c r="AA78">
        <v>59.5</v>
      </c>
      <c r="AF78">
        <v>59.5</v>
      </c>
      <c r="AK78">
        <v>60.5</v>
      </c>
      <c r="AL78" t="s">
        <v>308</v>
      </c>
      <c r="AM78">
        <v>53</v>
      </c>
      <c r="AN78">
        <f t="shared" si="58"/>
        <v>349.23506143398839</v>
      </c>
      <c r="AO78">
        <f t="shared" si="52"/>
        <v>5</v>
      </c>
      <c r="AP78">
        <v>60.5</v>
      </c>
    </row>
    <row r="79" spans="1:46" x14ac:dyDescent="0.2">
      <c r="A79">
        <f t="shared" si="45"/>
        <v>37.5</v>
      </c>
      <c r="E79">
        <f t="shared" si="46"/>
        <v>37.5</v>
      </c>
      <c r="I79">
        <f t="shared" si="47"/>
        <v>37.5</v>
      </c>
      <c r="M79">
        <f t="shared" si="48"/>
        <v>37.5</v>
      </c>
      <c r="Q79">
        <f t="shared" si="49"/>
        <v>37.5</v>
      </c>
      <c r="V79">
        <v>60</v>
      </c>
      <c r="W79" t="s">
        <v>223</v>
      </c>
      <c r="X79">
        <v>50</v>
      </c>
      <c r="Y79">
        <f t="shared" si="59"/>
        <v>293.66975814369101</v>
      </c>
      <c r="Z79">
        <f t="shared" si="50"/>
        <v>5</v>
      </c>
      <c r="AA79">
        <v>60</v>
      </c>
      <c r="AF79">
        <v>60</v>
      </c>
      <c r="AK79">
        <v>61</v>
      </c>
      <c r="AL79" t="s">
        <v>323</v>
      </c>
      <c r="AM79">
        <v>48</v>
      </c>
      <c r="AN79">
        <f t="shared" si="58"/>
        <v>261.62956379894968</v>
      </c>
      <c r="AO79">
        <f t="shared" si="52"/>
        <v>5</v>
      </c>
      <c r="AP79">
        <v>61</v>
      </c>
    </row>
    <row r="80" spans="1:46" x14ac:dyDescent="0.2">
      <c r="A80">
        <f t="shared" si="45"/>
        <v>38</v>
      </c>
      <c r="E80">
        <f t="shared" si="46"/>
        <v>38</v>
      </c>
      <c r="I80">
        <f t="shared" si="47"/>
        <v>38</v>
      </c>
      <c r="M80">
        <f t="shared" si="48"/>
        <v>38</v>
      </c>
      <c r="Q80">
        <f t="shared" si="49"/>
        <v>38</v>
      </c>
      <c r="V80">
        <v>60.5</v>
      </c>
      <c r="W80" t="s">
        <v>23</v>
      </c>
      <c r="X80">
        <v>55</v>
      </c>
      <c r="Y80">
        <f t="shared" si="59"/>
        <v>392.00377257605692</v>
      </c>
      <c r="Z80">
        <f t="shared" si="50"/>
        <v>5</v>
      </c>
      <c r="AA80">
        <v>60.5</v>
      </c>
      <c r="AF80">
        <v>60.5</v>
      </c>
      <c r="AK80">
        <v>61.5</v>
      </c>
      <c r="AL80" t="s">
        <v>308</v>
      </c>
      <c r="AM80">
        <v>53</v>
      </c>
      <c r="AN80">
        <f t="shared" si="58"/>
        <v>349.23506143398839</v>
      </c>
      <c r="AO80">
        <f t="shared" si="52"/>
        <v>5</v>
      </c>
      <c r="AP80">
        <v>61.5</v>
      </c>
    </row>
    <row r="81" spans="1:42" x14ac:dyDescent="0.2">
      <c r="A81">
        <f t="shared" si="45"/>
        <v>38.5</v>
      </c>
      <c r="E81">
        <f t="shared" si="46"/>
        <v>38.5</v>
      </c>
      <c r="I81">
        <f t="shared" si="47"/>
        <v>38.5</v>
      </c>
      <c r="M81">
        <f t="shared" si="48"/>
        <v>38.5</v>
      </c>
      <c r="Q81">
        <f t="shared" si="49"/>
        <v>38.5</v>
      </c>
      <c r="V81">
        <v>61</v>
      </c>
      <c r="W81" t="s">
        <v>267</v>
      </c>
      <c r="X81">
        <v>50</v>
      </c>
      <c r="Y81">
        <f t="shared" si="59"/>
        <v>293.66975814369101</v>
      </c>
      <c r="Z81">
        <f t="shared" si="50"/>
        <v>5</v>
      </c>
      <c r="AA81">
        <v>61</v>
      </c>
      <c r="AF81">
        <v>61</v>
      </c>
      <c r="AK81">
        <v>62</v>
      </c>
      <c r="AL81" t="s">
        <v>323</v>
      </c>
      <c r="AM81">
        <v>48</v>
      </c>
      <c r="AN81">
        <f t="shared" si="58"/>
        <v>261.62956379894968</v>
      </c>
      <c r="AO81">
        <f t="shared" si="52"/>
        <v>5</v>
      </c>
      <c r="AP81">
        <v>62</v>
      </c>
    </row>
    <row r="82" spans="1:42" x14ac:dyDescent="0.2">
      <c r="A82">
        <f t="shared" si="45"/>
        <v>39</v>
      </c>
      <c r="B82" t="s">
        <v>371</v>
      </c>
      <c r="C82">
        <v>67</v>
      </c>
      <c r="D82">
        <f>16.35117682*1.059464^C82</f>
        <v>784.01558732918636</v>
      </c>
      <c r="E82">
        <f t="shared" si="46"/>
        <v>39</v>
      </c>
      <c r="F82" t="s">
        <v>362</v>
      </c>
      <c r="G82">
        <v>55</v>
      </c>
      <c r="H82">
        <f>16.35117682*1.059464^G82</f>
        <v>392.00377257605692</v>
      </c>
      <c r="I82">
        <f t="shared" si="47"/>
        <v>39</v>
      </c>
      <c r="M82">
        <f t="shared" si="48"/>
        <v>39</v>
      </c>
      <c r="N82" t="s">
        <v>209</v>
      </c>
      <c r="O82">
        <v>53</v>
      </c>
      <c r="P82">
        <f>16.35117682*1.059464^O82</f>
        <v>349.23506143398839</v>
      </c>
      <c r="Q82">
        <f t="shared" si="49"/>
        <v>39</v>
      </c>
      <c r="R82" t="s">
        <v>318</v>
      </c>
      <c r="S82">
        <v>41</v>
      </c>
      <c r="T82">
        <f>16.35117682*1.059464^S82</f>
        <v>174.61573954711864</v>
      </c>
      <c r="V82">
        <v>61.5</v>
      </c>
      <c r="W82" t="s">
        <v>268</v>
      </c>
      <c r="X82">
        <v>55</v>
      </c>
      <c r="Y82">
        <f t="shared" si="59"/>
        <v>392.00377257605692</v>
      </c>
      <c r="Z82">
        <f t="shared" si="50"/>
        <v>5</v>
      </c>
      <c r="AA82">
        <v>61.5</v>
      </c>
      <c r="AF82">
        <v>61.5</v>
      </c>
      <c r="AK82">
        <v>63</v>
      </c>
      <c r="AL82" t="s">
        <v>209</v>
      </c>
      <c r="AM82">
        <v>53</v>
      </c>
      <c r="AN82">
        <f>16.35117682*1.059464^AM82</f>
        <v>349.23506143398839</v>
      </c>
      <c r="AO82">
        <f t="shared" si="52"/>
        <v>5</v>
      </c>
      <c r="AP82">
        <v>63</v>
      </c>
    </row>
    <row r="83" spans="1:42" x14ac:dyDescent="0.2">
      <c r="A83">
        <f t="shared" si="45"/>
        <v>39.5</v>
      </c>
      <c r="E83">
        <f t="shared" si="46"/>
        <v>39.5</v>
      </c>
      <c r="I83">
        <f t="shared" si="47"/>
        <v>39.5</v>
      </c>
      <c r="M83">
        <f t="shared" si="48"/>
        <v>39.5</v>
      </c>
      <c r="Q83">
        <f t="shared" si="49"/>
        <v>39.5</v>
      </c>
      <c r="V83">
        <v>62</v>
      </c>
      <c r="W83" t="s">
        <v>269</v>
      </c>
      <c r="X83">
        <v>50</v>
      </c>
      <c r="Y83">
        <f t="shared" si="59"/>
        <v>293.66975814369101</v>
      </c>
      <c r="Z83">
        <f t="shared" si="50"/>
        <v>5</v>
      </c>
      <c r="AA83">
        <v>62</v>
      </c>
      <c r="AF83">
        <v>62</v>
      </c>
      <c r="AK83">
        <v>64</v>
      </c>
      <c r="AL83" t="s">
        <v>323</v>
      </c>
      <c r="AM83">
        <v>48</v>
      </c>
      <c r="AN83">
        <f t="shared" ref="AN83:AN91" si="60">16.35117682*1.059464^AM83</f>
        <v>261.62956379894968</v>
      </c>
      <c r="AO83">
        <f t="shared" si="52"/>
        <v>5</v>
      </c>
      <c r="AP83">
        <v>64</v>
      </c>
    </row>
    <row r="84" spans="1:42" x14ac:dyDescent="0.2">
      <c r="A84">
        <f t="shared" si="45"/>
        <v>40</v>
      </c>
      <c r="B84" t="s">
        <v>372</v>
      </c>
      <c r="C84">
        <v>62</v>
      </c>
      <c r="D84">
        <f>16.35117682*1.059464^C84</f>
        <v>587.34554108704231</v>
      </c>
      <c r="E84">
        <f t="shared" si="46"/>
        <v>40</v>
      </c>
      <c r="F84" t="s">
        <v>267</v>
      </c>
      <c r="G84">
        <v>50</v>
      </c>
      <c r="H84">
        <f>16.35117682*1.059464^G84</f>
        <v>293.66975814369101</v>
      </c>
      <c r="I84">
        <f t="shared" si="47"/>
        <v>40</v>
      </c>
      <c r="M84">
        <f t="shared" si="48"/>
        <v>40</v>
      </c>
      <c r="N84" t="s">
        <v>361</v>
      </c>
      <c r="O84">
        <v>48</v>
      </c>
      <c r="P84">
        <f>16.35117682*1.059464^O84</f>
        <v>261.62956379894968</v>
      </c>
      <c r="Q84">
        <f t="shared" si="49"/>
        <v>40</v>
      </c>
      <c r="R84" t="s">
        <v>488</v>
      </c>
      <c r="S84">
        <v>36</v>
      </c>
      <c r="T84">
        <f>16.35117682*1.059464^S84</f>
        <v>130.81344004395982</v>
      </c>
      <c r="V84">
        <v>63</v>
      </c>
      <c r="W84" t="s">
        <v>23</v>
      </c>
      <c r="X84">
        <v>55</v>
      </c>
      <c r="Y84">
        <f>16.35117682*1.059464^X84</f>
        <v>392.00377257605692</v>
      </c>
      <c r="Z84">
        <f t="shared" si="50"/>
        <v>5</v>
      </c>
      <c r="AA84">
        <v>63</v>
      </c>
      <c r="AF84">
        <v>63</v>
      </c>
      <c r="AK84">
        <v>64.5</v>
      </c>
      <c r="AL84" t="s">
        <v>223</v>
      </c>
      <c r="AM84">
        <v>50</v>
      </c>
      <c r="AN84">
        <f t="shared" si="60"/>
        <v>293.66975814369101</v>
      </c>
      <c r="AO84">
        <f t="shared" si="52"/>
        <v>2</v>
      </c>
      <c r="AP84">
        <v>64.5</v>
      </c>
    </row>
    <row r="85" spans="1:42" x14ac:dyDescent="0.2">
      <c r="A85">
        <f t="shared" si="45"/>
        <v>40.5</v>
      </c>
      <c r="E85">
        <f t="shared" si="46"/>
        <v>40.5</v>
      </c>
      <c r="I85">
        <f t="shared" si="47"/>
        <v>40.5</v>
      </c>
      <c r="M85">
        <f t="shared" si="48"/>
        <v>40.5</v>
      </c>
      <c r="Q85">
        <f t="shared" si="49"/>
        <v>40.5</v>
      </c>
      <c r="V85">
        <v>64</v>
      </c>
      <c r="W85" t="s">
        <v>223</v>
      </c>
      <c r="X85">
        <v>50</v>
      </c>
      <c r="Y85">
        <f t="shared" ref="Y85:Y93" si="61">16.35117682*1.059464^X85</f>
        <v>293.66975814369101</v>
      </c>
      <c r="Z85">
        <f t="shared" si="50"/>
        <v>5</v>
      </c>
      <c r="AA85">
        <v>64</v>
      </c>
      <c r="AF85">
        <v>64</v>
      </c>
      <c r="AK85">
        <v>65</v>
      </c>
      <c r="AL85" t="s">
        <v>222</v>
      </c>
      <c r="AM85">
        <v>51</v>
      </c>
      <c r="AN85">
        <f t="shared" si="60"/>
        <v>311.13253664194741</v>
      </c>
      <c r="AO85">
        <f t="shared" si="52"/>
        <v>1</v>
      </c>
      <c r="AP85">
        <v>65</v>
      </c>
    </row>
    <row r="86" spans="1:42" x14ac:dyDescent="0.2">
      <c r="A86">
        <f t="shared" si="45"/>
        <v>41</v>
      </c>
      <c r="E86">
        <f t="shared" si="46"/>
        <v>41</v>
      </c>
      <c r="I86">
        <f t="shared" si="47"/>
        <v>41</v>
      </c>
      <c r="M86">
        <f t="shared" si="48"/>
        <v>41</v>
      </c>
      <c r="Q86">
        <f t="shared" si="49"/>
        <v>41</v>
      </c>
      <c r="V86">
        <v>64.5</v>
      </c>
      <c r="W86" t="s">
        <v>222</v>
      </c>
      <c r="X86">
        <v>51</v>
      </c>
      <c r="Y86">
        <f t="shared" si="61"/>
        <v>311.13253664194741</v>
      </c>
      <c r="Z86">
        <f t="shared" si="50"/>
        <v>1</v>
      </c>
      <c r="AA86">
        <v>64.5</v>
      </c>
      <c r="AF86">
        <v>64.5</v>
      </c>
      <c r="AK86">
        <v>65.5</v>
      </c>
      <c r="AL86" t="s">
        <v>308</v>
      </c>
      <c r="AM86">
        <v>53</v>
      </c>
      <c r="AN86">
        <f t="shared" si="60"/>
        <v>349.23506143398839</v>
      </c>
      <c r="AO86">
        <f t="shared" si="52"/>
        <v>2</v>
      </c>
      <c r="AP86">
        <v>65.5</v>
      </c>
    </row>
    <row r="87" spans="1:42" x14ac:dyDescent="0.2">
      <c r="A87">
        <f t="shared" si="45"/>
        <v>41.5</v>
      </c>
      <c r="B87" t="s">
        <v>371</v>
      </c>
      <c r="C87">
        <v>67</v>
      </c>
      <c r="D87">
        <f>16.35117682*1.059464^C87</f>
        <v>784.01558732918636</v>
      </c>
      <c r="E87">
        <f t="shared" si="46"/>
        <v>41.5</v>
      </c>
      <c r="F87" t="s">
        <v>362</v>
      </c>
      <c r="G87">
        <v>55</v>
      </c>
      <c r="H87">
        <f>16.35117682*1.059464^G87</f>
        <v>392.00377257605692</v>
      </c>
      <c r="I87">
        <f t="shared" si="47"/>
        <v>41.5</v>
      </c>
      <c r="M87">
        <f t="shared" si="48"/>
        <v>41.5</v>
      </c>
      <c r="N87" t="s">
        <v>209</v>
      </c>
      <c r="O87">
        <v>53</v>
      </c>
      <c r="P87">
        <f>16.35117682*1.059464^O87</f>
        <v>349.23506143398839</v>
      </c>
      <c r="Q87">
        <f t="shared" si="49"/>
        <v>41.5</v>
      </c>
      <c r="R87" t="s">
        <v>318</v>
      </c>
      <c r="S87">
        <v>41</v>
      </c>
      <c r="T87">
        <f>16.35117682*1.059464^S87</f>
        <v>174.61573954711864</v>
      </c>
      <c r="V87">
        <v>65</v>
      </c>
      <c r="W87" t="s">
        <v>308</v>
      </c>
      <c r="X87">
        <v>53</v>
      </c>
      <c r="Y87">
        <f t="shared" si="61"/>
        <v>349.23506143398839</v>
      </c>
      <c r="Z87">
        <f t="shared" si="50"/>
        <v>2</v>
      </c>
      <c r="AA87">
        <v>65</v>
      </c>
      <c r="AF87">
        <v>65</v>
      </c>
      <c r="AK87">
        <v>66</v>
      </c>
      <c r="AL87" t="s">
        <v>222</v>
      </c>
      <c r="AM87">
        <v>51</v>
      </c>
      <c r="AN87">
        <f t="shared" si="60"/>
        <v>311.13253664194741</v>
      </c>
      <c r="AO87">
        <f t="shared" si="52"/>
        <v>2</v>
      </c>
      <c r="AP87">
        <v>66</v>
      </c>
    </row>
    <row r="88" spans="1:42" x14ac:dyDescent="0.2">
      <c r="A88">
        <f t="shared" si="45"/>
        <v>42</v>
      </c>
      <c r="B88" t="s">
        <v>259</v>
      </c>
      <c r="C88">
        <v>62</v>
      </c>
      <c r="D88">
        <f>16.35117682*1.059464^C88</f>
        <v>587.34554108704231</v>
      </c>
      <c r="E88">
        <f t="shared" si="46"/>
        <v>42</v>
      </c>
      <c r="F88" t="s">
        <v>365</v>
      </c>
      <c r="G88">
        <v>50</v>
      </c>
      <c r="H88">
        <f>16.35117682*1.059464^G88</f>
        <v>293.66975814369101</v>
      </c>
      <c r="I88">
        <f t="shared" si="47"/>
        <v>42</v>
      </c>
      <c r="M88">
        <f t="shared" si="48"/>
        <v>42</v>
      </c>
      <c r="N88" t="s">
        <v>366</v>
      </c>
      <c r="O88">
        <v>48</v>
      </c>
      <c r="P88">
        <f>16.35117682*1.059464^O88</f>
        <v>261.62956379894968</v>
      </c>
      <c r="Q88">
        <f t="shared" si="49"/>
        <v>42</v>
      </c>
      <c r="R88" t="s">
        <v>80</v>
      </c>
      <c r="S88">
        <v>36</v>
      </c>
      <c r="T88">
        <f>16.35117682*1.059464^S88</f>
        <v>130.81344004395982</v>
      </c>
      <c r="V88">
        <v>65.5</v>
      </c>
      <c r="W88" t="s">
        <v>23</v>
      </c>
      <c r="X88">
        <v>55</v>
      </c>
      <c r="Y88">
        <f t="shared" si="61"/>
        <v>392.00377257605692</v>
      </c>
      <c r="Z88">
        <f>ABS(X88-X87)</f>
        <v>2</v>
      </c>
      <c r="AA88">
        <v>65.5</v>
      </c>
      <c r="AF88">
        <v>65.5</v>
      </c>
      <c r="AK88">
        <v>66.5</v>
      </c>
      <c r="AL88" t="s">
        <v>223</v>
      </c>
      <c r="AM88">
        <v>50</v>
      </c>
      <c r="AN88">
        <f t="shared" si="60"/>
        <v>293.66975814369101</v>
      </c>
      <c r="AO88">
        <f>ABS(AM88-AM87)</f>
        <v>1</v>
      </c>
      <c r="AP88">
        <v>66.5</v>
      </c>
    </row>
    <row r="89" spans="1:42" x14ac:dyDescent="0.2">
      <c r="A89">
        <f t="shared" si="45"/>
        <v>42.5</v>
      </c>
      <c r="E89">
        <f t="shared" si="46"/>
        <v>42.5</v>
      </c>
      <c r="I89">
        <f t="shared" si="47"/>
        <v>42.5</v>
      </c>
      <c r="M89">
        <f t="shared" si="48"/>
        <v>42.5</v>
      </c>
      <c r="Q89">
        <f t="shared" si="49"/>
        <v>42.5</v>
      </c>
      <c r="V89">
        <v>66</v>
      </c>
      <c r="W89" t="s">
        <v>209</v>
      </c>
      <c r="X89">
        <v>53</v>
      </c>
      <c r="Y89">
        <f t="shared" si="61"/>
        <v>349.23506143398839</v>
      </c>
      <c r="Z89">
        <f>ABS(X89-X88)</f>
        <v>2</v>
      </c>
      <c r="AA89">
        <v>66</v>
      </c>
      <c r="AF89">
        <v>66</v>
      </c>
      <c r="AK89">
        <v>67</v>
      </c>
      <c r="AL89" t="s">
        <v>323</v>
      </c>
      <c r="AM89">
        <v>48</v>
      </c>
      <c r="AN89">
        <f t="shared" si="60"/>
        <v>261.62956379894968</v>
      </c>
      <c r="AO89">
        <f>ABS(AM89-AM88)</f>
        <v>2</v>
      </c>
      <c r="AP89">
        <v>67</v>
      </c>
    </row>
    <row r="90" spans="1:42" x14ac:dyDescent="0.2">
      <c r="A90">
        <f t="shared" si="45"/>
        <v>43</v>
      </c>
      <c r="E90">
        <f t="shared" si="46"/>
        <v>43</v>
      </c>
      <c r="I90">
        <f t="shared" si="47"/>
        <v>43</v>
      </c>
      <c r="M90">
        <f t="shared" si="48"/>
        <v>43</v>
      </c>
      <c r="Q90">
        <f t="shared" si="49"/>
        <v>43</v>
      </c>
      <c r="V90">
        <v>66.5</v>
      </c>
      <c r="W90" t="s">
        <v>210</v>
      </c>
      <c r="X90">
        <v>51</v>
      </c>
      <c r="Y90">
        <f t="shared" si="61"/>
        <v>311.13253664194741</v>
      </c>
      <c r="Z90">
        <f t="shared" ref="Z90:Z108" si="62">ABS(X90-X89)</f>
        <v>2</v>
      </c>
      <c r="AA90">
        <v>66.5</v>
      </c>
      <c r="AF90">
        <v>66.5</v>
      </c>
      <c r="AK90">
        <v>67.5</v>
      </c>
      <c r="AL90" t="s">
        <v>212</v>
      </c>
      <c r="AM90">
        <v>46</v>
      </c>
      <c r="AN90">
        <f t="shared" si="60"/>
        <v>233.08504452861115</v>
      </c>
      <c r="AO90">
        <f t="shared" ref="AO90:AO108" si="63">ABS(AM90-AM89)</f>
        <v>2</v>
      </c>
      <c r="AP90">
        <v>67.5</v>
      </c>
    </row>
    <row r="91" spans="1:42" x14ac:dyDescent="0.2">
      <c r="A91">
        <f t="shared" si="45"/>
        <v>43.5</v>
      </c>
      <c r="B91" t="s">
        <v>371</v>
      </c>
      <c r="C91">
        <v>67</v>
      </c>
      <c r="D91">
        <f t="shared" ref="D91:D96" si="64">16.35117682*1.059464^C91</f>
        <v>784.01558732918636</v>
      </c>
      <c r="E91">
        <f t="shared" si="46"/>
        <v>43.5</v>
      </c>
      <c r="F91" t="s">
        <v>362</v>
      </c>
      <c r="G91">
        <v>55</v>
      </c>
      <c r="H91">
        <f t="shared" ref="H91:H96" si="65">16.35117682*1.059464^G91</f>
        <v>392.00377257605692</v>
      </c>
      <c r="I91">
        <f t="shared" si="47"/>
        <v>43.5</v>
      </c>
      <c r="M91">
        <f t="shared" si="48"/>
        <v>43.5</v>
      </c>
      <c r="N91" t="s">
        <v>363</v>
      </c>
      <c r="O91">
        <v>53</v>
      </c>
      <c r="P91">
        <f t="shared" ref="P91:P96" si="66">16.35117682*1.059464^O91</f>
        <v>349.23506143398839</v>
      </c>
      <c r="Q91">
        <f t="shared" si="49"/>
        <v>43.5</v>
      </c>
      <c r="R91" t="s">
        <v>318</v>
      </c>
      <c r="S91">
        <v>41</v>
      </c>
      <c r="T91">
        <f t="shared" ref="T91:T96" si="67">16.35117682*1.059464^S91</f>
        <v>174.61573954711864</v>
      </c>
      <c r="V91">
        <v>67</v>
      </c>
      <c r="W91" t="s">
        <v>223</v>
      </c>
      <c r="X91">
        <v>50</v>
      </c>
      <c r="Y91">
        <f t="shared" si="61"/>
        <v>293.66975814369101</v>
      </c>
      <c r="Z91">
        <f t="shared" si="62"/>
        <v>1</v>
      </c>
      <c r="AA91">
        <v>67</v>
      </c>
      <c r="AF91">
        <v>67</v>
      </c>
      <c r="AK91">
        <v>68</v>
      </c>
      <c r="AL91" t="s">
        <v>323</v>
      </c>
      <c r="AM91">
        <v>48</v>
      </c>
      <c r="AN91">
        <f t="shared" si="60"/>
        <v>261.62956379894968</v>
      </c>
      <c r="AO91">
        <f t="shared" si="63"/>
        <v>2</v>
      </c>
      <c r="AP91">
        <v>68</v>
      </c>
    </row>
    <row r="92" spans="1:42" x14ac:dyDescent="0.2">
      <c r="A92">
        <f t="shared" si="45"/>
        <v>44</v>
      </c>
      <c r="B92" t="s">
        <v>372</v>
      </c>
      <c r="C92">
        <v>62</v>
      </c>
      <c r="D92">
        <f t="shared" si="64"/>
        <v>587.34554108704231</v>
      </c>
      <c r="E92">
        <f t="shared" si="46"/>
        <v>44</v>
      </c>
      <c r="F92" t="s">
        <v>365</v>
      </c>
      <c r="G92">
        <v>50</v>
      </c>
      <c r="H92">
        <f t="shared" si="65"/>
        <v>293.66975814369101</v>
      </c>
      <c r="I92">
        <f t="shared" si="47"/>
        <v>44</v>
      </c>
      <c r="M92">
        <f t="shared" si="48"/>
        <v>44</v>
      </c>
      <c r="N92" t="s">
        <v>366</v>
      </c>
      <c r="O92">
        <v>48</v>
      </c>
      <c r="P92">
        <f t="shared" si="66"/>
        <v>261.62956379894968</v>
      </c>
      <c r="Q92">
        <f t="shared" si="49"/>
        <v>44</v>
      </c>
      <c r="R92" t="s">
        <v>80</v>
      </c>
      <c r="S92">
        <v>36</v>
      </c>
      <c r="T92">
        <f t="shared" si="67"/>
        <v>130.81344004395982</v>
      </c>
      <c r="V92">
        <v>67.5</v>
      </c>
      <c r="W92" t="s">
        <v>323</v>
      </c>
      <c r="X92">
        <v>48</v>
      </c>
      <c r="Y92">
        <f t="shared" si="61"/>
        <v>261.62956379894968</v>
      </c>
      <c r="Z92">
        <f t="shared" si="62"/>
        <v>2</v>
      </c>
      <c r="AA92">
        <v>67.5</v>
      </c>
      <c r="AF92">
        <v>67.5</v>
      </c>
      <c r="AK92">
        <v>69</v>
      </c>
      <c r="AL92" t="s">
        <v>444</v>
      </c>
      <c r="AM92">
        <v>43</v>
      </c>
      <c r="AN92">
        <f t="shared" ref="AN92:AN112" si="68">16.35117682*1.059464^AM92</f>
        <v>195.99987576438383</v>
      </c>
      <c r="AO92">
        <f t="shared" si="63"/>
        <v>5</v>
      </c>
      <c r="AP92">
        <v>69</v>
      </c>
    </row>
    <row r="93" spans="1:42" x14ac:dyDescent="0.2">
      <c r="A93">
        <f t="shared" si="45"/>
        <v>44.5</v>
      </c>
      <c r="B93" t="s">
        <v>371</v>
      </c>
      <c r="C93">
        <v>67</v>
      </c>
      <c r="D93">
        <f t="shared" si="64"/>
        <v>784.01558732918636</v>
      </c>
      <c r="E93">
        <f t="shared" si="46"/>
        <v>44.5</v>
      </c>
      <c r="F93" t="s">
        <v>362</v>
      </c>
      <c r="G93">
        <v>55</v>
      </c>
      <c r="H93">
        <f t="shared" si="65"/>
        <v>392.00377257605692</v>
      </c>
      <c r="I93">
        <f t="shared" si="47"/>
        <v>44.5</v>
      </c>
      <c r="M93">
        <f t="shared" si="48"/>
        <v>44.5</v>
      </c>
      <c r="N93" t="s">
        <v>363</v>
      </c>
      <c r="O93">
        <v>53</v>
      </c>
      <c r="P93">
        <f t="shared" si="66"/>
        <v>349.23506143398839</v>
      </c>
      <c r="Q93">
        <f t="shared" si="49"/>
        <v>44.5</v>
      </c>
      <c r="R93" t="s">
        <v>318</v>
      </c>
      <c r="S93">
        <v>41</v>
      </c>
      <c r="T93">
        <f t="shared" si="67"/>
        <v>174.61573954711864</v>
      </c>
      <c r="V93">
        <v>68</v>
      </c>
      <c r="W93" t="s">
        <v>223</v>
      </c>
      <c r="X93">
        <v>50</v>
      </c>
      <c r="Y93">
        <f t="shared" si="61"/>
        <v>293.66975814369101</v>
      </c>
      <c r="Z93">
        <f t="shared" si="62"/>
        <v>2</v>
      </c>
      <c r="AA93">
        <v>68</v>
      </c>
      <c r="AF93">
        <v>68</v>
      </c>
      <c r="AK93">
        <v>70</v>
      </c>
      <c r="AL93" t="s">
        <v>444</v>
      </c>
      <c r="AM93">
        <v>43</v>
      </c>
      <c r="AN93">
        <f t="shared" si="68"/>
        <v>195.99987576438383</v>
      </c>
      <c r="AO93">
        <f t="shared" si="63"/>
        <v>0</v>
      </c>
      <c r="AP93">
        <v>70</v>
      </c>
    </row>
    <row r="94" spans="1:42" x14ac:dyDescent="0.2">
      <c r="A94">
        <f t="shared" si="45"/>
        <v>45</v>
      </c>
      <c r="B94" t="s">
        <v>259</v>
      </c>
      <c r="C94">
        <v>62</v>
      </c>
      <c r="D94">
        <f t="shared" si="64"/>
        <v>587.34554108704231</v>
      </c>
      <c r="E94">
        <f t="shared" si="46"/>
        <v>45</v>
      </c>
      <c r="F94" t="s">
        <v>365</v>
      </c>
      <c r="G94">
        <v>50</v>
      </c>
      <c r="H94">
        <f t="shared" si="65"/>
        <v>293.66975814369101</v>
      </c>
      <c r="I94">
        <f t="shared" si="47"/>
        <v>45</v>
      </c>
      <c r="M94">
        <f t="shared" si="48"/>
        <v>45</v>
      </c>
      <c r="N94" t="s">
        <v>366</v>
      </c>
      <c r="O94">
        <v>48</v>
      </c>
      <c r="P94">
        <f t="shared" si="66"/>
        <v>261.62956379894968</v>
      </c>
      <c r="Q94">
        <f t="shared" si="49"/>
        <v>45</v>
      </c>
      <c r="R94" t="s">
        <v>80</v>
      </c>
      <c r="S94">
        <v>36</v>
      </c>
      <c r="T94">
        <f t="shared" si="67"/>
        <v>130.81344004395982</v>
      </c>
      <c r="V94">
        <v>69</v>
      </c>
      <c r="W94" t="s">
        <v>252</v>
      </c>
      <c r="X94">
        <v>44</v>
      </c>
      <c r="Y94">
        <f t="shared" ref="Y94:Y115" si="69">16.35117682*1.059464^X94</f>
        <v>207.65481237683719</v>
      </c>
      <c r="Z94">
        <f t="shared" si="62"/>
        <v>6</v>
      </c>
      <c r="AA94">
        <v>69</v>
      </c>
      <c r="AF94">
        <v>69</v>
      </c>
      <c r="AK94">
        <v>72</v>
      </c>
      <c r="AL94" t="s">
        <v>80</v>
      </c>
      <c r="AM94">
        <v>36</v>
      </c>
      <c r="AN94">
        <f t="shared" si="68"/>
        <v>130.81344004395982</v>
      </c>
      <c r="AO94">
        <f t="shared" si="63"/>
        <v>7</v>
      </c>
      <c r="AP94">
        <v>72</v>
      </c>
    </row>
    <row r="95" spans="1:42" x14ac:dyDescent="0.2">
      <c r="A95">
        <f t="shared" si="45"/>
        <v>45.5</v>
      </c>
      <c r="B95" t="s">
        <v>260</v>
      </c>
      <c r="C95">
        <v>67</v>
      </c>
      <c r="D95">
        <f t="shared" si="64"/>
        <v>784.01558732918636</v>
      </c>
      <c r="E95">
        <f t="shared" si="46"/>
        <v>45.5</v>
      </c>
      <c r="F95" t="s">
        <v>362</v>
      </c>
      <c r="G95">
        <v>55</v>
      </c>
      <c r="H95">
        <f t="shared" si="65"/>
        <v>392.00377257605692</v>
      </c>
      <c r="I95">
        <f t="shared" si="47"/>
        <v>45.5</v>
      </c>
      <c r="M95">
        <f t="shared" si="48"/>
        <v>45.5</v>
      </c>
      <c r="N95" t="s">
        <v>363</v>
      </c>
      <c r="O95">
        <v>53</v>
      </c>
      <c r="P95">
        <f t="shared" si="66"/>
        <v>349.23506143398839</v>
      </c>
      <c r="Q95">
        <f t="shared" si="49"/>
        <v>45.5</v>
      </c>
      <c r="R95" t="s">
        <v>318</v>
      </c>
      <c r="S95">
        <v>41</v>
      </c>
      <c r="T95">
        <f t="shared" si="67"/>
        <v>174.61573954711864</v>
      </c>
      <c r="V95">
        <v>70</v>
      </c>
      <c r="W95" t="s">
        <v>252</v>
      </c>
      <c r="X95">
        <v>44</v>
      </c>
      <c r="Y95">
        <f t="shared" si="69"/>
        <v>207.65481237683719</v>
      </c>
      <c r="Z95">
        <f t="shared" si="62"/>
        <v>0</v>
      </c>
      <c r="AA95">
        <v>70</v>
      </c>
      <c r="AF95">
        <v>70</v>
      </c>
      <c r="AK95">
        <v>73</v>
      </c>
      <c r="AL95" t="s">
        <v>80</v>
      </c>
      <c r="AM95">
        <v>36</v>
      </c>
      <c r="AN95">
        <f t="shared" si="68"/>
        <v>130.81344004395982</v>
      </c>
      <c r="AO95">
        <f t="shared" si="63"/>
        <v>0</v>
      </c>
      <c r="AP95">
        <v>73</v>
      </c>
    </row>
    <row r="96" spans="1:42" x14ac:dyDescent="0.2">
      <c r="A96">
        <f t="shared" si="45"/>
        <v>46</v>
      </c>
      <c r="B96" t="s">
        <v>372</v>
      </c>
      <c r="C96">
        <v>62</v>
      </c>
      <c r="D96">
        <f t="shared" si="64"/>
        <v>587.34554108704231</v>
      </c>
      <c r="E96">
        <f t="shared" si="46"/>
        <v>46</v>
      </c>
      <c r="F96" t="s">
        <v>365</v>
      </c>
      <c r="G96">
        <v>50</v>
      </c>
      <c r="H96">
        <f t="shared" si="65"/>
        <v>293.66975814369101</v>
      </c>
      <c r="I96">
        <f t="shared" si="47"/>
        <v>46</v>
      </c>
      <c r="M96">
        <f t="shared" si="48"/>
        <v>46</v>
      </c>
      <c r="N96" t="s">
        <v>366</v>
      </c>
      <c r="O96">
        <v>48</v>
      </c>
      <c r="P96">
        <f t="shared" si="66"/>
        <v>261.62956379894968</v>
      </c>
      <c r="Q96">
        <f t="shared" si="49"/>
        <v>46</v>
      </c>
      <c r="R96" t="s">
        <v>80</v>
      </c>
      <c r="S96">
        <v>36</v>
      </c>
      <c r="T96">
        <f t="shared" si="67"/>
        <v>130.81344004395982</v>
      </c>
      <c r="V96">
        <v>71</v>
      </c>
      <c r="W96" t="s">
        <v>211</v>
      </c>
      <c r="X96">
        <v>50</v>
      </c>
      <c r="Y96">
        <f t="shared" si="69"/>
        <v>293.66975814369101</v>
      </c>
      <c r="Z96">
        <f t="shared" si="62"/>
        <v>6</v>
      </c>
      <c r="AA96">
        <v>71</v>
      </c>
      <c r="AF96">
        <v>71</v>
      </c>
      <c r="AK96">
        <v>73.5</v>
      </c>
      <c r="AL96" t="s">
        <v>81</v>
      </c>
      <c r="AM96">
        <v>34</v>
      </c>
      <c r="AN96">
        <f t="shared" si="68"/>
        <v>116.54132680899107</v>
      </c>
      <c r="AO96">
        <f t="shared" si="63"/>
        <v>2</v>
      </c>
      <c r="AP96">
        <v>73.5</v>
      </c>
    </row>
    <row r="97" spans="1:46" x14ac:dyDescent="0.2">
      <c r="A97">
        <f t="shared" si="45"/>
        <v>46.5</v>
      </c>
      <c r="E97">
        <f t="shared" si="46"/>
        <v>46.5</v>
      </c>
      <c r="I97">
        <f t="shared" si="47"/>
        <v>46.5</v>
      </c>
      <c r="M97">
        <f t="shared" si="48"/>
        <v>46.5</v>
      </c>
      <c r="Q97">
        <f t="shared" si="49"/>
        <v>46.5</v>
      </c>
      <c r="V97">
        <v>72</v>
      </c>
      <c r="W97" t="s">
        <v>323</v>
      </c>
      <c r="X97">
        <v>48</v>
      </c>
      <c r="Y97">
        <f t="shared" si="69"/>
        <v>261.62956379894968</v>
      </c>
      <c r="Z97">
        <f t="shared" si="62"/>
        <v>2</v>
      </c>
      <c r="AA97">
        <v>72</v>
      </c>
      <c r="AF97">
        <v>72</v>
      </c>
      <c r="AK97">
        <v>74</v>
      </c>
      <c r="AL97" t="s">
        <v>80</v>
      </c>
      <c r="AM97">
        <v>36</v>
      </c>
      <c r="AN97">
        <f t="shared" si="68"/>
        <v>130.81344004395982</v>
      </c>
      <c r="AO97">
        <f t="shared" si="63"/>
        <v>2</v>
      </c>
      <c r="AP97">
        <v>74</v>
      </c>
    </row>
    <row r="98" spans="1:46" x14ac:dyDescent="0.2">
      <c r="A98">
        <f t="shared" si="45"/>
        <v>47</v>
      </c>
      <c r="B98" t="s">
        <v>371</v>
      </c>
      <c r="C98">
        <v>67</v>
      </c>
      <c r="D98">
        <f>16.35117682*1.059464^C98</f>
        <v>784.01558732918636</v>
      </c>
      <c r="E98">
        <f t="shared" si="46"/>
        <v>47</v>
      </c>
      <c r="F98" t="s">
        <v>362</v>
      </c>
      <c r="G98">
        <v>55</v>
      </c>
      <c r="H98">
        <f>16.35117682*1.059464^G98</f>
        <v>392.00377257605692</v>
      </c>
      <c r="I98">
        <f t="shared" si="47"/>
        <v>47</v>
      </c>
      <c r="M98">
        <f t="shared" si="48"/>
        <v>47</v>
      </c>
      <c r="N98" t="s">
        <v>363</v>
      </c>
      <c r="O98">
        <v>53</v>
      </c>
      <c r="P98">
        <f>16.35117682*1.059464^O98</f>
        <v>349.23506143398839</v>
      </c>
      <c r="Q98">
        <f t="shared" si="49"/>
        <v>47</v>
      </c>
      <c r="R98" t="s">
        <v>319</v>
      </c>
      <c r="S98">
        <v>41</v>
      </c>
      <c r="T98">
        <f>16.35117682*1.059464^S98</f>
        <v>174.61573954711864</v>
      </c>
      <c r="V98">
        <v>73</v>
      </c>
      <c r="W98" t="s">
        <v>323</v>
      </c>
      <c r="X98">
        <v>48</v>
      </c>
      <c r="Y98">
        <f t="shared" si="69"/>
        <v>261.62956379894968</v>
      </c>
      <c r="Z98">
        <f t="shared" si="62"/>
        <v>0</v>
      </c>
      <c r="AA98">
        <v>73</v>
      </c>
      <c r="AF98">
        <v>73</v>
      </c>
      <c r="AK98">
        <v>75</v>
      </c>
      <c r="AL98" t="s">
        <v>485</v>
      </c>
      <c r="AM98">
        <v>39</v>
      </c>
      <c r="AN98">
        <f t="shared" si="68"/>
        <v>155.56467257275574</v>
      </c>
      <c r="AO98">
        <f t="shared" si="63"/>
        <v>3</v>
      </c>
      <c r="AP98">
        <v>75</v>
      </c>
      <c r="AQ98" t="s">
        <v>312</v>
      </c>
      <c r="AR98">
        <v>29</v>
      </c>
      <c r="AS98">
        <f t="shared" ref="AS98:AS103" si="70">16.35117682*1.059464^AR98</f>
        <v>87.306974197808145</v>
      </c>
      <c r="AT98">
        <f>ABS(AR98-AM97)</f>
        <v>7</v>
      </c>
    </row>
    <row r="99" spans="1:46" x14ac:dyDescent="0.2">
      <c r="A99">
        <f t="shared" si="45"/>
        <v>47.5</v>
      </c>
      <c r="E99">
        <f t="shared" si="46"/>
        <v>47.5</v>
      </c>
      <c r="I99">
        <f t="shared" si="47"/>
        <v>47.5</v>
      </c>
      <c r="M99">
        <f t="shared" si="48"/>
        <v>47.5</v>
      </c>
      <c r="Q99">
        <f t="shared" si="49"/>
        <v>47.5</v>
      </c>
      <c r="V99">
        <v>73.5</v>
      </c>
      <c r="W99" t="s">
        <v>325</v>
      </c>
      <c r="X99">
        <v>46</v>
      </c>
      <c r="Y99">
        <f t="shared" si="69"/>
        <v>233.08504452861115</v>
      </c>
      <c r="Z99">
        <f t="shared" si="62"/>
        <v>2</v>
      </c>
      <c r="AA99">
        <v>73.5</v>
      </c>
      <c r="AF99">
        <v>73.5</v>
      </c>
      <c r="AK99">
        <v>76</v>
      </c>
      <c r="AL99" t="s">
        <v>82</v>
      </c>
      <c r="AM99">
        <v>38</v>
      </c>
      <c r="AN99">
        <f t="shared" si="68"/>
        <v>146.83337288738056</v>
      </c>
      <c r="AO99">
        <f t="shared" si="63"/>
        <v>1</v>
      </c>
      <c r="AP99">
        <v>76</v>
      </c>
      <c r="AQ99" t="s">
        <v>85</v>
      </c>
      <c r="AR99">
        <v>34</v>
      </c>
      <c r="AS99">
        <f t="shared" si="70"/>
        <v>116.54132680899107</v>
      </c>
      <c r="AT99">
        <f t="shared" ref="AT99:AT108" si="71">ABS(AR99-AR98)</f>
        <v>5</v>
      </c>
    </row>
    <row r="100" spans="1:46" x14ac:dyDescent="0.2">
      <c r="A100">
        <f t="shared" si="45"/>
        <v>48</v>
      </c>
      <c r="B100" t="s">
        <v>372</v>
      </c>
      <c r="C100">
        <v>62</v>
      </c>
      <c r="D100">
        <f t="shared" ref="D100:D108" si="72">16.35117682*1.059464^C100</f>
        <v>587.34554108704231</v>
      </c>
      <c r="E100">
        <f t="shared" si="46"/>
        <v>48</v>
      </c>
      <c r="F100" t="s">
        <v>365</v>
      </c>
      <c r="G100">
        <v>50</v>
      </c>
      <c r="H100">
        <f t="shared" ref="H100:H108" si="73">16.35117682*1.059464^G100</f>
        <v>293.66975814369101</v>
      </c>
      <c r="I100">
        <f t="shared" si="47"/>
        <v>48</v>
      </c>
      <c r="M100">
        <f t="shared" si="48"/>
        <v>48</v>
      </c>
      <c r="N100" t="s">
        <v>366</v>
      </c>
      <c r="O100">
        <v>48</v>
      </c>
      <c r="P100">
        <f t="shared" ref="P100:P108" si="74">16.35117682*1.059464^O100</f>
        <v>261.62956379894968</v>
      </c>
      <c r="Q100">
        <f t="shared" si="49"/>
        <v>48</v>
      </c>
      <c r="R100" t="s">
        <v>488</v>
      </c>
      <c r="S100">
        <v>36</v>
      </c>
      <c r="T100">
        <f t="shared" ref="T100:T108" si="75">16.35117682*1.059464^S100</f>
        <v>130.81344004395982</v>
      </c>
      <c r="V100">
        <v>74</v>
      </c>
      <c r="W100" t="s">
        <v>323</v>
      </c>
      <c r="X100">
        <v>48</v>
      </c>
      <c r="Y100">
        <f t="shared" si="69"/>
        <v>261.62956379894968</v>
      </c>
      <c r="Z100">
        <f t="shared" si="62"/>
        <v>2</v>
      </c>
      <c r="AA100">
        <v>74</v>
      </c>
      <c r="AF100">
        <v>74</v>
      </c>
      <c r="AK100">
        <v>77</v>
      </c>
      <c r="AL100" t="s">
        <v>83</v>
      </c>
      <c r="AM100">
        <v>37</v>
      </c>
      <c r="AN100">
        <f t="shared" si="68"/>
        <v>138.5921304427338</v>
      </c>
      <c r="AO100">
        <f t="shared" si="63"/>
        <v>1</v>
      </c>
      <c r="AP100">
        <v>77</v>
      </c>
      <c r="AQ100" t="s">
        <v>313</v>
      </c>
      <c r="AR100">
        <v>27</v>
      </c>
      <c r="AS100">
        <f t="shared" si="70"/>
        <v>77.781538420453217</v>
      </c>
      <c r="AT100">
        <f t="shared" si="71"/>
        <v>7</v>
      </c>
    </row>
    <row r="101" spans="1:46" x14ac:dyDescent="0.2">
      <c r="A101">
        <f t="shared" si="45"/>
        <v>48.5</v>
      </c>
      <c r="B101" t="s">
        <v>261</v>
      </c>
      <c r="C101">
        <v>63</v>
      </c>
      <c r="D101">
        <f t="shared" si="72"/>
        <v>622.27145634224212</v>
      </c>
      <c r="E101">
        <f t="shared" si="46"/>
        <v>48.5</v>
      </c>
      <c r="F101" t="s">
        <v>364</v>
      </c>
      <c r="G101">
        <v>51</v>
      </c>
      <c r="H101">
        <f t="shared" si="73"/>
        <v>311.13253664194741</v>
      </c>
      <c r="I101">
        <f t="shared" si="47"/>
        <v>48.5</v>
      </c>
      <c r="M101">
        <f t="shared" si="48"/>
        <v>48.5</v>
      </c>
      <c r="N101" t="s">
        <v>365</v>
      </c>
      <c r="O101">
        <v>50</v>
      </c>
      <c r="P101">
        <f t="shared" si="74"/>
        <v>293.66975814369101</v>
      </c>
      <c r="Q101">
        <f t="shared" si="49"/>
        <v>48.5</v>
      </c>
      <c r="R101" t="s">
        <v>82</v>
      </c>
      <c r="S101">
        <v>38</v>
      </c>
      <c r="T101">
        <f t="shared" si="75"/>
        <v>146.83337288738056</v>
      </c>
      <c r="V101">
        <v>75</v>
      </c>
      <c r="W101" t="s">
        <v>23</v>
      </c>
      <c r="X101">
        <v>55</v>
      </c>
      <c r="Y101">
        <f t="shared" si="69"/>
        <v>392.00377257605692</v>
      </c>
      <c r="Z101">
        <f t="shared" si="62"/>
        <v>7</v>
      </c>
      <c r="AA101">
        <v>75</v>
      </c>
      <c r="AB101" t="s">
        <v>222</v>
      </c>
      <c r="AC101">
        <v>51</v>
      </c>
      <c r="AD101">
        <f t="shared" ref="AD101:AD106" si="76">16.35117682*1.059464^AC101</f>
        <v>311.13253664194741</v>
      </c>
      <c r="AE101">
        <f>ABS(AC101-X100)</f>
        <v>3</v>
      </c>
      <c r="AF101">
        <v>75</v>
      </c>
      <c r="AG101" t="s">
        <v>483</v>
      </c>
      <c r="AH101">
        <v>44</v>
      </c>
      <c r="AI101">
        <f t="shared" ref="AI101:AI106" si="77">16.35117682*1.059464^AH101</f>
        <v>207.65481237683719</v>
      </c>
      <c r="AJ101">
        <f>ABS(AH101-X100)</f>
        <v>4</v>
      </c>
      <c r="AK101">
        <v>78</v>
      </c>
      <c r="AL101" t="s">
        <v>488</v>
      </c>
      <c r="AM101">
        <v>36</v>
      </c>
      <c r="AN101">
        <f t="shared" si="68"/>
        <v>130.81344004395982</v>
      </c>
      <c r="AO101">
        <f t="shared" si="63"/>
        <v>1</v>
      </c>
      <c r="AP101">
        <v>78</v>
      </c>
      <c r="AQ101" t="s">
        <v>314</v>
      </c>
      <c r="AR101">
        <v>32</v>
      </c>
      <c r="AS101">
        <f t="shared" si="70"/>
        <v>103.82634116063208</v>
      </c>
      <c r="AT101">
        <f t="shared" si="71"/>
        <v>5</v>
      </c>
    </row>
    <row r="102" spans="1:46" x14ac:dyDescent="0.2">
      <c r="A102">
        <f t="shared" si="45"/>
        <v>49</v>
      </c>
      <c r="B102" t="s">
        <v>262</v>
      </c>
      <c r="C102">
        <v>65</v>
      </c>
      <c r="D102">
        <f t="shared" si="72"/>
        <v>698.47728762097279</v>
      </c>
      <c r="E102">
        <f t="shared" si="46"/>
        <v>49</v>
      </c>
      <c r="F102" t="s">
        <v>363</v>
      </c>
      <c r="G102">
        <v>53</v>
      </c>
      <c r="H102">
        <f t="shared" si="73"/>
        <v>349.23506143398839</v>
      </c>
      <c r="I102">
        <f t="shared" si="47"/>
        <v>49</v>
      </c>
      <c r="M102">
        <f t="shared" si="48"/>
        <v>49</v>
      </c>
      <c r="N102" t="s">
        <v>364</v>
      </c>
      <c r="O102">
        <v>51</v>
      </c>
      <c r="P102">
        <f t="shared" si="74"/>
        <v>311.13253664194741</v>
      </c>
      <c r="Q102">
        <f t="shared" si="49"/>
        <v>49</v>
      </c>
      <c r="R102" t="s">
        <v>369</v>
      </c>
      <c r="S102">
        <v>39</v>
      </c>
      <c r="T102">
        <f t="shared" si="75"/>
        <v>155.56467257275574</v>
      </c>
      <c r="V102">
        <v>76</v>
      </c>
      <c r="W102" t="s">
        <v>23</v>
      </c>
      <c r="X102">
        <v>55</v>
      </c>
      <c r="Y102">
        <f t="shared" si="69"/>
        <v>392.00377257605692</v>
      </c>
      <c r="Z102">
        <f t="shared" si="62"/>
        <v>0</v>
      </c>
      <c r="AA102">
        <v>76</v>
      </c>
      <c r="AB102" t="s">
        <v>223</v>
      </c>
      <c r="AC102">
        <v>50</v>
      </c>
      <c r="AD102">
        <f t="shared" si="76"/>
        <v>293.66975814369101</v>
      </c>
      <c r="AE102">
        <f t="shared" ref="AE102:AE106" si="78">ABS(AC102-AC101)</f>
        <v>1</v>
      </c>
      <c r="AF102">
        <v>76</v>
      </c>
      <c r="AG102" t="s">
        <v>483</v>
      </c>
      <c r="AH102">
        <v>44</v>
      </c>
      <c r="AI102">
        <f t="shared" si="77"/>
        <v>207.65481237683719</v>
      </c>
      <c r="AJ102">
        <f t="shared" ref="AJ102:AJ106" si="79">ABS(AH102-AH101)</f>
        <v>0</v>
      </c>
      <c r="AK102">
        <v>79</v>
      </c>
      <c r="AL102" t="s">
        <v>84</v>
      </c>
      <c r="AM102">
        <v>35</v>
      </c>
      <c r="AN102">
        <f t="shared" si="68"/>
        <v>123.4713402663609</v>
      </c>
      <c r="AO102">
        <f t="shared" si="63"/>
        <v>1</v>
      </c>
      <c r="AP102">
        <v>79</v>
      </c>
      <c r="AQ102" t="s">
        <v>315</v>
      </c>
      <c r="AR102">
        <v>31</v>
      </c>
      <c r="AS102">
        <f t="shared" si="70"/>
        <v>97.998932630681253</v>
      </c>
      <c r="AT102">
        <f t="shared" si="71"/>
        <v>1</v>
      </c>
    </row>
    <row r="103" spans="1:46" x14ac:dyDescent="0.2">
      <c r="A103">
        <f t="shared" si="45"/>
        <v>49.5</v>
      </c>
      <c r="B103" t="s">
        <v>371</v>
      </c>
      <c r="C103">
        <v>67</v>
      </c>
      <c r="D103">
        <f t="shared" si="72"/>
        <v>784.01558732918636</v>
      </c>
      <c r="E103">
        <f t="shared" si="46"/>
        <v>49.5</v>
      </c>
      <c r="F103" t="s">
        <v>362</v>
      </c>
      <c r="G103">
        <v>55</v>
      </c>
      <c r="H103">
        <f t="shared" si="73"/>
        <v>392.00377257605692</v>
      </c>
      <c r="I103">
        <f t="shared" si="47"/>
        <v>49.5</v>
      </c>
      <c r="M103">
        <f t="shared" si="48"/>
        <v>49.5</v>
      </c>
      <c r="N103" t="s">
        <v>363</v>
      </c>
      <c r="O103">
        <v>53</v>
      </c>
      <c r="P103">
        <f t="shared" si="74"/>
        <v>349.23506143398839</v>
      </c>
      <c r="Q103">
        <f t="shared" si="49"/>
        <v>49.5</v>
      </c>
      <c r="R103" t="s">
        <v>318</v>
      </c>
      <c r="S103">
        <v>41</v>
      </c>
      <c r="T103">
        <f t="shared" si="75"/>
        <v>174.61573954711864</v>
      </c>
      <c r="V103">
        <v>77</v>
      </c>
      <c r="W103" t="s">
        <v>308</v>
      </c>
      <c r="X103">
        <v>53</v>
      </c>
      <c r="Y103">
        <f t="shared" si="69"/>
        <v>349.23506143398839</v>
      </c>
      <c r="Z103">
        <f t="shared" si="62"/>
        <v>2</v>
      </c>
      <c r="AA103">
        <v>77</v>
      </c>
      <c r="AB103" t="s">
        <v>224</v>
      </c>
      <c r="AC103">
        <v>49</v>
      </c>
      <c r="AD103">
        <f t="shared" si="76"/>
        <v>277.18710418069043</v>
      </c>
      <c r="AE103">
        <f t="shared" si="78"/>
        <v>1</v>
      </c>
      <c r="AF103">
        <v>77</v>
      </c>
      <c r="AG103" t="s">
        <v>444</v>
      </c>
      <c r="AH103">
        <v>43</v>
      </c>
      <c r="AI103">
        <f t="shared" si="77"/>
        <v>195.99987576438383</v>
      </c>
      <c r="AJ103">
        <f t="shared" si="79"/>
        <v>1</v>
      </c>
      <c r="AK103">
        <v>80</v>
      </c>
      <c r="AL103" t="s">
        <v>80</v>
      </c>
      <c r="AM103">
        <v>36</v>
      </c>
      <c r="AN103">
        <f t="shared" si="68"/>
        <v>130.81344004395982</v>
      </c>
      <c r="AO103">
        <f t="shared" si="63"/>
        <v>1</v>
      </c>
      <c r="AP103">
        <v>80</v>
      </c>
      <c r="AQ103" t="s">
        <v>34</v>
      </c>
      <c r="AR103">
        <v>24</v>
      </c>
      <c r="AS103">
        <f t="shared" si="70"/>
        <v>65.406049101104529</v>
      </c>
      <c r="AT103">
        <f t="shared" si="71"/>
        <v>7</v>
      </c>
    </row>
    <row r="104" spans="1:46" x14ac:dyDescent="0.2">
      <c r="A104">
        <f t="shared" si="45"/>
        <v>50</v>
      </c>
      <c r="B104" t="s">
        <v>263</v>
      </c>
      <c r="C104">
        <v>65</v>
      </c>
      <c r="D104">
        <f t="shared" si="72"/>
        <v>698.47728762097279</v>
      </c>
      <c r="E104">
        <f t="shared" si="46"/>
        <v>50</v>
      </c>
      <c r="F104" t="s">
        <v>363</v>
      </c>
      <c r="G104">
        <v>53</v>
      </c>
      <c r="H104">
        <f t="shared" si="73"/>
        <v>349.23506143398839</v>
      </c>
      <c r="I104">
        <f t="shared" si="47"/>
        <v>50</v>
      </c>
      <c r="M104">
        <f t="shared" si="48"/>
        <v>50</v>
      </c>
      <c r="N104" t="s">
        <v>364</v>
      </c>
      <c r="O104">
        <v>51</v>
      </c>
      <c r="P104">
        <f t="shared" si="74"/>
        <v>311.13253664194741</v>
      </c>
      <c r="Q104">
        <f t="shared" si="49"/>
        <v>50</v>
      </c>
      <c r="R104" t="s">
        <v>369</v>
      </c>
      <c r="S104">
        <v>39</v>
      </c>
      <c r="T104">
        <f t="shared" si="75"/>
        <v>155.56467257275574</v>
      </c>
      <c r="V104">
        <v>78</v>
      </c>
      <c r="W104" t="s">
        <v>222</v>
      </c>
      <c r="X104">
        <v>51</v>
      </c>
      <c r="Y104">
        <f t="shared" si="69"/>
        <v>311.13253664194741</v>
      </c>
      <c r="Z104">
        <f t="shared" si="62"/>
        <v>2</v>
      </c>
      <c r="AA104">
        <v>78</v>
      </c>
      <c r="AB104" t="s">
        <v>323</v>
      </c>
      <c r="AC104">
        <v>48</v>
      </c>
      <c r="AD104">
        <f t="shared" si="76"/>
        <v>261.62956379894968</v>
      </c>
      <c r="AE104">
        <f t="shared" si="78"/>
        <v>1</v>
      </c>
      <c r="AF104">
        <v>78</v>
      </c>
      <c r="AG104" t="s">
        <v>449</v>
      </c>
      <c r="AH104">
        <v>44</v>
      </c>
      <c r="AI104">
        <f t="shared" si="77"/>
        <v>207.65481237683719</v>
      </c>
      <c r="AJ104">
        <f t="shared" si="79"/>
        <v>1</v>
      </c>
      <c r="AK104">
        <v>81</v>
      </c>
      <c r="AL104" t="s">
        <v>80</v>
      </c>
      <c r="AM104">
        <v>36</v>
      </c>
      <c r="AN104">
        <f t="shared" si="68"/>
        <v>130.81344004395982</v>
      </c>
      <c r="AO104">
        <f t="shared" si="63"/>
        <v>0</v>
      </c>
      <c r="AP104">
        <v>81</v>
      </c>
    </row>
    <row r="105" spans="1:46" x14ac:dyDescent="0.2">
      <c r="A105">
        <f t="shared" si="45"/>
        <v>50.5</v>
      </c>
      <c r="B105" t="s">
        <v>264</v>
      </c>
      <c r="C105">
        <v>63</v>
      </c>
      <c r="D105">
        <f t="shared" si="72"/>
        <v>622.27145634224212</v>
      </c>
      <c r="E105">
        <f t="shared" si="46"/>
        <v>50.5</v>
      </c>
      <c r="F105" t="s">
        <v>364</v>
      </c>
      <c r="G105">
        <v>51</v>
      </c>
      <c r="H105">
        <f t="shared" si="73"/>
        <v>311.13253664194741</v>
      </c>
      <c r="I105">
        <f t="shared" si="47"/>
        <v>50.5</v>
      </c>
      <c r="M105">
        <f t="shared" si="48"/>
        <v>50.5</v>
      </c>
      <c r="N105" t="s">
        <v>365</v>
      </c>
      <c r="O105">
        <v>50</v>
      </c>
      <c r="P105">
        <f t="shared" si="74"/>
        <v>293.66975814369101</v>
      </c>
      <c r="Q105">
        <f t="shared" si="49"/>
        <v>50.5</v>
      </c>
      <c r="R105" t="s">
        <v>82</v>
      </c>
      <c r="S105">
        <v>38</v>
      </c>
      <c r="T105">
        <f t="shared" si="75"/>
        <v>146.83337288738056</v>
      </c>
      <c r="V105">
        <v>79</v>
      </c>
      <c r="W105" t="s">
        <v>223</v>
      </c>
      <c r="X105">
        <v>50</v>
      </c>
      <c r="Y105">
        <f t="shared" si="69"/>
        <v>293.66975814369101</v>
      </c>
      <c r="Z105">
        <f t="shared" si="62"/>
        <v>1</v>
      </c>
      <c r="AA105">
        <v>79</v>
      </c>
      <c r="AB105" t="s">
        <v>443</v>
      </c>
      <c r="AC105">
        <v>47</v>
      </c>
      <c r="AD105">
        <f t="shared" si="76"/>
        <v>246.94521361646048</v>
      </c>
      <c r="AE105">
        <f t="shared" si="78"/>
        <v>1</v>
      </c>
      <c r="AF105">
        <v>79</v>
      </c>
      <c r="AG105" t="s">
        <v>444</v>
      </c>
      <c r="AH105">
        <v>43</v>
      </c>
      <c r="AI105">
        <f t="shared" si="77"/>
        <v>195.99987576438383</v>
      </c>
      <c r="AJ105">
        <f t="shared" si="79"/>
        <v>1</v>
      </c>
      <c r="AK105">
        <v>81.5</v>
      </c>
      <c r="AL105" t="s">
        <v>85</v>
      </c>
      <c r="AM105">
        <v>34</v>
      </c>
      <c r="AN105">
        <f t="shared" si="68"/>
        <v>116.54132680899107</v>
      </c>
      <c r="AO105">
        <f t="shared" si="63"/>
        <v>2</v>
      </c>
      <c r="AP105">
        <v>81.5</v>
      </c>
    </row>
    <row r="106" spans="1:46" x14ac:dyDescent="0.2">
      <c r="A106">
        <f t="shared" si="45"/>
        <v>51</v>
      </c>
      <c r="B106" t="s">
        <v>372</v>
      </c>
      <c r="C106">
        <v>62</v>
      </c>
      <c r="D106">
        <f t="shared" si="72"/>
        <v>587.34554108704231</v>
      </c>
      <c r="E106">
        <f t="shared" si="46"/>
        <v>51</v>
      </c>
      <c r="F106" t="s">
        <v>365</v>
      </c>
      <c r="G106">
        <v>50</v>
      </c>
      <c r="H106">
        <f t="shared" si="73"/>
        <v>293.66975814369101</v>
      </c>
      <c r="I106">
        <f t="shared" si="47"/>
        <v>51</v>
      </c>
      <c r="M106">
        <f t="shared" si="48"/>
        <v>51</v>
      </c>
      <c r="N106" t="s">
        <v>366</v>
      </c>
      <c r="O106">
        <v>48</v>
      </c>
      <c r="P106">
        <f t="shared" si="74"/>
        <v>261.62956379894968</v>
      </c>
      <c r="Q106">
        <f t="shared" si="49"/>
        <v>51</v>
      </c>
      <c r="R106" t="s">
        <v>80</v>
      </c>
      <c r="S106">
        <v>36</v>
      </c>
      <c r="T106">
        <f t="shared" si="75"/>
        <v>130.81344004395982</v>
      </c>
      <c r="V106">
        <v>80</v>
      </c>
      <c r="W106" t="s">
        <v>323</v>
      </c>
      <c r="X106">
        <v>48</v>
      </c>
      <c r="Y106">
        <f t="shared" si="69"/>
        <v>261.62956379894968</v>
      </c>
      <c r="Z106">
        <f t="shared" si="62"/>
        <v>2</v>
      </c>
      <c r="AA106">
        <v>80</v>
      </c>
      <c r="AB106" t="s">
        <v>444</v>
      </c>
      <c r="AC106">
        <v>43</v>
      </c>
      <c r="AD106">
        <f t="shared" si="76"/>
        <v>195.99987576438383</v>
      </c>
      <c r="AE106">
        <f t="shared" si="78"/>
        <v>4</v>
      </c>
      <c r="AF106">
        <v>80</v>
      </c>
      <c r="AG106" t="s">
        <v>484</v>
      </c>
      <c r="AH106">
        <v>39</v>
      </c>
      <c r="AI106">
        <f t="shared" si="77"/>
        <v>155.56467257275574</v>
      </c>
      <c r="AJ106">
        <f t="shared" si="79"/>
        <v>4</v>
      </c>
      <c r="AK106">
        <v>82</v>
      </c>
      <c r="AL106" t="s">
        <v>80</v>
      </c>
      <c r="AM106">
        <v>36</v>
      </c>
      <c r="AN106">
        <f t="shared" si="68"/>
        <v>130.81344004395982</v>
      </c>
      <c r="AO106">
        <f t="shared" si="63"/>
        <v>2</v>
      </c>
      <c r="AP106">
        <v>82</v>
      </c>
    </row>
    <row r="107" spans="1:46" x14ac:dyDescent="0.2">
      <c r="A107">
        <f t="shared" si="45"/>
        <v>51.5</v>
      </c>
      <c r="B107" t="s">
        <v>265</v>
      </c>
      <c r="C107">
        <v>60</v>
      </c>
      <c r="D107">
        <f t="shared" si="72"/>
        <v>523.26449507501752</v>
      </c>
      <c r="E107">
        <f t="shared" si="46"/>
        <v>51.5</v>
      </c>
      <c r="F107" t="s">
        <v>366</v>
      </c>
      <c r="G107">
        <v>48</v>
      </c>
      <c r="H107">
        <f t="shared" si="73"/>
        <v>261.62956379894968</v>
      </c>
      <c r="I107">
        <f t="shared" si="47"/>
        <v>51.5</v>
      </c>
      <c r="M107">
        <f t="shared" si="48"/>
        <v>51.5</v>
      </c>
      <c r="N107" t="s">
        <v>367</v>
      </c>
      <c r="O107">
        <v>46</v>
      </c>
      <c r="P107">
        <f t="shared" si="74"/>
        <v>233.08504452861115</v>
      </c>
      <c r="Q107">
        <f t="shared" si="49"/>
        <v>51.5</v>
      </c>
      <c r="R107" t="s">
        <v>85</v>
      </c>
      <c r="S107">
        <v>34</v>
      </c>
      <c r="T107">
        <f t="shared" si="75"/>
        <v>116.54132680899107</v>
      </c>
      <c r="V107">
        <v>81</v>
      </c>
      <c r="W107" t="s">
        <v>323</v>
      </c>
      <c r="X107">
        <v>48</v>
      </c>
      <c r="Y107">
        <f t="shared" si="69"/>
        <v>261.62956379894968</v>
      </c>
      <c r="Z107">
        <f t="shared" si="62"/>
        <v>0</v>
      </c>
      <c r="AA107">
        <v>81</v>
      </c>
      <c r="AF107">
        <v>81</v>
      </c>
      <c r="AK107">
        <v>83</v>
      </c>
      <c r="AL107" t="s">
        <v>485</v>
      </c>
      <c r="AM107">
        <v>39</v>
      </c>
      <c r="AN107">
        <f t="shared" si="68"/>
        <v>155.56467257275574</v>
      </c>
      <c r="AO107">
        <f t="shared" si="63"/>
        <v>3</v>
      </c>
      <c r="AP107">
        <v>83</v>
      </c>
      <c r="AQ107" t="s">
        <v>312</v>
      </c>
      <c r="AR107">
        <v>29</v>
      </c>
      <c r="AS107">
        <f t="shared" ref="AS107:AS112" si="80">16.35117682*1.059464^AR107</f>
        <v>87.306974197808145</v>
      </c>
      <c r="AT107">
        <f>ABS(AR107-AM106)</f>
        <v>7</v>
      </c>
    </row>
    <row r="108" spans="1:46" x14ac:dyDescent="0.2">
      <c r="A108">
        <f t="shared" si="45"/>
        <v>52</v>
      </c>
      <c r="B108" t="s">
        <v>372</v>
      </c>
      <c r="C108">
        <v>62</v>
      </c>
      <c r="D108">
        <f t="shared" si="72"/>
        <v>587.34554108704231</v>
      </c>
      <c r="E108">
        <f t="shared" si="46"/>
        <v>52</v>
      </c>
      <c r="F108" t="s">
        <v>365</v>
      </c>
      <c r="G108">
        <v>50</v>
      </c>
      <c r="H108">
        <f t="shared" si="73"/>
        <v>293.66975814369101</v>
      </c>
      <c r="I108">
        <f t="shared" si="47"/>
        <v>52</v>
      </c>
      <c r="M108">
        <f t="shared" si="48"/>
        <v>52</v>
      </c>
      <c r="N108" t="s">
        <v>366</v>
      </c>
      <c r="O108">
        <v>48</v>
      </c>
      <c r="P108">
        <f t="shared" si="74"/>
        <v>261.62956379894968</v>
      </c>
      <c r="Q108">
        <f t="shared" si="49"/>
        <v>52</v>
      </c>
      <c r="R108" t="s">
        <v>80</v>
      </c>
      <c r="S108">
        <v>36</v>
      </c>
      <c r="T108">
        <f t="shared" si="75"/>
        <v>130.81344004395982</v>
      </c>
      <c r="V108">
        <v>81.5</v>
      </c>
      <c r="W108" t="s">
        <v>325</v>
      </c>
      <c r="X108">
        <v>46</v>
      </c>
      <c r="Y108">
        <f t="shared" si="69"/>
        <v>233.08504452861115</v>
      </c>
      <c r="Z108">
        <f t="shared" si="62"/>
        <v>2</v>
      </c>
      <c r="AA108">
        <v>81.5</v>
      </c>
      <c r="AF108">
        <v>81.5</v>
      </c>
      <c r="AK108">
        <v>84</v>
      </c>
      <c r="AL108" t="s">
        <v>82</v>
      </c>
      <c r="AM108">
        <v>38</v>
      </c>
      <c r="AN108">
        <f t="shared" si="68"/>
        <v>146.83337288738056</v>
      </c>
      <c r="AO108">
        <f t="shared" si="63"/>
        <v>1</v>
      </c>
      <c r="AP108">
        <v>84</v>
      </c>
      <c r="AQ108" t="s">
        <v>85</v>
      </c>
      <c r="AR108">
        <v>34</v>
      </c>
      <c r="AS108">
        <f t="shared" si="80"/>
        <v>116.54132680899107</v>
      </c>
      <c r="AT108">
        <f t="shared" si="71"/>
        <v>5</v>
      </c>
    </row>
    <row r="109" spans="1:46" x14ac:dyDescent="0.2">
      <c r="A109">
        <f t="shared" si="45"/>
        <v>52.5</v>
      </c>
      <c r="E109">
        <f t="shared" si="46"/>
        <v>52.5</v>
      </c>
      <c r="I109">
        <f t="shared" si="47"/>
        <v>52.5</v>
      </c>
      <c r="M109">
        <f t="shared" si="48"/>
        <v>52.5</v>
      </c>
      <c r="Q109">
        <f t="shared" si="49"/>
        <v>52.5</v>
      </c>
      <c r="V109">
        <v>82</v>
      </c>
      <c r="W109" t="s">
        <v>323</v>
      </c>
      <c r="X109">
        <v>48</v>
      </c>
      <c r="Y109">
        <f t="shared" si="69"/>
        <v>261.62956379894968</v>
      </c>
      <c r="Z109">
        <f>ABS(X109-X108)</f>
        <v>2</v>
      </c>
      <c r="AA109">
        <v>82</v>
      </c>
      <c r="AF109">
        <v>82</v>
      </c>
      <c r="AK109">
        <v>85</v>
      </c>
      <c r="AL109" t="s">
        <v>83</v>
      </c>
      <c r="AM109">
        <v>37</v>
      </c>
      <c r="AN109">
        <f t="shared" si="68"/>
        <v>138.5921304427338</v>
      </c>
      <c r="AO109">
        <f>ABS(AM109-AM108)</f>
        <v>1</v>
      </c>
      <c r="AP109">
        <v>85</v>
      </c>
      <c r="AQ109" t="s">
        <v>313</v>
      </c>
      <c r="AR109">
        <v>27</v>
      </c>
      <c r="AS109">
        <f t="shared" si="80"/>
        <v>77.781538420453217</v>
      </c>
      <c r="AT109">
        <f>ABS(AR109-AR108)</f>
        <v>7</v>
      </c>
    </row>
    <row r="110" spans="1:46" x14ac:dyDescent="0.2">
      <c r="A110">
        <f t="shared" si="45"/>
        <v>53</v>
      </c>
      <c r="B110" t="s">
        <v>266</v>
      </c>
      <c r="C110">
        <v>56</v>
      </c>
      <c r="D110">
        <f>16.35117682*1.059464^C110</f>
        <v>415.31388490851958</v>
      </c>
      <c r="E110">
        <f t="shared" si="46"/>
        <v>53</v>
      </c>
      <c r="F110" t="s">
        <v>449</v>
      </c>
      <c r="G110">
        <v>44</v>
      </c>
      <c r="H110">
        <f>16.35117682*1.059464^G110</f>
        <v>207.65481237683719</v>
      </c>
      <c r="I110">
        <f t="shared" si="47"/>
        <v>53</v>
      </c>
      <c r="M110">
        <f t="shared" si="48"/>
        <v>53</v>
      </c>
      <c r="N110" t="s">
        <v>448</v>
      </c>
      <c r="O110">
        <v>43</v>
      </c>
      <c r="P110">
        <f>16.35117682*1.059464^O110</f>
        <v>195.99987576438383</v>
      </c>
      <c r="Q110">
        <f t="shared" si="49"/>
        <v>53</v>
      </c>
      <c r="V110">
        <v>83</v>
      </c>
      <c r="W110" t="s">
        <v>23</v>
      </c>
      <c r="X110">
        <v>55</v>
      </c>
      <c r="Y110">
        <f t="shared" si="69"/>
        <v>392.00377257605692</v>
      </c>
      <c r="Z110">
        <f>ABS(X110-X109)</f>
        <v>7</v>
      </c>
      <c r="AA110">
        <v>83</v>
      </c>
      <c r="AB110" t="s">
        <v>213</v>
      </c>
      <c r="AC110">
        <v>51</v>
      </c>
      <c r="AD110">
        <f t="shared" ref="AD110:AD115" si="81">16.35117682*1.059464^AC110</f>
        <v>311.13253664194741</v>
      </c>
      <c r="AE110">
        <f>ABS(AC110-X109)</f>
        <v>3</v>
      </c>
      <c r="AF110">
        <v>83</v>
      </c>
      <c r="AG110" t="s">
        <v>449</v>
      </c>
      <c r="AH110">
        <v>44</v>
      </c>
      <c r="AI110">
        <f t="shared" ref="AI110:AI115" si="82">16.35117682*1.059464^AH110</f>
        <v>207.65481237683719</v>
      </c>
      <c r="AJ110">
        <f>ABS(AH110-X109)</f>
        <v>4</v>
      </c>
      <c r="AK110">
        <v>86</v>
      </c>
      <c r="AL110" t="s">
        <v>80</v>
      </c>
      <c r="AM110">
        <v>36</v>
      </c>
      <c r="AN110">
        <f t="shared" si="68"/>
        <v>130.81344004395982</v>
      </c>
      <c r="AO110">
        <f>ABS(AM110-AM109)</f>
        <v>1</v>
      </c>
      <c r="AP110">
        <v>86</v>
      </c>
      <c r="AQ110" t="s">
        <v>314</v>
      </c>
      <c r="AR110">
        <v>32</v>
      </c>
      <c r="AS110">
        <f t="shared" si="80"/>
        <v>103.82634116063208</v>
      </c>
      <c r="AT110">
        <f>ABS(AR110-AR109)</f>
        <v>5</v>
      </c>
    </row>
    <row r="111" spans="1:46" x14ac:dyDescent="0.2">
      <c r="A111">
        <f t="shared" si="45"/>
        <v>53.5</v>
      </c>
      <c r="E111">
        <f t="shared" si="46"/>
        <v>53.5</v>
      </c>
      <c r="I111">
        <f t="shared" si="47"/>
        <v>53.5</v>
      </c>
      <c r="M111">
        <f t="shared" si="48"/>
        <v>53.5</v>
      </c>
      <c r="Q111">
        <f t="shared" si="49"/>
        <v>53.5</v>
      </c>
      <c r="V111">
        <v>84</v>
      </c>
      <c r="W111" t="s">
        <v>23</v>
      </c>
      <c r="X111">
        <v>55</v>
      </c>
      <c r="Y111">
        <f t="shared" si="69"/>
        <v>392.00377257605692</v>
      </c>
      <c r="Z111">
        <f t="shared" ref="Z111:Z129" si="83">ABS(X111-X110)</f>
        <v>0</v>
      </c>
      <c r="AA111">
        <v>84</v>
      </c>
      <c r="AB111" t="s">
        <v>223</v>
      </c>
      <c r="AC111">
        <v>50</v>
      </c>
      <c r="AD111">
        <f t="shared" si="81"/>
        <v>293.66975814369101</v>
      </c>
      <c r="AE111">
        <f t="shared" ref="AE111:AE126" si="84">ABS(AC111-AC110)</f>
        <v>1</v>
      </c>
      <c r="AF111">
        <v>84</v>
      </c>
      <c r="AG111" t="s">
        <v>483</v>
      </c>
      <c r="AH111">
        <v>44</v>
      </c>
      <c r="AI111">
        <f t="shared" si="82"/>
        <v>207.65481237683719</v>
      </c>
      <c r="AJ111">
        <f t="shared" ref="AJ111:AJ126" si="85">ABS(AH111-AH110)</f>
        <v>0</v>
      </c>
      <c r="AK111">
        <v>87</v>
      </c>
      <c r="AL111" t="s">
        <v>307</v>
      </c>
      <c r="AM111">
        <v>35</v>
      </c>
      <c r="AN111">
        <f t="shared" si="68"/>
        <v>123.4713402663609</v>
      </c>
      <c r="AO111">
        <f t="shared" ref="AO111:AO129" si="86">ABS(AM111-AM110)</f>
        <v>1</v>
      </c>
      <c r="AP111">
        <v>87</v>
      </c>
      <c r="AQ111" t="s">
        <v>315</v>
      </c>
      <c r="AR111">
        <v>31</v>
      </c>
      <c r="AS111">
        <f t="shared" si="80"/>
        <v>97.998932630681253</v>
      </c>
      <c r="AT111">
        <f t="shared" ref="AT111:AT122" si="87">ABS(AR111-AR110)</f>
        <v>1</v>
      </c>
    </row>
    <row r="112" spans="1:46" x14ac:dyDescent="0.2">
      <c r="A112">
        <f t="shared" si="45"/>
        <v>54</v>
      </c>
      <c r="B112" t="s">
        <v>266</v>
      </c>
      <c r="C112">
        <v>56</v>
      </c>
      <c r="D112">
        <f>16.35117682*1.059464^C112</f>
        <v>415.31388490851958</v>
      </c>
      <c r="E112">
        <f t="shared" si="46"/>
        <v>54</v>
      </c>
      <c r="F112" t="s">
        <v>449</v>
      </c>
      <c r="G112">
        <v>44</v>
      </c>
      <c r="H112">
        <f>16.35117682*1.059464^G112</f>
        <v>207.65481237683719</v>
      </c>
      <c r="I112">
        <f t="shared" si="47"/>
        <v>54</v>
      </c>
      <c r="M112">
        <f t="shared" si="48"/>
        <v>54</v>
      </c>
      <c r="N112" t="s">
        <v>448</v>
      </c>
      <c r="O112">
        <v>43</v>
      </c>
      <c r="P112">
        <f>16.35117682*1.059464^O112</f>
        <v>195.99987576438383</v>
      </c>
      <c r="Q112">
        <f t="shared" si="49"/>
        <v>54</v>
      </c>
      <c r="V112">
        <v>85</v>
      </c>
      <c r="W112" t="s">
        <v>308</v>
      </c>
      <c r="X112">
        <v>53</v>
      </c>
      <c r="Y112">
        <f t="shared" si="69"/>
        <v>349.23506143398839</v>
      </c>
      <c r="Z112">
        <f t="shared" si="83"/>
        <v>2</v>
      </c>
      <c r="AA112">
        <v>85</v>
      </c>
      <c r="AB112" t="s">
        <v>224</v>
      </c>
      <c r="AC112">
        <v>49</v>
      </c>
      <c r="AD112">
        <f t="shared" si="81"/>
        <v>277.18710418069043</v>
      </c>
      <c r="AE112">
        <f t="shared" si="84"/>
        <v>1</v>
      </c>
      <c r="AF112">
        <v>85</v>
      </c>
      <c r="AG112" t="s">
        <v>483</v>
      </c>
      <c r="AH112">
        <v>43</v>
      </c>
      <c r="AI112">
        <f t="shared" si="82"/>
        <v>195.99987576438383</v>
      </c>
      <c r="AJ112">
        <f t="shared" si="85"/>
        <v>1</v>
      </c>
      <c r="AK112">
        <v>88</v>
      </c>
      <c r="AL112" t="s">
        <v>488</v>
      </c>
      <c r="AM112">
        <v>36</v>
      </c>
      <c r="AN112">
        <f t="shared" si="68"/>
        <v>130.81344004395982</v>
      </c>
      <c r="AO112">
        <f t="shared" si="86"/>
        <v>1</v>
      </c>
      <c r="AP112">
        <v>88</v>
      </c>
      <c r="AQ112" t="s">
        <v>34</v>
      </c>
      <c r="AR112">
        <v>24</v>
      </c>
      <c r="AS112">
        <f t="shared" si="80"/>
        <v>65.406049101104529</v>
      </c>
      <c r="AT112">
        <f t="shared" si="87"/>
        <v>7</v>
      </c>
    </row>
    <row r="113" spans="1:46" x14ac:dyDescent="0.2">
      <c r="A113">
        <f t="shared" si="45"/>
        <v>54.5</v>
      </c>
      <c r="E113">
        <f t="shared" si="46"/>
        <v>54.5</v>
      </c>
      <c r="I113">
        <f t="shared" si="47"/>
        <v>54.5</v>
      </c>
      <c r="M113">
        <f t="shared" si="48"/>
        <v>54.5</v>
      </c>
      <c r="Q113">
        <f t="shared" si="49"/>
        <v>54.5</v>
      </c>
      <c r="V113">
        <v>86</v>
      </c>
      <c r="W113" t="s">
        <v>222</v>
      </c>
      <c r="X113">
        <v>51</v>
      </c>
      <c r="Y113">
        <f t="shared" si="69"/>
        <v>311.13253664194741</v>
      </c>
      <c r="Z113">
        <f t="shared" si="83"/>
        <v>2</v>
      </c>
      <c r="AA113">
        <v>86</v>
      </c>
      <c r="AB113" t="s">
        <v>446</v>
      </c>
      <c r="AC113">
        <v>48</v>
      </c>
      <c r="AD113">
        <f t="shared" si="81"/>
        <v>261.62956379894968</v>
      </c>
      <c r="AE113">
        <f t="shared" si="84"/>
        <v>1</v>
      </c>
      <c r="AF113">
        <v>86</v>
      </c>
      <c r="AG113" t="s">
        <v>448</v>
      </c>
      <c r="AH113">
        <v>44</v>
      </c>
      <c r="AI113">
        <f t="shared" si="82"/>
        <v>207.65481237683719</v>
      </c>
      <c r="AJ113">
        <f t="shared" si="85"/>
        <v>1</v>
      </c>
      <c r="AK113">
        <v>89</v>
      </c>
      <c r="AL113" t="s">
        <v>488</v>
      </c>
      <c r="AM113">
        <v>36</v>
      </c>
      <c r="AN113">
        <f t="shared" ref="AN113:AN119" si="88">16.35117682*1.059464^AM113</f>
        <v>130.81344004395982</v>
      </c>
      <c r="AO113">
        <f t="shared" si="86"/>
        <v>0</v>
      </c>
      <c r="AP113">
        <v>89</v>
      </c>
    </row>
    <row r="114" spans="1:46" x14ac:dyDescent="0.2">
      <c r="A114">
        <f t="shared" si="45"/>
        <v>55</v>
      </c>
      <c r="B114" t="s">
        <v>362</v>
      </c>
      <c r="C114">
        <v>55</v>
      </c>
      <c r="D114">
        <f>16.35117682*1.059464^C114</f>
        <v>392.00377257605692</v>
      </c>
      <c r="E114">
        <f t="shared" si="46"/>
        <v>55</v>
      </c>
      <c r="I114">
        <f t="shared" si="47"/>
        <v>55</v>
      </c>
      <c r="M114">
        <f t="shared" si="48"/>
        <v>55</v>
      </c>
      <c r="N114" t="s">
        <v>363</v>
      </c>
      <c r="O114">
        <v>53</v>
      </c>
      <c r="P114">
        <f>16.35117682*1.059464^O114</f>
        <v>349.23506143398839</v>
      </c>
      <c r="Q114">
        <f t="shared" si="49"/>
        <v>55</v>
      </c>
      <c r="V114">
        <v>87</v>
      </c>
      <c r="W114" t="s">
        <v>223</v>
      </c>
      <c r="X114">
        <v>50</v>
      </c>
      <c r="Y114">
        <f t="shared" si="69"/>
        <v>293.66975814369101</v>
      </c>
      <c r="Z114">
        <f t="shared" si="83"/>
        <v>1</v>
      </c>
      <c r="AA114">
        <v>87</v>
      </c>
      <c r="AB114" t="s">
        <v>447</v>
      </c>
      <c r="AC114">
        <v>47</v>
      </c>
      <c r="AD114">
        <f t="shared" si="81"/>
        <v>246.94521361646048</v>
      </c>
      <c r="AE114">
        <f t="shared" si="84"/>
        <v>1</v>
      </c>
      <c r="AF114">
        <v>87</v>
      </c>
      <c r="AG114" t="s">
        <v>483</v>
      </c>
      <c r="AH114">
        <v>43</v>
      </c>
      <c r="AI114">
        <f t="shared" si="82"/>
        <v>195.99987576438383</v>
      </c>
      <c r="AJ114">
        <f t="shared" si="85"/>
        <v>1</v>
      </c>
      <c r="AK114">
        <v>89.5</v>
      </c>
      <c r="AL114" t="s">
        <v>81</v>
      </c>
      <c r="AM114">
        <v>34</v>
      </c>
      <c r="AN114">
        <f t="shared" si="88"/>
        <v>116.54132680899107</v>
      </c>
      <c r="AO114">
        <f t="shared" si="86"/>
        <v>2</v>
      </c>
      <c r="AP114">
        <v>89.5</v>
      </c>
    </row>
    <row r="115" spans="1:46" x14ac:dyDescent="0.2">
      <c r="A115">
        <f t="shared" si="45"/>
        <v>55.5</v>
      </c>
      <c r="E115">
        <f t="shared" si="46"/>
        <v>55.5</v>
      </c>
      <c r="I115">
        <f t="shared" si="47"/>
        <v>55.5</v>
      </c>
      <c r="M115">
        <f t="shared" si="48"/>
        <v>55.5</v>
      </c>
      <c r="Q115">
        <f t="shared" si="49"/>
        <v>55.5</v>
      </c>
      <c r="V115">
        <v>88</v>
      </c>
      <c r="W115" t="s">
        <v>323</v>
      </c>
      <c r="X115">
        <v>48</v>
      </c>
      <c r="Y115">
        <f t="shared" si="69"/>
        <v>261.62956379894968</v>
      </c>
      <c r="Z115">
        <f t="shared" si="83"/>
        <v>2</v>
      </c>
      <c r="AA115">
        <v>88</v>
      </c>
      <c r="AB115" t="s">
        <v>448</v>
      </c>
      <c r="AC115">
        <v>43</v>
      </c>
      <c r="AD115">
        <f t="shared" si="81"/>
        <v>195.99987576438383</v>
      </c>
      <c r="AE115">
        <f t="shared" si="84"/>
        <v>4</v>
      </c>
      <c r="AF115">
        <v>88</v>
      </c>
      <c r="AG115" t="s">
        <v>485</v>
      </c>
      <c r="AH115">
        <v>39</v>
      </c>
      <c r="AI115">
        <f t="shared" si="82"/>
        <v>155.56467257275574</v>
      </c>
      <c r="AJ115">
        <f t="shared" si="85"/>
        <v>4</v>
      </c>
      <c r="AK115">
        <v>90</v>
      </c>
      <c r="AL115" t="s">
        <v>80</v>
      </c>
      <c r="AM115">
        <v>36</v>
      </c>
      <c r="AN115">
        <f t="shared" si="88"/>
        <v>130.81344004395982</v>
      </c>
      <c r="AO115">
        <f t="shared" si="86"/>
        <v>2</v>
      </c>
      <c r="AP115">
        <v>90</v>
      </c>
    </row>
    <row r="116" spans="1:46" x14ac:dyDescent="0.2">
      <c r="A116">
        <f t="shared" si="45"/>
        <v>56</v>
      </c>
      <c r="B116" t="s">
        <v>365</v>
      </c>
      <c r="C116">
        <v>50</v>
      </c>
      <c r="D116">
        <f>16.35117682*1.059464^C116</f>
        <v>293.66975814369101</v>
      </c>
      <c r="E116">
        <f t="shared" si="46"/>
        <v>56</v>
      </c>
      <c r="I116">
        <f t="shared" si="47"/>
        <v>56</v>
      </c>
      <c r="M116">
        <f t="shared" si="48"/>
        <v>56</v>
      </c>
      <c r="N116" t="s">
        <v>366</v>
      </c>
      <c r="O116">
        <v>48</v>
      </c>
      <c r="P116">
        <f>16.35117682*1.059464^O116</f>
        <v>261.62956379894968</v>
      </c>
      <c r="Q116">
        <f t="shared" si="49"/>
        <v>56</v>
      </c>
      <c r="V116">
        <v>89</v>
      </c>
      <c r="W116" t="s">
        <v>323</v>
      </c>
      <c r="X116">
        <v>48</v>
      </c>
      <c r="Y116">
        <f t="shared" ref="Y116:Y122" si="89">16.35117682*1.059464^X116</f>
        <v>261.62956379894968</v>
      </c>
      <c r="Z116">
        <f t="shared" si="83"/>
        <v>0</v>
      </c>
      <c r="AA116">
        <v>89</v>
      </c>
      <c r="AF116">
        <v>89</v>
      </c>
      <c r="AK116">
        <v>90.5</v>
      </c>
      <c r="AL116" t="s">
        <v>85</v>
      </c>
      <c r="AM116">
        <v>34</v>
      </c>
      <c r="AN116">
        <f t="shared" si="88"/>
        <v>116.54132680899107</v>
      </c>
      <c r="AO116">
        <f t="shared" si="86"/>
        <v>2</v>
      </c>
      <c r="AP116">
        <v>90.5</v>
      </c>
    </row>
    <row r="117" spans="1:46" x14ac:dyDescent="0.2">
      <c r="A117">
        <f t="shared" si="45"/>
        <v>56.5</v>
      </c>
      <c r="E117">
        <f t="shared" si="46"/>
        <v>56.5</v>
      </c>
      <c r="I117">
        <f t="shared" si="47"/>
        <v>56.5</v>
      </c>
      <c r="M117">
        <f t="shared" si="48"/>
        <v>56.5</v>
      </c>
      <c r="Q117">
        <f t="shared" si="49"/>
        <v>56.5</v>
      </c>
      <c r="V117">
        <v>89.5</v>
      </c>
      <c r="W117" t="s">
        <v>325</v>
      </c>
      <c r="X117">
        <v>46</v>
      </c>
      <c r="Y117">
        <f t="shared" si="89"/>
        <v>233.08504452861115</v>
      </c>
      <c r="Z117">
        <f t="shared" si="83"/>
        <v>2</v>
      </c>
      <c r="AA117">
        <v>89.5</v>
      </c>
      <c r="AF117">
        <v>89.5</v>
      </c>
      <c r="AK117">
        <v>91</v>
      </c>
      <c r="AL117" t="s">
        <v>80</v>
      </c>
      <c r="AM117">
        <v>36</v>
      </c>
      <c r="AN117">
        <f t="shared" si="88"/>
        <v>130.81344004395982</v>
      </c>
      <c r="AO117">
        <f t="shared" si="86"/>
        <v>2</v>
      </c>
      <c r="AP117">
        <v>91</v>
      </c>
    </row>
    <row r="118" spans="1:46" x14ac:dyDescent="0.2">
      <c r="A118">
        <f t="shared" si="45"/>
        <v>57</v>
      </c>
      <c r="E118">
        <f t="shared" si="46"/>
        <v>57</v>
      </c>
      <c r="I118">
        <f t="shared" si="47"/>
        <v>57</v>
      </c>
      <c r="M118">
        <f t="shared" si="48"/>
        <v>57</v>
      </c>
      <c r="Q118">
        <f t="shared" si="49"/>
        <v>57</v>
      </c>
      <c r="V118">
        <v>90</v>
      </c>
      <c r="W118" t="s">
        <v>323</v>
      </c>
      <c r="X118">
        <v>48</v>
      </c>
      <c r="Y118">
        <f t="shared" si="89"/>
        <v>261.62956379894968</v>
      </c>
      <c r="Z118">
        <f t="shared" si="83"/>
        <v>2</v>
      </c>
      <c r="AA118">
        <v>90</v>
      </c>
      <c r="AF118">
        <v>90</v>
      </c>
      <c r="AK118">
        <v>91.5</v>
      </c>
      <c r="AL118" t="s">
        <v>82</v>
      </c>
      <c r="AM118">
        <v>38</v>
      </c>
      <c r="AN118">
        <f t="shared" si="88"/>
        <v>146.83337288738056</v>
      </c>
      <c r="AO118">
        <f t="shared" si="86"/>
        <v>2</v>
      </c>
      <c r="AP118">
        <v>91.5</v>
      </c>
    </row>
    <row r="119" spans="1:46" x14ac:dyDescent="0.2">
      <c r="A119">
        <f t="shared" si="45"/>
        <v>57.5</v>
      </c>
      <c r="B119" t="s">
        <v>362</v>
      </c>
      <c r="C119">
        <v>55</v>
      </c>
      <c r="D119">
        <f>16.35117682*1.059464^C119</f>
        <v>392.00377257605692</v>
      </c>
      <c r="E119">
        <f t="shared" si="46"/>
        <v>57.5</v>
      </c>
      <c r="I119">
        <f t="shared" si="47"/>
        <v>57.5</v>
      </c>
      <c r="M119">
        <f t="shared" si="48"/>
        <v>57.5</v>
      </c>
      <c r="N119" t="s">
        <v>363</v>
      </c>
      <c r="O119">
        <v>53</v>
      </c>
      <c r="P119">
        <f>16.35117682*1.059464^O119</f>
        <v>349.23506143398839</v>
      </c>
      <c r="Q119">
        <f t="shared" si="49"/>
        <v>57.5</v>
      </c>
      <c r="V119">
        <v>90.5</v>
      </c>
      <c r="W119" t="s">
        <v>325</v>
      </c>
      <c r="X119">
        <v>46</v>
      </c>
      <c r="Y119">
        <f t="shared" si="89"/>
        <v>233.08504452861115</v>
      </c>
      <c r="Z119">
        <f t="shared" si="83"/>
        <v>2</v>
      </c>
      <c r="AA119">
        <v>90.5</v>
      </c>
      <c r="AF119">
        <v>90.5</v>
      </c>
      <c r="AK119">
        <v>92</v>
      </c>
      <c r="AL119" t="s">
        <v>485</v>
      </c>
      <c r="AM119">
        <v>39</v>
      </c>
      <c r="AN119">
        <f t="shared" si="88"/>
        <v>155.56467257275574</v>
      </c>
      <c r="AO119">
        <f t="shared" si="86"/>
        <v>1</v>
      </c>
      <c r="AP119">
        <v>92</v>
      </c>
    </row>
    <row r="120" spans="1:46" x14ac:dyDescent="0.2">
      <c r="A120">
        <f t="shared" si="45"/>
        <v>58</v>
      </c>
      <c r="B120" t="s">
        <v>365</v>
      </c>
      <c r="C120">
        <v>50</v>
      </c>
      <c r="D120">
        <f>16.35117682*1.059464^C120</f>
        <v>293.66975814369101</v>
      </c>
      <c r="E120">
        <f t="shared" si="46"/>
        <v>58</v>
      </c>
      <c r="I120">
        <f t="shared" si="47"/>
        <v>58</v>
      </c>
      <c r="M120">
        <f t="shared" si="48"/>
        <v>58</v>
      </c>
      <c r="N120" t="s">
        <v>366</v>
      </c>
      <c r="O120">
        <v>48</v>
      </c>
      <c r="P120">
        <f>16.35117682*1.059464^O120</f>
        <v>261.62956379894968</v>
      </c>
      <c r="Q120">
        <f t="shared" si="49"/>
        <v>58</v>
      </c>
      <c r="V120">
        <v>91</v>
      </c>
      <c r="W120" t="s">
        <v>323</v>
      </c>
      <c r="X120">
        <v>48</v>
      </c>
      <c r="Y120">
        <f t="shared" si="89"/>
        <v>261.62956379894968</v>
      </c>
      <c r="Z120">
        <f t="shared" si="83"/>
        <v>2</v>
      </c>
      <c r="AA120">
        <v>91</v>
      </c>
      <c r="AF120">
        <v>91</v>
      </c>
      <c r="AK120">
        <v>93</v>
      </c>
      <c r="AL120" t="s">
        <v>485</v>
      </c>
      <c r="AM120">
        <v>39</v>
      </c>
      <c r="AN120">
        <f>16.35117682*1.059464^AM120</f>
        <v>155.56467257275574</v>
      </c>
      <c r="AO120">
        <f t="shared" si="86"/>
        <v>0</v>
      </c>
      <c r="AP120">
        <v>93</v>
      </c>
      <c r="AQ120" t="s">
        <v>312</v>
      </c>
      <c r="AR120">
        <v>29</v>
      </c>
      <c r="AS120">
        <f>16.35117682*1.059464^AR120</f>
        <v>87.306974197808145</v>
      </c>
      <c r="AT120">
        <f>ABS(AR120-AM119)</f>
        <v>10</v>
      </c>
    </row>
    <row r="121" spans="1:46" x14ac:dyDescent="0.2">
      <c r="A121">
        <f t="shared" si="45"/>
        <v>58.5</v>
      </c>
      <c r="E121">
        <f t="shared" si="46"/>
        <v>58.5</v>
      </c>
      <c r="I121">
        <f t="shared" si="47"/>
        <v>58.5</v>
      </c>
      <c r="M121">
        <f t="shared" si="48"/>
        <v>58.5</v>
      </c>
      <c r="Q121">
        <f t="shared" si="49"/>
        <v>58.5</v>
      </c>
      <c r="V121">
        <v>91.5</v>
      </c>
      <c r="W121" t="s">
        <v>223</v>
      </c>
      <c r="X121">
        <v>50</v>
      </c>
      <c r="Y121">
        <f t="shared" si="89"/>
        <v>293.66975814369101</v>
      </c>
      <c r="Z121">
        <f t="shared" si="83"/>
        <v>2</v>
      </c>
      <c r="AA121">
        <v>91.5</v>
      </c>
      <c r="AF121">
        <v>91.5</v>
      </c>
      <c r="AK121">
        <v>95</v>
      </c>
      <c r="AL121" t="s">
        <v>485</v>
      </c>
      <c r="AM121">
        <v>39</v>
      </c>
      <c r="AN121">
        <f>16.35117682*1.059464^AM121</f>
        <v>155.56467257275574</v>
      </c>
      <c r="AO121">
        <f t="shared" si="86"/>
        <v>0</v>
      </c>
      <c r="AP121">
        <v>95</v>
      </c>
      <c r="AQ121" t="s">
        <v>315</v>
      </c>
      <c r="AR121">
        <v>31</v>
      </c>
      <c r="AS121">
        <f>16.35117682*1.059464^AR121</f>
        <v>97.998932630681253</v>
      </c>
      <c r="AT121">
        <f t="shared" si="87"/>
        <v>2</v>
      </c>
    </row>
    <row r="122" spans="1:46" x14ac:dyDescent="0.2">
      <c r="A122">
        <f t="shared" si="45"/>
        <v>59</v>
      </c>
      <c r="E122">
        <f t="shared" si="46"/>
        <v>59</v>
      </c>
      <c r="I122">
        <f t="shared" si="47"/>
        <v>59</v>
      </c>
      <c r="M122">
        <f t="shared" si="48"/>
        <v>59</v>
      </c>
      <c r="Q122">
        <f t="shared" si="49"/>
        <v>59</v>
      </c>
      <c r="V122">
        <v>92</v>
      </c>
      <c r="W122" t="s">
        <v>222</v>
      </c>
      <c r="X122">
        <v>51</v>
      </c>
      <c r="Y122">
        <f t="shared" si="89"/>
        <v>311.13253664194741</v>
      </c>
      <c r="Z122">
        <f t="shared" si="83"/>
        <v>1</v>
      </c>
      <c r="AA122">
        <v>92</v>
      </c>
      <c r="AF122">
        <v>92</v>
      </c>
      <c r="AK122">
        <v>96</v>
      </c>
      <c r="AL122" t="s">
        <v>488</v>
      </c>
      <c r="AM122">
        <v>36</v>
      </c>
      <c r="AN122">
        <f>16.35117682*1.059464^AM122</f>
        <v>130.81344004395982</v>
      </c>
      <c r="AO122">
        <f t="shared" si="86"/>
        <v>3</v>
      </c>
      <c r="AP122">
        <v>96</v>
      </c>
      <c r="AQ122" t="s">
        <v>316</v>
      </c>
      <c r="AR122">
        <v>25</v>
      </c>
      <c r="AS122">
        <f>16.35117682*1.059464^AR122</f>
        <v>69.295354404852617</v>
      </c>
      <c r="AT122">
        <f t="shared" si="87"/>
        <v>6</v>
      </c>
    </row>
    <row r="123" spans="1:46" x14ac:dyDescent="0.2">
      <c r="A123">
        <f t="shared" si="45"/>
        <v>59.5</v>
      </c>
      <c r="B123" t="s">
        <v>362</v>
      </c>
      <c r="C123">
        <v>55</v>
      </c>
      <c r="D123">
        <f t="shared" ref="D123:D128" si="90">16.35117682*1.059464^C123</f>
        <v>392.00377257605692</v>
      </c>
      <c r="E123">
        <f t="shared" si="46"/>
        <v>59.5</v>
      </c>
      <c r="I123">
        <f t="shared" si="47"/>
        <v>59.5</v>
      </c>
      <c r="M123">
        <f t="shared" si="48"/>
        <v>59.5</v>
      </c>
      <c r="N123" t="s">
        <v>363</v>
      </c>
      <c r="O123">
        <v>53</v>
      </c>
      <c r="P123">
        <f t="shared" ref="P123:P128" si="91">16.35117682*1.059464^O123</f>
        <v>349.23506143398839</v>
      </c>
      <c r="Q123">
        <f t="shared" si="49"/>
        <v>59.5</v>
      </c>
      <c r="V123">
        <v>93</v>
      </c>
      <c r="W123" t="s">
        <v>23</v>
      </c>
      <c r="X123">
        <v>55</v>
      </c>
      <c r="Y123">
        <f>16.35117682*1.059464^X123</f>
        <v>392.00377257605692</v>
      </c>
      <c r="Z123">
        <f t="shared" si="83"/>
        <v>4</v>
      </c>
      <c r="AA123">
        <v>93</v>
      </c>
      <c r="AB123" t="s">
        <v>213</v>
      </c>
      <c r="AC123">
        <v>51</v>
      </c>
      <c r="AD123">
        <f>16.35117682*1.059464^AC123</f>
        <v>311.13253664194741</v>
      </c>
      <c r="AE123">
        <f>ABS(AC123-X122)</f>
        <v>0</v>
      </c>
      <c r="AF123">
        <v>93</v>
      </c>
      <c r="AG123" t="s">
        <v>483</v>
      </c>
      <c r="AH123">
        <v>44</v>
      </c>
      <c r="AI123">
        <f>16.35117682*1.059464^AH123</f>
        <v>207.65481237683719</v>
      </c>
      <c r="AJ123">
        <f>ABS(AH123-X122)</f>
        <v>7</v>
      </c>
      <c r="AK123">
        <v>97</v>
      </c>
      <c r="AL123" t="s">
        <v>80</v>
      </c>
      <c r="AM123">
        <v>36</v>
      </c>
      <c r="AN123">
        <f t="shared" ref="AN123:AN129" si="92">16.35117682*1.059464^AM123</f>
        <v>130.81344004395982</v>
      </c>
      <c r="AO123">
        <f t="shared" si="86"/>
        <v>0</v>
      </c>
      <c r="AP123">
        <v>97</v>
      </c>
    </row>
    <row r="124" spans="1:46" x14ac:dyDescent="0.2">
      <c r="A124">
        <f t="shared" si="45"/>
        <v>60</v>
      </c>
      <c r="B124" t="s">
        <v>365</v>
      </c>
      <c r="C124">
        <v>50</v>
      </c>
      <c r="D124">
        <f t="shared" si="90"/>
        <v>293.66975814369101</v>
      </c>
      <c r="E124">
        <f t="shared" si="46"/>
        <v>60</v>
      </c>
      <c r="I124">
        <f t="shared" si="47"/>
        <v>60</v>
      </c>
      <c r="M124">
        <f t="shared" si="48"/>
        <v>60</v>
      </c>
      <c r="N124" t="s">
        <v>366</v>
      </c>
      <c r="O124">
        <v>48</v>
      </c>
      <c r="P124">
        <f t="shared" si="91"/>
        <v>261.62956379894968</v>
      </c>
      <c r="Q124">
        <f t="shared" si="49"/>
        <v>60</v>
      </c>
      <c r="V124">
        <v>94</v>
      </c>
      <c r="W124" t="s">
        <v>486</v>
      </c>
      <c r="X124">
        <v>45</v>
      </c>
      <c r="Y124">
        <f>16.35117682*1.059464^X124</f>
        <v>220.00279814001337</v>
      </c>
      <c r="Z124">
        <f t="shared" si="83"/>
        <v>10</v>
      </c>
      <c r="AA124">
        <v>94</v>
      </c>
      <c r="AF124">
        <v>94</v>
      </c>
      <c r="AK124">
        <v>97.5</v>
      </c>
      <c r="AL124" t="s">
        <v>85</v>
      </c>
      <c r="AM124">
        <v>34</v>
      </c>
      <c r="AN124">
        <f t="shared" si="92"/>
        <v>116.54132680899107</v>
      </c>
      <c r="AO124">
        <f t="shared" si="86"/>
        <v>2</v>
      </c>
      <c r="AP124">
        <v>97.5</v>
      </c>
    </row>
    <row r="125" spans="1:46" x14ac:dyDescent="0.2">
      <c r="A125">
        <f t="shared" si="45"/>
        <v>60.5</v>
      </c>
      <c r="B125" t="s">
        <v>362</v>
      </c>
      <c r="C125">
        <v>55</v>
      </c>
      <c r="D125">
        <f t="shared" si="90"/>
        <v>392.00377257605692</v>
      </c>
      <c r="E125">
        <f t="shared" si="46"/>
        <v>60.5</v>
      </c>
      <c r="I125">
        <f t="shared" si="47"/>
        <v>60.5</v>
      </c>
      <c r="M125">
        <f t="shared" si="48"/>
        <v>60.5</v>
      </c>
      <c r="N125" t="s">
        <v>363</v>
      </c>
      <c r="O125">
        <v>53</v>
      </c>
      <c r="P125">
        <f t="shared" si="91"/>
        <v>349.23506143398839</v>
      </c>
      <c r="Q125">
        <f t="shared" si="49"/>
        <v>60.5</v>
      </c>
      <c r="V125">
        <v>95</v>
      </c>
      <c r="W125" t="s">
        <v>23</v>
      </c>
      <c r="X125">
        <v>55</v>
      </c>
      <c r="Y125">
        <f>16.35117682*1.059464^X125</f>
        <v>392.00377257605692</v>
      </c>
      <c r="Z125">
        <f t="shared" si="83"/>
        <v>10</v>
      </c>
      <c r="AA125">
        <v>95</v>
      </c>
      <c r="AB125" t="s">
        <v>213</v>
      </c>
      <c r="AC125">
        <v>51</v>
      </c>
      <c r="AD125">
        <f>16.35117682*1.059464^AC125</f>
        <v>311.13253664194741</v>
      </c>
      <c r="AE125">
        <f>ABS(AC125-X124)</f>
        <v>6</v>
      </c>
      <c r="AF125">
        <v>95</v>
      </c>
      <c r="AG125" t="s">
        <v>325</v>
      </c>
      <c r="AH125">
        <v>46</v>
      </c>
      <c r="AI125">
        <f>16.35117682*1.059464^AH125</f>
        <v>233.08504452861115</v>
      </c>
      <c r="AJ125">
        <f>ABS(AH125-X124)</f>
        <v>1</v>
      </c>
      <c r="AK125">
        <v>98</v>
      </c>
      <c r="AL125" t="s">
        <v>80</v>
      </c>
      <c r="AM125">
        <v>36</v>
      </c>
      <c r="AN125">
        <f t="shared" si="92"/>
        <v>130.81344004395982</v>
      </c>
      <c r="AO125">
        <f t="shared" si="86"/>
        <v>2</v>
      </c>
      <c r="AP125">
        <v>98</v>
      </c>
    </row>
    <row r="126" spans="1:46" x14ac:dyDescent="0.2">
      <c r="A126">
        <f t="shared" si="45"/>
        <v>61</v>
      </c>
      <c r="B126" t="s">
        <v>267</v>
      </c>
      <c r="C126">
        <v>50</v>
      </c>
      <c r="D126">
        <f t="shared" si="90"/>
        <v>293.66975814369101</v>
      </c>
      <c r="E126">
        <f t="shared" si="46"/>
        <v>61</v>
      </c>
      <c r="I126">
        <f t="shared" si="47"/>
        <v>61</v>
      </c>
      <c r="M126">
        <f t="shared" si="48"/>
        <v>61</v>
      </c>
      <c r="N126" t="s">
        <v>366</v>
      </c>
      <c r="O126">
        <v>48</v>
      </c>
      <c r="P126">
        <f t="shared" si="91"/>
        <v>261.62956379894968</v>
      </c>
      <c r="Q126">
        <f t="shared" si="49"/>
        <v>61</v>
      </c>
      <c r="V126">
        <v>96</v>
      </c>
      <c r="W126" t="s">
        <v>323</v>
      </c>
      <c r="X126">
        <v>48</v>
      </c>
      <c r="Y126">
        <f>16.35117682*1.059464^X126</f>
        <v>261.62956379894968</v>
      </c>
      <c r="Z126">
        <f t="shared" si="83"/>
        <v>7</v>
      </c>
      <c r="AA126">
        <v>96</v>
      </c>
      <c r="AB126" t="s">
        <v>448</v>
      </c>
      <c r="AC126">
        <v>43</v>
      </c>
      <c r="AD126">
        <f>16.35117682*1.059464^AC126</f>
        <v>195.99987576438383</v>
      </c>
      <c r="AE126">
        <f t="shared" si="84"/>
        <v>8</v>
      </c>
      <c r="AF126">
        <v>96</v>
      </c>
      <c r="AG126" t="s">
        <v>484</v>
      </c>
      <c r="AH126">
        <v>39</v>
      </c>
      <c r="AI126">
        <f>16.35117682*1.059464^AH126</f>
        <v>155.56467257275574</v>
      </c>
      <c r="AJ126">
        <f t="shared" si="85"/>
        <v>7</v>
      </c>
      <c r="AK126">
        <v>98.5</v>
      </c>
      <c r="AL126" t="s">
        <v>85</v>
      </c>
      <c r="AM126">
        <v>34</v>
      </c>
      <c r="AN126">
        <f t="shared" si="92"/>
        <v>116.54132680899107</v>
      </c>
      <c r="AO126">
        <f t="shared" si="86"/>
        <v>2</v>
      </c>
      <c r="AP126">
        <v>98.5</v>
      </c>
    </row>
    <row r="127" spans="1:46" x14ac:dyDescent="0.2">
      <c r="A127">
        <f t="shared" si="45"/>
        <v>61.5</v>
      </c>
      <c r="B127" t="s">
        <v>268</v>
      </c>
      <c r="C127">
        <v>55</v>
      </c>
      <c r="D127">
        <f t="shared" si="90"/>
        <v>392.00377257605692</v>
      </c>
      <c r="E127">
        <f t="shared" si="46"/>
        <v>61.5</v>
      </c>
      <c r="I127">
        <f t="shared" si="47"/>
        <v>61.5</v>
      </c>
      <c r="M127">
        <f t="shared" si="48"/>
        <v>61.5</v>
      </c>
      <c r="N127" t="s">
        <v>308</v>
      </c>
      <c r="O127">
        <v>53</v>
      </c>
      <c r="P127">
        <f t="shared" si="91"/>
        <v>349.23506143398839</v>
      </c>
      <c r="Q127">
        <f t="shared" si="49"/>
        <v>61.5</v>
      </c>
      <c r="V127">
        <v>97</v>
      </c>
      <c r="W127" t="s">
        <v>323</v>
      </c>
      <c r="X127">
        <v>48</v>
      </c>
      <c r="Y127">
        <f t="shared" ref="Y127:Y133" si="93">16.35117682*1.059464^X127</f>
        <v>261.62956379894968</v>
      </c>
      <c r="Z127">
        <f t="shared" si="83"/>
        <v>0</v>
      </c>
      <c r="AA127">
        <v>97</v>
      </c>
      <c r="AF127">
        <v>97</v>
      </c>
      <c r="AK127">
        <v>99</v>
      </c>
      <c r="AL127" t="s">
        <v>80</v>
      </c>
      <c r="AM127">
        <v>36</v>
      </c>
      <c r="AN127">
        <f t="shared" si="92"/>
        <v>130.81344004395982</v>
      </c>
      <c r="AO127">
        <f t="shared" si="86"/>
        <v>2</v>
      </c>
      <c r="AP127">
        <v>99</v>
      </c>
    </row>
    <row r="128" spans="1:46" x14ac:dyDescent="0.2">
      <c r="A128">
        <f t="shared" si="45"/>
        <v>62</v>
      </c>
      <c r="B128" t="s">
        <v>269</v>
      </c>
      <c r="C128">
        <v>50</v>
      </c>
      <c r="D128">
        <f t="shared" si="90"/>
        <v>293.66975814369101</v>
      </c>
      <c r="E128">
        <f t="shared" si="46"/>
        <v>62</v>
      </c>
      <c r="I128">
        <f t="shared" si="47"/>
        <v>62</v>
      </c>
      <c r="M128">
        <f t="shared" si="48"/>
        <v>62</v>
      </c>
      <c r="N128" t="s">
        <v>366</v>
      </c>
      <c r="O128">
        <v>48</v>
      </c>
      <c r="P128">
        <f t="shared" si="91"/>
        <v>261.62956379894968</v>
      </c>
      <c r="Q128">
        <f t="shared" si="49"/>
        <v>62</v>
      </c>
      <c r="V128">
        <v>97.5</v>
      </c>
      <c r="W128" t="s">
        <v>325</v>
      </c>
      <c r="X128">
        <v>46</v>
      </c>
      <c r="Y128">
        <f t="shared" si="93"/>
        <v>233.08504452861115</v>
      </c>
      <c r="Z128">
        <f t="shared" si="83"/>
        <v>2</v>
      </c>
      <c r="AA128">
        <v>97.5</v>
      </c>
      <c r="AF128">
        <v>97.5</v>
      </c>
      <c r="AK128">
        <v>99.5</v>
      </c>
      <c r="AL128" t="s">
        <v>82</v>
      </c>
      <c r="AM128">
        <v>38</v>
      </c>
      <c r="AN128">
        <f t="shared" si="92"/>
        <v>146.83337288738056</v>
      </c>
      <c r="AO128">
        <f t="shared" si="86"/>
        <v>2</v>
      </c>
      <c r="AP128">
        <v>99.5</v>
      </c>
    </row>
    <row r="129" spans="1:46" x14ac:dyDescent="0.2">
      <c r="A129">
        <f t="shared" si="45"/>
        <v>62.5</v>
      </c>
      <c r="E129">
        <f t="shared" si="46"/>
        <v>62.5</v>
      </c>
      <c r="I129">
        <f t="shared" si="47"/>
        <v>62.5</v>
      </c>
      <c r="M129">
        <f t="shared" si="48"/>
        <v>62.5</v>
      </c>
      <c r="Q129">
        <f t="shared" si="49"/>
        <v>62.5</v>
      </c>
      <c r="V129">
        <v>98</v>
      </c>
      <c r="W129" t="s">
        <v>323</v>
      </c>
      <c r="X129">
        <v>48</v>
      </c>
      <c r="Y129">
        <f t="shared" si="93"/>
        <v>261.62956379894968</v>
      </c>
      <c r="Z129">
        <f t="shared" si="83"/>
        <v>2</v>
      </c>
      <c r="AA129">
        <v>98</v>
      </c>
      <c r="AF129">
        <v>98</v>
      </c>
      <c r="AK129">
        <v>100</v>
      </c>
      <c r="AL129" t="s">
        <v>485</v>
      </c>
      <c r="AM129">
        <v>39</v>
      </c>
      <c r="AN129">
        <f t="shared" si="92"/>
        <v>155.56467257275574</v>
      </c>
      <c r="AO129">
        <f t="shared" si="86"/>
        <v>1</v>
      </c>
      <c r="AP129">
        <v>100</v>
      </c>
    </row>
    <row r="130" spans="1:46" x14ac:dyDescent="0.2">
      <c r="A130">
        <f t="shared" si="45"/>
        <v>63</v>
      </c>
      <c r="B130" t="s">
        <v>362</v>
      </c>
      <c r="C130">
        <v>55</v>
      </c>
      <c r="D130">
        <f>16.35117682*1.059464^C130</f>
        <v>392.00377257605692</v>
      </c>
      <c r="E130">
        <f t="shared" si="46"/>
        <v>63</v>
      </c>
      <c r="I130">
        <f t="shared" si="47"/>
        <v>63</v>
      </c>
      <c r="M130">
        <f t="shared" si="48"/>
        <v>63</v>
      </c>
      <c r="N130" t="s">
        <v>209</v>
      </c>
      <c r="O130">
        <v>53</v>
      </c>
      <c r="P130">
        <f>16.35117682*1.059464^O130</f>
        <v>349.23506143398839</v>
      </c>
      <c r="Q130">
        <f t="shared" si="49"/>
        <v>63</v>
      </c>
      <c r="V130">
        <v>98.5</v>
      </c>
      <c r="W130" t="s">
        <v>325</v>
      </c>
      <c r="X130">
        <v>46</v>
      </c>
      <c r="Y130">
        <f t="shared" si="93"/>
        <v>233.08504452861115</v>
      </c>
      <c r="Z130">
        <f>ABS(X130-X129)</f>
        <v>2</v>
      </c>
      <c r="AA130">
        <v>98.5</v>
      </c>
      <c r="AF130">
        <v>98.5</v>
      </c>
      <c r="AK130">
        <v>101</v>
      </c>
      <c r="AL130" t="s">
        <v>484</v>
      </c>
      <c r="AM130">
        <v>39</v>
      </c>
      <c r="AN130">
        <f>16.35117682*1.059464^AM130</f>
        <v>155.56467257275574</v>
      </c>
      <c r="AO130">
        <f>ABS(AM130-AM129)</f>
        <v>0</v>
      </c>
      <c r="AP130">
        <v>101</v>
      </c>
      <c r="AQ130" t="s">
        <v>312</v>
      </c>
      <c r="AR130">
        <v>29</v>
      </c>
      <c r="AS130">
        <f>16.35117682*1.059464^AR130</f>
        <v>87.306974197808145</v>
      </c>
      <c r="AT130">
        <f>ABS(AR130-AM129)</f>
        <v>10</v>
      </c>
    </row>
    <row r="131" spans="1:46" x14ac:dyDescent="0.2">
      <c r="A131">
        <f t="shared" si="45"/>
        <v>63.5</v>
      </c>
      <c r="E131">
        <f t="shared" si="46"/>
        <v>63.5</v>
      </c>
      <c r="I131">
        <f t="shared" si="47"/>
        <v>63.5</v>
      </c>
      <c r="M131">
        <f t="shared" si="48"/>
        <v>63.5</v>
      </c>
      <c r="Q131">
        <f t="shared" si="49"/>
        <v>63.5</v>
      </c>
      <c r="V131">
        <v>99</v>
      </c>
      <c r="W131" t="s">
        <v>323</v>
      </c>
      <c r="X131">
        <v>48</v>
      </c>
      <c r="Y131">
        <f t="shared" si="93"/>
        <v>261.62956379894968</v>
      </c>
      <c r="Z131">
        <f>ABS(X131-X130)</f>
        <v>2</v>
      </c>
      <c r="AA131">
        <v>99</v>
      </c>
      <c r="AF131">
        <v>99</v>
      </c>
      <c r="AK131">
        <v>103</v>
      </c>
      <c r="AL131" t="s">
        <v>484</v>
      </c>
      <c r="AM131">
        <v>39</v>
      </c>
      <c r="AN131">
        <f>16.35117682*1.059464^AM131</f>
        <v>155.56467257275574</v>
      </c>
      <c r="AO131">
        <f>ABS(AM131-AM130)</f>
        <v>0</v>
      </c>
      <c r="AP131">
        <v>103</v>
      </c>
      <c r="AQ131" t="s">
        <v>315</v>
      </c>
      <c r="AR131">
        <v>31</v>
      </c>
      <c r="AS131">
        <f>16.35117682*1.059464^AR131</f>
        <v>97.998932630681253</v>
      </c>
      <c r="AT131">
        <f>ABS(AR131-AR130)</f>
        <v>2</v>
      </c>
    </row>
    <row r="132" spans="1:46" x14ac:dyDescent="0.2">
      <c r="A132">
        <f t="shared" si="45"/>
        <v>64</v>
      </c>
      <c r="B132" t="s">
        <v>365</v>
      </c>
      <c r="C132">
        <v>50</v>
      </c>
      <c r="D132">
        <f t="shared" ref="D132:D140" si="94">16.35117682*1.059464^C132</f>
        <v>293.66975814369101</v>
      </c>
      <c r="E132">
        <f t="shared" si="46"/>
        <v>64</v>
      </c>
      <c r="I132">
        <f t="shared" si="47"/>
        <v>64</v>
      </c>
      <c r="M132">
        <f t="shared" si="48"/>
        <v>64</v>
      </c>
      <c r="N132" t="s">
        <v>366</v>
      </c>
      <c r="O132">
        <v>48</v>
      </c>
      <c r="P132">
        <f t="shared" ref="P132:P140" si="95">16.35117682*1.059464^O132</f>
        <v>261.62956379894968</v>
      </c>
      <c r="Q132">
        <f t="shared" si="49"/>
        <v>64</v>
      </c>
      <c r="V132">
        <v>99.5</v>
      </c>
      <c r="W132" t="s">
        <v>223</v>
      </c>
      <c r="X132">
        <v>50</v>
      </c>
      <c r="Y132">
        <f t="shared" si="93"/>
        <v>293.66975814369101</v>
      </c>
      <c r="Z132">
        <f t="shared" ref="Z132:Z150" si="96">ABS(X132-X131)</f>
        <v>2</v>
      </c>
      <c r="AA132">
        <v>99.5</v>
      </c>
      <c r="AF132">
        <v>99.5</v>
      </c>
      <c r="AK132">
        <v>104</v>
      </c>
      <c r="AL132" t="s">
        <v>80</v>
      </c>
      <c r="AM132">
        <v>36</v>
      </c>
      <c r="AN132">
        <f>16.35117682*1.059464^AM132</f>
        <v>130.81344004395982</v>
      </c>
      <c r="AO132">
        <f t="shared" ref="AO132:AO150" si="97">ABS(AM132-AM131)</f>
        <v>3</v>
      </c>
      <c r="AP132">
        <v>104</v>
      </c>
      <c r="AQ132" t="s">
        <v>316</v>
      </c>
      <c r="AR132">
        <v>24</v>
      </c>
      <c r="AS132">
        <f>16.35117682*1.059464^AR132</f>
        <v>65.406049101104529</v>
      </c>
      <c r="AT132">
        <f t="shared" ref="AT132" si="98">ABS(AR132-AR131)</f>
        <v>7</v>
      </c>
    </row>
    <row r="133" spans="1:46" x14ac:dyDescent="0.2">
      <c r="A133">
        <f t="shared" ref="A133:A196" si="99">A132+0.5</f>
        <v>64.5</v>
      </c>
      <c r="B133" t="s">
        <v>364</v>
      </c>
      <c r="C133">
        <v>51</v>
      </c>
      <c r="D133">
        <f t="shared" si="94"/>
        <v>311.13253664194741</v>
      </c>
      <c r="E133">
        <f t="shared" ref="E133:E196" si="100">E132+0.5</f>
        <v>64.5</v>
      </c>
      <c r="I133">
        <f t="shared" ref="I133:I196" si="101">I132+0.5</f>
        <v>64.5</v>
      </c>
      <c r="M133">
        <f t="shared" ref="M133:M196" si="102">M132+0.5</f>
        <v>64.5</v>
      </c>
      <c r="N133" t="s">
        <v>365</v>
      </c>
      <c r="O133">
        <v>50</v>
      </c>
      <c r="P133">
        <f t="shared" si="95"/>
        <v>293.66975814369101</v>
      </c>
      <c r="Q133">
        <f t="shared" ref="Q133:Q196" si="103">Q132+0.5</f>
        <v>64.5</v>
      </c>
      <c r="V133">
        <v>100</v>
      </c>
      <c r="W133" t="s">
        <v>222</v>
      </c>
      <c r="X133">
        <v>51</v>
      </c>
      <c r="Y133">
        <f t="shared" si="93"/>
        <v>311.13253664194741</v>
      </c>
      <c r="Z133">
        <f t="shared" si="96"/>
        <v>1</v>
      </c>
      <c r="AA133">
        <v>100</v>
      </c>
      <c r="AF133">
        <v>100</v>
      </c>
      <c r="AK133">
        <v>105</v>
      </c>
      <c r="AL133" t="s">
        <v>80</v>
      </c>
      <c r="AM133">
        <v>36</v>
      </c>
      <c r="AN133">
        <f t="shared" ref="AN133:AN139" si="104">16.35117682*1.059464^AM133</f>
        <v>130.81344004395982</v>
      </c>
      <c r="AO133">
        <f t="shared" si="97"/>
        <v>0</v>
      </c>
      <c r="AP133">
        <v>105</v>
      </c>
    </row>
    <row r="134" spans="1:46" x14ac:dyDescent="0.2">
      <c r="A134">
        <f t="shared" si="99"/>
        <v>65</v>
      </c>
      <c r="B134" t="s">
        <v>363</v>
      </c>
      <c r="C134">
        <v>53</v>
      </c>
      <c r="D134">
        <f t="shared" si="94"/>
        <v>349.23506143398839</v>
      </c>
      <c r="E134">
        <f t="shared" si="100"/>
        <v>65</v>
      </c>
      <c r="I134">
        <f t="shared" si="101"/>
        <v>65</v>
      </c>
      <c r="M134">
        <f t="shared" si="102"/>
        <v>65</v>
      </c>
      <c r="N134" t="s">
        <v>364</v>
      </c>
      <c r="O134">
        <v>51</v>
      </c>
      <c r="P134">
        <f t="shared" si="95"/>
        <v>311.13253664194741</v>
      </c>
      <c r="Q134">
        <f t="shared" si="103"/>
        <v>65</v>
      </c>
      <c r="V134">
        <v>101</v>
      </c>
      <c r="W134" t="s">
        <v>23</v>
      </c>
      <c r="X134">
        <v>55</v>
      </c>
      <c r="Y134">
        <f>16.35117682*1.059464^X134</f>
        <v>392.00377257605692</v>
      </c>
      <c r="Z134">
        <f t="shared" si="96"/>
        <v>4</v>
      </c>
      <c r="AA134">
        <v>101</v>
      </c>
      <c r="AB134" t="s">
        <v>222</v>
      </c>
      <c r="AC134">
        <v>51</v>
      </c>
      <c r="AD134">
        <f>16.35117682*1.059464^AC134</f>
        <v>311.13253664194741</v>
      </c>
      <c r="AE134">
        <f>ABS(AC134-X133)</f>
        <v>0</v>
      </c>
      <c r="AF134">
        <v>101</v>
      </c>
      <c r="AG134" t="s">
        <v>449</v>
      </c>
      <c r="AH134">
        <v>44</v>
      </c>
      <c r="AI134">
        <f>16.35117682*1.059464^AH134</f>
        <v>207.65481237683719</v>
      </c>
      <c r="AJ134">
        <f>ABS(AH134-X133)</f>
        <v>7</v>
      </c>
      <c r="AK134">
        <v>105.5</v>
      </c>
      <c r="AL134" t="s">
        <v>81</v>
      </c>
      <c r="AM134">
        <v>34</v>
      </c>
      <c r="AN134">
        <f t="shared" si="104"/>
        <v>116.54132680899107</v>
      </c>
      <c r="AO134">
        <f t="shared" si="97"/>
        <v>2</v>
      </c>
      <c r="AP134">
        <v>105.5</v>
      </c>
    </row>
    <row r="135" spans="1:46" x14ac:dyDescent="0.2">
      <c r="A135">
        <f t="shared" si="99"/>
        <v>65.5</v>
      </c>
      <c r="B135" t="s">
        <v>362</v>
      </c>
      <c r="C135">
        <v>55</v>
      </c>
      <c r="D135">
        <f t="shared" si="94"/>
        <v>392.00377257605692</v>
      </c>
      <c r="E135">
        <f t="shared" si="100"/>
        <v>65.5</v>
      </c>
      <c r="I135">
        <f t="shared" si="101"/>
        <v>65.5</v>
      </c>
      <c r="M135">
        <f t="shared" si="102"/>
        <v>65.5</v>
      </c>
      <c r="N135" t="s">
        <v>363</v>
      </c>
      <c r="O135">
        <v>53</v>
      </c>
      <c r="P135">
        <f t="shared" si="95"/>
        <v>349.23506143398839</v>
      </c>
      <c r="Q135">
        <f t="shared" si="103"/>
        <v>65.5</v>
      </c>
      <c r="V135">
        <v>102</v>
      </c>
      <c r="W135" t="s">
        <v>487</v>
      </c>
      <c r="X135">
        <v>45</v>
      </c>
      <c r="Y135">
        <f>16.35117682*1.059464^X135</f>
        <v>220.00279814001337</v>
      </c>
      <c r="Z135">
        <f t="shared" si="96"/>
        <v>10</v>
      </c>
      <c r="AA135">
        <v>102</v>
      </c>
      <c r="AF135">
        <v>102</v>
      </c>
      <c r="AK135">
        <v>106</v>
      </c>
      <c r="AL135" t="s">
        <v>80</v>
      </c>
      <c r="AM135">
        <v>36</v>
      </c>
      <c r="AN135">
        <f t="shared" si="104"/>
        <v>130.81344004395982</v>
      </c>
      <c r="AO135">
        <f t="shared" si="97"/>
        <v>2</v>
      </c>
      <c r="AP135">
        <v>106</v>
      </c>
    </row>
    <row r="136" spans="1:46" x14ac:dyDescent="0.2">
      <c r="A136">
        <f t="shared" si="99"/>
        <v>66</v>
      </c>
      <c r="B136" t="s">
        <v>209</v>
      </c>
      <c r="C136">
        <v>53</v>
      </c>
      <c r="D136">
        <f t="shared" si="94"/>
        <v>349.23506143398839</v>
      </c>
      <c r="E136">
        <f t="shared" si="100"/>
        <v>66</v>
      </c>
      <c r="I136">
        <f t="shared" si="101"/>
        <v>66</v>
      </c>
      <c r="M136">
        <f t="shared" si="102"/>
        <v>66</v>
      </c>
      <c r="N136" t="s">
        <v>364</v>
      </c>
      <c r="O136">
        <v>51</v>
      </c>
      <c r="P136">
        <f t="shared" si="95"/>
        <v>311.13253664194741</v>
      </c>
      <c r="Q136">
        <f t="shared" si="103"/>
        <v>66</v>
      </c>
      <c r="V136">
        <v>103</v>
      </c>
      <c r="W136" t="s">
        <v>23</v>
      </c>
      <c r="X136">
        <v>55</v>
      </c>
      <c r="Y136">
        <f>16.35117682*1.059464^X136</f>
        <v>392.00377257605692</v>
      </c>
      <c r="Z136">
        <f t="shared" si="96"/>
        <v>10</v>
      </c>
      <c r="AA136">
        <v>103</v>
      </c>
      <c r="AB136" t="s">
        <v>222</v>
      </c>
      <c r="AC136">
        <v>51</v>
      </c>
      <c r="AD136">
        <f>16.35117682*1.059464^AC136</f>
        <v>311.13253664194741</v>
      </c>
      <c r="AE136">
        <f>ABS(AC136-X135)</f>
        <v>6</v>
      </c>
      <c r="AF136">
        <v>103</v>
      </c>
      <c r="AG136" t="s">
        <v>325</v>
      </c>
      <c r="AH136">
        <v>46</v>
      </c>
      <c r="AI136">
        <f>16.35117682*1.059464^AH136</f>
        <v>233.08504452861115</v>
      </c>
      <c r="AJ136">
        <f>ABS(AH136-X135)</f>
        <v>1</v>
      </c>
      <c r="AK136">
        <v>106.5</v>
      </c>
      <c r="AL136" t="s">
        <v>85</v>
      </c>
      <c r="AM136">
        <v>34</v>
      </c>
      <c r="AN136">
        <f t="shared" si="104"/>
        <v>116.54132680899107</v>
      </c>
      <c r="AO136">
        <f t="shared" si="97"/>
        <v>2</v>
      </c>
      <c r="AP136">
        <v>106.5</v>
      </c>
    </row>
    <row r="137" spans="1:46" x14ac:dyDescent="0.2">
      <c r="A137">
        <f t="shared" si="99"/>
        <v>66.5</v>
      </c>
      <c r="B137" t="s">
        <v>210</v>
      </c>
      <c r="C137">
        <v>51</v>
      </c>
      <c r="D137">
        <f t="shared" si="94"/>
        <v>311.13253664194741</v>
      </c>
      <c r="E137">
        <f t="shared" si="100"/>
        <v>66.5</v>
      </c>
      <c r="I137">
        <f t="shared" si="101"/>
        <v>66.5</v>
      </c>
      <c r="M137">
        <f t="shared" si="102"/>
        <v>66.5</v>
      </c>
      <c r="N137" t="s">
        <v>365</v>
      </c>
      <c r="O137">
        <v>50</v>
      </c>
      <c r="P137">
        <f t="shared" si="95"/>
        <v>293.66975814369101</v>
      </c>
      <c r="Q137">
        <f t="shared" si="103"/>
        <v>66.5</v>
      </c>
      <c r="V137">
        <v>104</v>
      </c>
      <c r="W137" t="s">
        <v>323</v>
      </c>
      <c r="X137">
        <v>48</v>
      </c>
      <c r="Y137">
        <f>16.35117682*1.059464^X137</f>
        <v>261.62956379894968</v>
      </c>
      <c r="Z137">
        <f t="shared" si="96"/>
        <v>7</v>
      </c>
      <c r="AA137">
        <v>104</v>
      </c>
      <c r="AB137" t="s">
        <v>448</v>
      </c>
      <c r="AC137">
        <v>43</v>
      </c>
      <c r="AD137">
        <f>16.35117682*1.059464^AC137</f>
        <v>195.99987576438383</v>
      </c>
      <c r="AE137">
        <f t="shared" ref="AE137" si="105">ABS(AC137-AC136)</f>
        <v>8</v>
      </c>
      <c r="AF137">
        <v>104</v>
      </c>
      <c r="AG137" t="s">
        <v>485</v>
      </c>
      <c r="AH137">
        <v>39</v>
      </c>
      <c r="AI137">
        <f>16.35117682*1.059464^AH137</f>
        <v>155.56467257275574</v>
      </c>
      <c r="AJ137">
        <f t="shared" ref="AJ137" si="106">ABS(AH137-AH136)</f>
        <v>7</v>
      </c>
      <c r="AK137">
        <v>107</v>
      </c>
      <c r="AL137" t="s">
        <v>253</v>
      </c>
      <c r="AM137">
        <v>36</v>
      </c>
      <c r="AN137">
        <f t="shared" si="104"/>
        <v>130.81344004395982</v>
      </c>
      <c r="AO137">
        <f t="shared" si="97"/>
        <v>2</v>
      </c>
      <c r="AP137">
        <v>107</v>
      </c>
    </row>
    <row r="138" spans="1:46" x14ac:dyDescent="0.2">
      <c r="A138">
        <f t="shared" si="99"/>
        <v>67</v>
      </c>
      <c r="B138" t="s">
        <v>365</v>
      </c>
      <c r="C138">
        <v>50</v>
      </c>
      <c r="D138">
        <f t="shared" si="94"/>
        <v>293.66975814369101</v>
      </c>
      <c r="E138">
        <f t="shared" si="100"/>
        <v>67</v>
      </c>
      <c r="I138">
        <f t="shared" si="101"/>
        <v>67</v>
      </c>
      <c r="M138">
        <f t="shared" si="102"/>
        <v>67</v>
      </c>
      <c r="N138" t="s">
        <v>366</v>
      </c>
      <c r="O138">
        <v>48</v>
      </c>
      <c r="P138">
        <f t="shared" si="95"/>
        <v>261.62956379894968</v>
      </c>
      <c r="Q138">
        <f t="shared" si="103"/>
        <v>67</v>
      </c>
      <c r="V138">
        <v>105</v>
      </c>
      <c r="W138" t="s">
        <v>323</v>
      </c>
      <c r="X138">
        <v>48</v>
      </c>
      <c r="Y138">
        <f t="shared" ref="Y138:Y144" si="107">16.35117682*1.059464^X138</f>
        <v>261.62956379894968</v>
      </c>
      <c r="Z138">
        <f t="shared" si="96"/>
        <v>0</v>
      </c>
      <c r="AA138">
        <v>105</v>
      </c>
      <c r="AF138">
        <v>105</v>
      </c>
      <c r="AK138">
        <v>107.5</v>
      </c>
      <c r="AL138" t="s">
        <v>485</v>
      </c>
      <c r="AM138">
        <v>39</v>
      </c>
      <c r="AN138">
        <f t="shared" si="104"/>
        <v>155.56467257275574</v>
      </c>
      <c r="AO138">
        <f t="shared" si="97"/>
        <v>3</v>
      </c>
      <c r="AP138">
        <v>107.5</v>
      </c>
    </row>
    <row r="139" spans="1:46" x14ac:dyDescent="0.2">
      <c r="A139">
        <f t="shared" si="99"/>
        <v>67.5</v>
      </c>
      <c r="B139" t="s">
        <v>366</v>
      </c>
      <c r="C139">
        <v>48</v>
      </c>
      <c r="D139">
        <f t="shared" si="94"/>
        <v>261.62956379894968</v>
      </c>
      <c r="E139">
        <f t="shared" si="100"/>
        <v>67.5</v>
      </c>
      <c r="I139">
        <f t="shared" si="101"/>
        <v>67.5</v>
      </c>
      <c r="M139">
        <f t="shared" si="102"/>
        <v>67.5</v>
      </c>
      <c r="N139" t="s">
        <v>212</v>
      </c>
      <c r="O139">
        <v>46</v>
      </c>
      <c r="P139">
        <f t="shared" si="95"/>
        <v>233.08504452861115</v>
      </c>
      <c r="Q139">
        <f t="shared" si="103"/>
        <v>67.5</v>
      </c>
      <c r="V139">
        <v>105.5</v>
      </c>
      <c r="W139" t="s">
        <v>325</v>
      </c>
      <c r="X139">
        <v>46</v>
      </c>
      <c r="Y139">
        <f t="shared" si="107"/>
        <v>233.08504452861115</v>
      </c>
      <c r="Z139">
        <f t="shared" si="96"/>
        <v>2</v>
      </c>
      <c r="AA139">
        <v>105.5</v>
      </c>
      <c r="AF139">
        <v>105.5</v>
      </c>
      <c r="AK139">
        <v>108</v>
      </c>
      <c r="AL139" t="s">
        <v>325</v>
      </c>
      <c r="AM139">
        <v>46</v>
      </c>
      <c r="AN139">
        <f t="shared" si="104"/>
        <v>233.08504452861115</v>
      </c>
      <c r="AO139">
        <f t="shared" si="97"/>
        <v>7</v>
      </c>
      <c r="AP139">
        <v>108</v>
      </c>
    </row>
    <row r="140" spans="1:46" x14ac:dyDescent="0.2">
      <c r="A140">
        <f t="shared" si="99"/>
        <v>68</v>
      </c>
      <c r="B140" t="s">
        <v>365</v>
      </c>
      <c r="C140">
        <v>50</v>
      </c>
      <c r="D140">
        <f t="shared" si="94"/>
        <v>293.66975814369101</v>
      </c>
      <c r="E140">
        <f t="shared" si="100"/>
        <v>68</v>
      </c>
      <c r="I140">
        <f t="shared" si="101"/>
        <v>68</v>
      </c>
      <c r="M140">
        <f t="shared" si="102"/>
        <v>68</v>
      </c>
      <c r="N140" t="s">
        <v>366</v>
      </c>
      <c r="O140">
        <v>48</v>
      </c>
      <c r="P140">
        <f t="shared" si="95"/>
        <v>261.62956379894968</v>
      </c>
      <c r="Q140">
        <f t="shared" si="103"/>
        <v>68</v>
      </c>
      <c r="V140">
        <v>106</v>
      </c>
      <c r="W140" t="s">
        <v>323</v>
      </c>
      <c r="X140">
        <v>48</v>
      </c>
      <c r="Y140">
        <f t="shared" si="107"/>
        <v>261.62956379894968</v>
      </c>
      <c r="Z140">
        <f t="shared" si="96"/>
        <v>2</v>
      </c>
      <c r="AA140">
        <v>106</v>
      </c>
      <c r="AF140">
        <v>106</v>
      </c>
      <c r="AK140">
        <v>111</v>
      </c>
      <c r="AL140" t="s">
        <v>444</v>
      </c>
      <c r="AM140">
        <v>43</v>
      </c>
      <c r="AN140">
        <f t="shared" ref="AN140:AN154" si="108">16.35117682*1.059464^AM140</f>
        <v>195.99987576438383</v>
      </c>
      <c r="AO140">
        <f t="shared" si="97"/>
        <v>3</v>
      </c>
      <c r="AP140">
        <v>111</v>
      </c>
    </row>
    <row r="141" spans="1:46" x14ac:dyDescent="0.2">
      <c r="A141">
        <f t="shared" si="99"/>
        <v>68.5</v>
      </c>
      <c r="E141">
        <f t="shared" si="100"/>
        <v>68.5</v>
      </c>
      <c r="I141">
        <f t="shared" si="101"/>
        <v>68.5</v>
      </c>
      <c r="M141">
        <f t="shared" si="102"/>
        <v>68.5</v>
      </c>
      <c r="Q141">
        <f t="shared" si="103"/>
        <v>68.5</v>
      </c>
      <c r="V141">
        <v>106.5</v>
      </c>
      <c r="W141" t="s">
        <v>325</v>
      </c>
      <c r="X141">
        <v>46</v>
      </c>
      <c r="Y141">
        <f t="shared" si="107"/>
        <v>233.08504452861115</v>
      </c>
      <c r="Z141">
        <f t="shared" si="96"/>
        <v>2</v>
      </c>
      <c r="AA141">
        <v>106.5</v>
      </c>
      <c r="AF141">
        <v>106.5</v>
      </c>
      <c r="AK141">
        <v>111.5</v>
      </c>
      <c r="AL141" t="s">
        <v>325</v>
      </c>
      <c r="AM141">
        <v>34</v>
      </c>
      <c r="AN141">
        <f t="shared" si="108"/>
        <v>116.54132680899107</v>
      </c>
      <c r="AO141">
        <f t="shared" si="97"/>
        <v>9</v>
      </c>
      <c r="AP141">
        <v>111.5</v>
      </c>
    </row>
    <row r="142" spans="1:46" x14ac:dyDescent="0.2">
      <c r="A142">
        <f t="shared" si="99"/>
        <v>69</v>
      </c>
      <c r="B142" t="s">
        <v>252</v>
      </c>
      <c r="C142">
        <v>44</v>
      </c>
      <c r="D142">
        <f>16.35117682*1.059464^C142</f>
        <v>207.65481237683719</v>
      </c>
      <c r="E142">
        <f t="shared" si="100"/>
        <v>69</v>
      </c>
      <c r="I142">
        <f t="shared" si="101"/>
        <v>69</v>
      </c>
      <c r="M142">
        <f t="shared" si="102"/>
        <v>69</v>
      </c>
      <c r="N142" t="s">
        <v>444</v>
      </c>
      <c r="O142">
        <v>43</v>
      </c>
      <c r="P142">
        <f>16.35117682*1.059464^O142</f>
        <v>195.99987576438383</v>
      </c>
      <c r="Q142">
        <f t="shared" si="103"/>
        <v>69</v>
      </c>
      <c r="V142">
        <v>107</v>
      </c>
      <c r="W142" t="s">
        <v>323</v>
      </c>
      <c r="X142">
        <v>48</v>
      </c>
      <c r="Y142">
        <f t="shared" si="107"/>
        <v>261.62956379894968</v>
      </c>
      <c r="Z142">
        <f t="shared" si="96"/>
        <v>2</v>
      </c>
      <c r="AA142">
        <v>107</v>
      </c>
      <c r="AF142">
        <v>107</v>
      </c>
      <c r="AK142">
        <v>112</v>
      </c>
      <c r="AL142" t="s">
        <v>80</v>
      </c>
      <c r="AM142">
        <v>36</v>
      </c>
      <c r="AN142">
        <f t="shared" si="108"/>
        <v>130.81344004395982</v>
      </c>
      <c r="AO142">
        <f t="shared" si="97"/>
        <v>2</v>
      </c>
      <c r="AP142">
        <v>112</v>
      </c>
    </row>
    <row r="143" spans="1:46" x14ac:dyDescent="0.2">
      <c r="A143">
        <f t="shared" si="99"/>
        <v>69.5</v>
      </c>
      <c r="E143">
        <f t="shared" si="100"/>
        <v>69.5</v>
      </c>
      <c r="I143">
        <f t="shared" si="101"/>
        <v>69.5</v>
      </c>
      <c r="M143">
        <f t="shared" si="102"/>
        <v>69.5</v>
      </c>
      <c r="Q143">
        <f t="shared" si="103"/>
        <v>69.5</v>
      </c>
      <c r="V143">
        <v>107.5</v>
      </c>
      <c r="W143" t="s">
        <v>254</v>
      </c>
      <c r="X143">
        <v>51</v>
      </c>
      <c r="Y143">
        <f t="shared" si="107"/>
        <v>311.13253664194741</v>
      </c>
      <c r="Z143">
        <f t="shared" si="96"/>
        <v>3</v>
      </c>
      <c r="AA143">
        <v>107.5</v>
      </c>
      <c r="AF143">
        <v>107.5</v>
      </c>
      <c r="AK143">
        <v>112.5</v>
      </c>
      <c r="AL143" t="s">
        <v>485</v>
      </c>
      <c r="AM143">
        <v>39</v>
      </c>
      <c r="AN143">
        <f t="shared" si="108"/>
        <v>155.56467257275574</v>
      </c>
      <c r="AO143">
        <f t="shared" si="97"/>
        <v>3</v>
      </c>
      <c r="AP143">
        <v>112.5</v>
      </c>
    </row>
    <row r="144" spans="1:46" x14ac:dyDescent="0.2">
      <c r="A144">
        <f t="shared" si="99"/>
        <v>70</v>
      </c>
      <c r="B144" t="s">
        <v>252</v>
      </c>
      <c r="C144">
        <v>44</v>
      </c>
      <c r="D144">
        <f>16.35117682*1.059464^C144</f>
        <v>207.65481237683719</v>
      </c>
      <c r="E144">
        <f t="shared" si="100"/>
        <v>70</v>
      </c>
      <c r="I144">
        <f t="shared" si="101"/>
        <v>70</v>
      </c>
      <c r="M144">
        <f t="shared" si="102"/>
        <v>70</v>
      </c>
      <c r="N144" t="s">
        <v>444</v>
      </c>
      <c r="O144">
        <v>43</v>
      </c>
      <c r="P144">
        <f>16.35117682*1.059464^O144</f>
        <v>195.99987576438383</v>
      </c>
      <c r="Q144">
        <f t="shared" si="103"/>
        <v>70</v>
      </c>
      <c r="V144">
        <v>108</v>
      </c>
      <c r="W144" t="s">
        <v>212</v>
      </c>
      <c r="X144">
        <v>58</v>
      </c>
      <c r="Y144">
        <f t="shared" si="107"/>
        <v>466.17487092753117</v>
      </c>
      <c r="Z144">
        <f t="shared" si="96"/>
        <v>7</v>
      </c>
      <c r="AA144">
        <v>108</v>
      </c>
      <c r="AF144">
        <v>108</v>
      </c>
      <c r="AK144">
        <v>113</v>
      </c>
      <c r="AL144" t="s">
        <v>325</v>
      </c>
      <c r="AM144">
        <v>46</v>
      </c>
      <c r="AN144">
        <f t="shared" si="108"/>
        <v>233.08504452861115</v>
      </c>
      <c r="AO144">
        <f t="shared" si="97"/>
        <v>7</v>
      </c>
      <c r="AP144">
        <v>113</v>
      </c>
    </row>
    <row r="145" spans="1:46" x14ac:dyDescent="0.2">
      <c r="A145">
        <f t="shared" si="99"/>
        <v>70.5</v>
      </c>
      <c r="E145">
        <f t="shared" si="100"/>
        <v>70.5</v>
      </c>
      <c r="I145">
        <f t="shared" si="101"/>
        <v>70.5</v>
      </c>
      <c r="M145">
        <f t="shared" si="102"/>
        <v>70.5</v>
      </c>
      <c r="Q145">
        <f t="shared" si="103"/>
        <v>70.5</v>
      </c>
      <c r="V145">
        <v>111</v>
      </c>
      <c r="W145" t="s">
        <v>23</v>
      </c>
      <c r="X145">
        <v>55</v>
      </c>
      <c r="Y145">
        <f t="shared" ref="Y145:Y159" si="109">16.35117682*1.059464^X145</f>
        <v>392.00377257605692</v>
      </c>
      <c r="Z145">
        <f t="shared" si="96"/>
        <v>3</v>
      </c>
      <c r="AA145">
        <v>111</v>
      </c>
      <c r="AF145">
        <v>111</v>
      </c>
      <c r="AK145">
        <v>113.5</v>
      </c>
      <c r="AL145" t="s">
        <v>323</v>
      </c>
      <c r="AM145">
        <v>48</v>
      </c>
      <c r="AN145">
        <f t="shared" si="108"/>
        <v>261.62956379894968</v>
      </c>
      <c r="AO145">
        <f t="shared" si="97"/>
        <v>2</v>
      </c>
      <c r="AP145">
        <v>113.5</v>
      </c>
    </row>
    <row r="146" spans="1:46" x14ac:dyDescent="0.2">
      <c r="A146">
        <f t="shared" si="99"/>
        <v>71</v>
      </c>
      <c r="B146" t="s">
        <v>211</v>
      </c>
      <c r="C146">
        <v>50</v>
      </c>
      <c r="D146">
        <f>16.35117682*1.059464^C146</f>
        <v>293.66975814369101</v>
      </c>
      <c r="E146">
        <f t="shared" si="100"/>
        <v>71</v>
      </c>
      <c r="I146">
        <f t="shared" si="101"/>
        <v>71</v>
      </c>
      <c r="M146">
        <f t="shared" si="102"/>
        <v>71</v>
      </c>
      <c r="Q146">
        <f t="shared" si="103"/>
        <v>71</v>
      </c>
      <c r="V146">
        <v>111.5</v>
      </c>
      <c r="W146" t="s">
        <v>212</v>
      </c>
      <c r="X146">
        <v>46</v>
      </c>
      <c r="Y146">
        <f t="shared" si="109"/>
        <v>233.08504452861115</v>
      </c>
      <c r="Z146">
        <f t="shared" si="96"/>
        <v>9</v>
      </c>
      <c r="AA146">
        <v>111.5</v>
      </c>
      <c r="AF146">
        <v>111.5</v>
      </c>
      <c r="AK146">
        <v>114</v>
      </c>
      <c r="AL146" t="s">
        <v>222</v>
      </c>
      <c r="AM146">
        <v>51</v>
      </c>
      <c r="AN146">
        <f t="shared" si="108"/>
        <v>311.13253664194741</v>
      </c>
      <c r="AO146">
        <f t="shared" si="97"/>
        <v>3</v>
      </c>
      <c r="AP146">
        <v>114</v>
      </c>
    </row>
    <row r="147" spans="1:46" x14ac:dyDescent="0.2">
      <c r="A147">
        <f t="shared" si="99"/>
        <v>71.5</v>
      </c>
      <c r="E147">
        <f t="shared" si="100"/>
        <v>71.5</v>
      </c>
      <c r="I147">
        <f t="shared" si="101"/>
        <v>71.5</v>
      </c>
      <c r="M147">
        <f t="shared" si="102"/>
        <v>71.5</v>
      </c>
      <c r="Q147">
        <f t="shared" si="103"/>
        <v>71.5</v>
      </c>
      <c r="V147">
        <v>112</v>
      </c>
      <c r="W147" t="s">
        <v>323</v>
      </c>
      <c r="X147">
        <v>48</v>
      </c>
      <c r="Y147">
        <f t="shared" si="109"/>
        <v>261.62956379894968</v>
      </c>
      <c r="Z147">
        <f t="shared" si="96"/>
        <v>2</v>
      </c>
      <c r="AA147">
        <v>112</v>
      </c>
      <c r="AF147">
        <v>112</v>
      </c>
      <c r="AK147">
        <v>114.5</v>
      </c>
      <c r="AL147" t="s">
        <v>325</v>
      </c>
      <c r="AM147">
        <v>58</v>
      </c>
      <c r="AN147">
        <f t="shared" si="108"/>
        <v>466.17487092753117</v>
      </c>
      <c r="AO147">
        <f t="shared" si="97"/>
        <v>7</v>
      </c>
      <c r="AP147">
        <v>114.5</v>
      </c>
    </row>
    <row r="148" spans="1:46" x14ac:dyDescent="0.2">
      <c r="A148">
        <f t="shared" si="99"/>
        <v>72</v>
      </c>
      <c r="B148" t="s">
        <v>359</v>
      </c>
      <c r="C148">
        <v>48</v>
      </c>
      <c r="D148">
        <f>16.35117682*1.059464^C148</f>
        <v>261.62956379894968</v>
      </c>
      <c r="E148">
        <f t="shared" si="100"/>
        <v>72</v>
      </c>
      <c r="I148">
        <f t="shared" si="101"/>
        <v>72</v>
      </c>
      <c r="M148">
        <f t="shared" si="102"/>
        <v>72</v>
      </c>
      <c r="N148" t="s">
        <v>80</v>
      </c>
      <c r="O148">
        <v>36</v>
      </c>
      <c r="P148">
        <f>16.35117682*1.059464^O148</f>
        <v>130.81344004395982</v>
      </c>
      <c r="Q148">
        <f t="shared" si="103"/>
        <v>72</v>
      </c>
      <c r="V148">
        <v>112.5</v>
      </c>
      <c r="W148" t="s">
        <v>213</v>
      </c>
      <c r="X148">
        <v>51</v>
      </c>
      <c r="Y148">
        <f t="shared" si="109"/>
        <v>311.13253664194741</v>
      </c>
      <c r="Z148">
        <f t="shared" si="96"/>
        <v>3</v>
      </c>
      <c r="AA148">
        <v>112.5</v>
      </c>
      <c r="AF148">
        <v>112.5</v>
      </c>
      <c r="AK148">
        <v>115</v>
      </c>
      <c r="AL148" t="s">
        <v>265</v>
      </c>
      <c r="AM148">
        <v>60</v>
      </c>
      <c r="AN148">
        <f t="shared" si="108"/>
        <v>523.26449507501752</v>
      </c>
      <c r="AO148">
        <f t="shared" si="97"/>
        <v>2</v>
      </c>
      <c r="AP148">
        <v>115</v>
      </c>
    </row>
    <row r="149" spans="1:46" x14ac:dyDescent="0.2">
      <c r="A149">
        <f t="shared" si="99"/>
        <v>72.5</v>
      </c>
      <c r="E149">
        <f t="shared" si="100"/>
        <v>72.5</v>
      </c>
      <c r="I149">
        <f t="shared" si="101"/>
        <v>72.5</v>
      </c>
      <c r="M149">
        <f t="shared" si="102"/>
        <v>72.5</v>
      </c>
      <c r="Q149">
        <f t="shared" si="103"/>
        <v>72.5</v>
      </c>
      <c r="V149">
        <v>113</v>
      </c>
      <c r="W149" t="s">
        <v>178</v>
      </c>
      <c r="X149">
        <v>46</v>
      </c>
      <c r="Y149">
        <f t="shared" si="109"/>
        <v>233.08504452861115</v>
      </c>
      <c r="Z149">
        <f t="shared" si="96"/>
        <v>5</v>
      </c>
      <c r="AA149">
        <v>113</v>
      </c>
      <c r="AF149">
        <v>113</v>
      </c>
      <c r="AK149">
        <v>115.5</v>
      </c>
      <c r="AL149" t="s">
        <v>264</v>
      </c>
      <c r="AM149">
        <v>63</v>
      </c>
      <c r="AN149">
        <f t="shared" si="108"/>
        <v>622.27145634224212</v>
      </c>
      <c r="AO149">
        <f t="shared" si="97"/>
        <v>3</v>
      </c>
      <c r="AP149">
        <v>115.5</v>
      </c>
    </row>
    <row r="150" spans="1:46" x14ac:dyDescent="0.2">
      <c r="A150">
        <f t="shared" si="99"/>
        <v>73</v>
      </c>
      <c r="B150" t="s">
        <v>359</v>
      </c>
      <c r="C150">
        <v>48</v>
      </c>
      <c r="D150">
        <f>16.35117682*1.059464^C150</f>
        <v>261.62956379894968</v>
      </c>
      <c r="E150">
        <f t="shared" si="100"/>
        <v>73</v>
      </c>
      <c r="I150">
        <f t="shared" si="101"/>
        <v>73</v>
      </c>
      <c r="M150">
        <f t="shared" si="102"/>
        <v>73</v>
      </c>
      <c r="N150" t="s">
        <v>80</v>
      </c>
      <c r="O150">
        <v>36</v>
      </c>
      <c r="P150">
        <f>16.35117682*1.059464^O150</f>
        <v>130.81344004395982</v>
      </c>
      <c r="Q150">
        <f t="shared" si="103"/>
        <v>73</v>
      </c>
      <c r="V150">
        <v>113.5</v>
      </c>
      <c r="W150" t="s">
        <v>20</v>
      </c>
      <c r="X150">
        <v>60</v>
      </c>
      <c r="Y150">
        <f t="shared" si="109"/>
        <v>523.26449507501752</v>
      </c>
      <c r="Z150">
        <f t="shared" si="96"/>
        <v>14</v>
      </c>
      <c r="AA150">
        <v>113.5</v>
      </c>
      <c r="AF150">
        <v>113.5</v>
      </c>
      <c r="AK150">
        <v>116</v>
      </c>
      <c r="AL150" t="s">
        <v>309</v>
      </c>
      <c r="AM150">
        <v>70</v>
      </c>
      <c r="AN150">
        <f t="shared" si="108"/>
        <v>932.35930569378297</v>
      </c>
      <c r="AO150">
        <f t="shared" si="97"/>
        <v>7</v>
      </c>
      <c r="AP150">
        <v>116</v>
      </c>
    </row>
    <row r="151" spans="1:46" x14ac:dyDescent="0.2">
      <c r="A151">
        <f t="shared" si="99"/>
        <v>73.5</v>
      </c>
      <c r="B151" t="s">
        <v>360</v>
      </c>
      <c r="C151">
        <v>46</v>
      </c>
      <c r="D151">
        <f>16.35117682*1.059464^C151</f>
        <v>233.08504452861115</v>
      </c>
      <c r="E151">
        <f t="shared" si="100"/>
        <v>73.5</v>
      </c>
      <c r="I151">
        <f t="shared" si="101"/>
        <v>73.5</v>
      </c>
      <c r="M151">
        <f t="shared" si="102"/>
        <v>73.5</v>
      </c>
      <c r="N151" t="s">
        <v>81</v>
      </c>
      <c r="O151">
        <v>34</v>
      </c>
      <c r="P151">
        <f>16.35117682*1.059464^O151</f>
        <v>116.54132680899107</v>
      </c>
      <c r="Q151">
        <f t="shared" si="103"/>
        <v>73.5</v>
      </c>
      <c r="V151">
        <v>114</v>
      </c>
      <c r="W151" t="s">
        <v>264</v>
      </c>
      <c r="X151">
        <v>63</v>
      </c>
      <c r="Y151">
        <f t="shared" si="109"/>
        <v>622.27145634224212</v>
      </c>
      <c r="Z151">
        <f>ABS(X151-X150)</f>
        <v>3</v>
      </c>
      <c r="AA151">
        <v>114</v>
      </c>
      <c r="AF151">
        <v>114</v>
      </c>
      <c r="AK151">
        <v>116.5</v>
      </c>
      <c r="AL151" t="s">
        <v>181</v>
      </c>
      <c r="AM151">
        <v>72</v>
      </c>
      <c r="AN151">
        <f t="shared" si="108"/>
        <v>1046.5397252143878</v>
      </c>
      <c r="AO151">
        <f>ABS(AM151-AM150)</f>
        <v>2</v>
      </c>
      <c r="AP151">
        <v>116.5</v>
      </c>
    </row>
    <row r="152" spans="1:46" x14ac:dyDescent="0.2">
      <c r="A152">
        <f t="shared" si="99"/>
        <v>74</v>
      </c>
      <c r="B152" t="s">
        <v>361</v>
      </c>
      <c r="C152">
        <v>48</v>
      </c>
      <c r="D152">
        <f>16.35117682*1.059464^C152</f>
        <v>261.62956379894968</v>
      </c>
      <c r="E152">
        <f t="shared" si="100"/>
        <v>74</v>
      </c>
      <c r="I152">
        <f t="shared" si="101"/>
        <v>74</v>
      </c>
      <c r="M152">
        <f t="shared" si="102"/>
        <v>74</v>
      </c>
      <c r="N152" t="s">
        <v>80</v>
      </c>
      <c r="O152">
        <v>36</v>
      </c>
      <c r="P152">
        <f>16.35117682*1.059464^O152</f>
        <v>130.81344004395982</v>
      </c>
      <c r="Q152">
        <f t="shared" si="103"/>
        <v>74</v>
      </c>
      <c r="V152">
        <v>114.5</v>
      </c>
      <c r="W152" t="s">
        <v>309</v>
      </c>
      <c r="X152">
        <v>70</v>
      </c>
      <c r="Y152">
        <f t="shared" si="109"/>
        <v>932.35930569378297</v>
      </c>
      <c r="Z152">
        <f>ABS(X152-X151)</f>
        <v>7</v>
      </c>
      <c r="AA152">
        <v>114.5</v>
      </c>
      <c r="AF152">
        <v>114.5</v>
      </c>
      <c r="AK152">
        <v>117</v>
      </c>
      <c r="AL152" t="s">
        <v>182</v>
      </c>
      <c r="AM152">
        <v>75</v>
      </c>
      <c r="AN152">
        <f t="shared" si="108"/>
        <v>1244.5556789321308</v>
      </c>
      <c r="AO152">
        <f>ABS(AM152-AM151)</f>
        <v>3</v>
      </c>
      <c r="AP152">
        <v>117</v>
      </c>
    </row>
    <row r="153" spans="1:46" x14ac:dyDescent="0.2">
      <c r="A153">
        <f t="shared" si="99"/>
        <v>74.5</v>
      </c>
      <c r="E153">
        <f t="shared" si="100"/>
        <v>74.5</v>
      </c>
      <c r="I153">
        <f t="shared" si="101"/>
        <v>74.5</v>
      </c>
      <c r="M153">
        <f t="shared" si="102"/>
        <v>74.5</v>
      </c>
      <c r="Q153">
        <f t="shared" si="103"/>
        <v>74.5</v>
      </c>
      <c r="V153">
        <v>115</v>
      </c>
      <c r="W153" t="s">
        <v>181</v>
      </c>
      <c r="X153">
        <v>72</v>
      </c>
      <c r="Y153">
        <f t="shared" si="109"/>
        <v>1046.5397252143878</v>
      </c>
      <c r="Z153">
        <f t="shared" ref="Z153:Z171" si="110">ABS(X153-X152)</f>
        <v>2</v>
      </c>
      <c r="AA153">
        <v>115</v>
      </c>
      <c r="AF153">
        <v>115</v>
      </c>
      <c r="AK153">
        <v>117.5</v>
      </c>
      <c r="AL153" t="s">
        <v>310</v>
      </c>
      <c r="AM153">
        <v>82</v>
      </c>
      <c r="AN153">
        <f t="shared" si="108"/>
        <v>1864.7377392612143</v>
      </c>
      <c r="AO153">
        <f t="shared" ref="AO153:AO166" si="111">ABS(AM153-AM152)</f>
        <v>7</v>
      </c>
      <c r="AP153">
        <v>117.5</v>
      </c>
    </row>
    <row r="154" spans="1:46" x14ac:dyDescent="0.2">
      <c r="A154">
        <f t="shared" si="99"/>
        <v>75</v>
      </c>
      <c r="B154" t="s">
        <v>362</v>
      </c>
      <c r="C154">
        <v>55</v>
      </c>
      <c r="D154">
        <f>16.35117682*1.059464^C154</f>
        <v>392.00377257605692</v>
      </c>
      <c r="E154">
        <f t="shared" si="100"/>
        <v>75</v>
      </c>
      <c r="F154" t="s">
        <v>222</v>
      </c>
      <c r="G154">
        <v>51</v>
      </c>
      <c r="H154">
        <f>16.35117682*1.059464^G154</f>
        <v>311.13253664194741</v>
      </c>
      <c r="I154">
        <f t="shared" si="101"/>
        <v>75</v>
      </c>
      <c r="J154" t="s">
        <v>483</v>
      </c>
      <c r="K154">
        <v>44</v>
      </c>
      <c r="L154">
        <f>16.35117682*1.059464^K154</f>
        <v>207.65481237683719</v>
      </c>
      <c r="M154">
        <f t="shared" si="102"/>
        <v>75</v>
      </c>
      <c r="N154" t="s">
        <v>369</v>
      </c>
      <c r="O154">
        <v>39</v>
      </c>
      <c r="P154">
        <f>16.35117682*1.059464^O154</f>
        <v>155.56467257275574</v>
      </c>
      <c r="Q154">
        <f t="shared" si="103"/>
        <v>75</v>
      </c>
      <c r="R154" t="s">
        <v>312</v>
      </c>
      <c r="S154">
        <v>29</v>
      </c>
      <c r="T154">
        <f>16.35117682*1.059464^S154</f>
        <v>87.306974197808145</v>
      </c>
      <c r="V154">
        <v>115.5</v>
      </c>
      <c r="W154" t="s">
        <v>182</v>
      </c>
      <c r="X154">
        <v>75</v>
      </c>
      <c r="Y154">
        <f t="shared" si="109"/>
        <v>1244.5556789321308</v>
      </c>
      <c r="Z154">
        <f t="shared" si="110"/>
        <v>3</v>
      </c>
      <c r="AA154">
        <v>115.5</v>
      </c>
      <c r="AF154">
        <v>115.5</v>
      </c>
      <c r="AK154">
        <v>118</v>
      </c>
      <c r="AL154" t="s">
        <v>311</v>
      </c>
      <c r="AM154">
        <v>84</v>
      </c>
      <c r="AN154">
        <f t="shared" si="108"/>
        <v>2093.100920777717</v>
      </c>
      <c r="AO154">
        <f t="shared" si="111"/>
        <v>2</v>
      </c>
      <c r="AP154">
        <v>118</v>
      </c>
    </row>
    <row r="155" spans="1:46" x14ac:dyDescent="0.2">
      <c r="A155">
        <f t="shared" si="99"/>
        <v>75.5</v>
      </c>
      <c r="E155">
        <f t="shared" si="100"/>
        <v>75.5</v>
      </c>
      <c r="I155">
        <f t="shared" si="101"/>
        <v>75.5</v>
      </c>
      <c r="M155">
        <f t="shared" si="102"/>
        <v>75.5</v>
      </c>
      <c r="Q155">
        <f t="shared" si="103"/>
        <v>75.5</v>
      </c>
      <c r="V155">
        <v>116</v>
      </c>
      <c r="W155" t="s">
        <v>183</v>
      </c>
      <c r="X155">
        <v>82</v>
      </c>
      <c r="Y155">
        <f t="shared" si="109"/>
        <v>1864.7377392612143</v>
      </c>
      <c r="Z155">
        <f t="shared" si="110"/>
        <v>7</v>
      </c>
      <c r="AA155">
        <v>116</v>
      </c>
      <c r="AF155">
        <v>116</v>
      </c>
      <c r="AK155">
        <v>119</v>
      </c>
      <c r="AL155" t="s">
        <v>323</v>
      </c>
      <c r="AM155">
        <v>48</v>
      </c>
      <c r="AN155">
        <f t="shared" ref="AN155:AN166" si="112">16.35117682*1.059464^AM155</f>
        <v>261.62956379894968</v>
      </c>
      <c r="AO155">
        <f t="shared" si="111"/>
        <v>36</v>
      </c>
      <c r="AP155">
        <v>119</v>
      </c>
      <c r="AQ155" t="s">
        <v>237</v>
      </c>
      <c r="AR155">
        <v>36</v>
      </c>
      <c r="AS155">
        <f t="shared" ref="AS155:AS166" si="113">16.35117682*1.059464^AR155</f>
        <v>130.81344004395982</v>
      </c>
      <c r="AT155">
        <f>ABS(AR155-AM154)</f>
        <v>48</v>
      </c>
    </row>
    <row r="156" spans="1:46" x14ac:dyDescent="0.2">
      <c r="A156">
        <f t="shared" si="99"/>
        <v>76</v>
      </c>
      <c r="B156" t="s">
        <v>362</v>
      </c>
      <c r="C156">
        <v>55</v>
      </c>
      <c r="D156">
        <f>16.35117682*1.059464^C156</f>
        <v>392.00377257605692</v>
      </c>
      <c r="E156">
        <f t="shared" si="100"/>
        <v>76</v>
      </c>
      <c r="F156" t="s">
        <v>223</v>
      </c>
      <c r="G156">
        <v>50</v>
      </c>
      <c r="H156">
        <f>16.35117682*1.059464^G156</f>
        <v>293.66975814369101</v>
      </c>
      <c r="I156">
        <f t="shared" si="101"/>
        <v>76</v>
      </c>
      <c r="J156" t="s">
        <v>483</v>
      </c>
      <c r="K156">
        <v>44</v>
      </c>
      <c r="L156">
        <f>16.35117682*1.059464^K156</f>
        <v>207.65481237683719</v>
      </c>
      <c r="M156">
        <f t="shared" si="102"/>
        <v>76</v>
      </c>
      <c r="N156" t="s">
        <v>82</v>
      </c>
      <c r="O156">
        <v>38</v>
      </c>
      <c r="P156">
        <f>16.35117682*1.059464^O156</f>
        <v>146.83337288738056</v>
      </c>
      <c r="Q156">
        <f t="shared" si="103"/>
        <v>76</v>
      </c>
      <c r="R156" t="s">
        <v>85</v>
      </c>
      <c r="S156">
        <v>34</v>
      </c>
      <c r="T156">
        <f>16.35117682*1.059464^S156</f>
        <v>116.54132680899107</v>
      </c>
      <c r="V156">
        <v>116.5</v>
      </c>
      <c r="W156" t="s">
        <v>184</v>
      </c>
      <c r="X156">
        <v>84</v>
      </c>
      <c r="Y156">
        <f t="shared" si="109"/>
        <v>2093.100920777717</v>
      </c>
      <c r="Z156">
        <f t="shared" si="110"/>
        <v>2</v>
      </c>
      <c r="AA156">
        <v>116.5</v>
      </c>
      <c r="AF156">
        <v>116.5</v>
      </c>
      <c r="AK156">
        <v>120</v>
      </c>
      <c r="AL156" t="s">
        <v>323</v>
      </c>
      <c r="AM156">
        <v>48</v>
      </c>
      <c r="AN156">
        <f t="shared" si="112"/>
        <v>261.62956379894968</v>
      </c>
      <c r="AO156">
        <f t="shared" si="111"/>
        <v>0</v>
      </c>
      <c r="AP156">
        <v>120</v>
      </c>
      <c r="AQ156" t="s">
        <v>237</v>
      </c>
      <c r="AR156">
        <v>36</v>
      </c>
      <c r="AS156">
        <f t="shared" si="113"/>
        <v>130.81344004395982</v>
      </c>
      <c r="AT156">
        <f t="shared" ref="AT156:AT166" si="114">ABS(AR156-AR155)</f>
        <v>0</v>
      </c>
    </row>
    <row r="157" spans="1:46" x14ac:dyDescent="0.2">
      <c r="A157">
        <f t="shared" si="99"/>
        <v>76.5</v>
      </c>
      <c r="E157">
        <f t="shared" si="100"/>
        <v>76.5</v>
      </c>
      <c r="I157">
        <f t="shared" si="101"/>
        <v>76.5</v>
      </c>
      <c r="M157">
        <f t="shared" si="102"/>
        <v>76.5</v>
      </c>
      <c r="Q157">
        <f t="shared" si="103"/>
        <v>76.5</v>
      </c>
      <c r="V157">
        <v>117</v>
      </c>
      <c r="W157" t="s">
        <v>185</v>
      </c>
      <c r="X157">
        <v>87</v>
      </c>
      <c r="Y157">
        <f t="shared" si="109"/>
        <v>2489.1368906214616</v>
      </c>
      <c r="Z157">
        <f t="shared" si="110"/>
        <v>3</v>
      </c>
      <c r="AA157">
        <v>117</v>
      </c>
      <c r="AF157">
        <v>117</v>
      </c>
      <c r="AK157">
        <v>121</v>
      </c>
      <c r="AL157" t="s">
        <v>323</v>
      </c>
      <c r="AM157">
        <v>48</v>
      </c>
      <c r="AN157">
        <f t="shared" si="112"/>
        <v>261.62956379894968</v>
      </c>
      <c r="AO157">
        <f t="shared" si="111"/>
        <v>0</v>
      </c>
      <c r="AP157">
        <v>121</v>
      </c>
      <c r="AQ157" t="s">
        <v>237</v>
      </c>
      <c r="AR157">
        <v>36</v>
      </c>
      <c r="AS157">
        <f t="shared" si="113"/>
        <v>130.81344004395982</v>
      </c>
      <c r="AT157">
        <f t="shared" si="114"/>
        <v>0</v>
      </c>
    </row>
    <row r="158" spans="1:46" x14ac:dyDescent="0.2">
      <c r="A158">
        <f t="shared" si="99"/>
        <v>77</v>
      </c>
      <c r="B158" t="s">
        <v>363</v>
      </c>
      <c r="C158">
        <v>53</v>
      </c>
      <c r="D158">
        <f>16.35117682*1.059464^C158</f>
        <v>349.23506143398839</v>
      </c>
      <c r="E158">
        <f t="shared" si="100"/>
        <v>77</v>
      </c>
      <c r="F158" t="s">
        <v>224</v>
      </c>
      <c r="G158">
        <v>49</v>
      </c>
      <c r="H158">
        <f>16.35117682*1.059464^G158</f>
        <v>277.18710418069043</v>
      </c>
      <c r="I158">
        <f t="shared" si="101"/>
        <v>77</v>
      </c>
      <c r="J158" t="s">
        <v>444</v>
      </c>
      <c r="K158">
        <v>43</v>
      </c>
      <c r="L158">
        <f>16.35117682*1.059464^K158</f>
        <v>195.99987576438383</v>
      </c>
      <c r="M158">
        <f t="shared" si="102"/>
        <v>77</v>
      </c>
      <c r="N158" t="s">
        <v>83</v>
      </c>
      <c r="O158">
        <v>37</v>
      </c>
      <c r="P158">
        <f>16.35117682*1.059464^O158</f>
        <v>138.5921304427338</v>
      </c>
      <c r="Q158">
        <f t="shared" si="103"/>
        <v>77</v>
      </c>
      <c r="R158" t="s">
        <v>313</v>
      </c>
      <c r="S158">
        <v>27</v>
      </c>
      <c r="T158">
        <f>16.35117682*1.059464^S158</f>
        <v>77.781538420453217</v>
      </c>
      <c r="V158">
        <v>117.5</v>
      </c>
      <c r="W158" t="s">
        <v>186</v>
      </c>
      <c r="X158">
        <v>90</v>
      </c>
      <c r="Y158">
        <f t="shared" si="109"/>
        <v>2960.1068915255901</v>
      </c>
      <c r="Z158">
        <f t="shared" si="110"/>
        <v>3</v>
      </c>
      <c r="AA158">
        <v>117.5</v>
      </c>
      <c r="AF158">
        <v>117.5</v>
      </c>
      <c r="AK158">
        <v>121.5</v>
      </c>
      <c r="AL158" t="s">
        <v>325</v>
      </c>
      <c r="AM158">
        <v>46</v>
      </c>
      <c r="AN158">
        <f t="shared" si="112"/>
        <v>233.08504452861115</v>
      </c>
      <c r="AO158">
        <f t="shared" si="111"/>
        <v>2</v>
      </c>
      <c r="AP158">
        <v>121.5</v>
      </c>
      <c r="AQ158" t="s">
        <v>85</v>
      </c>
      <c r="AR158">
        <v>34</v>
      </c>
      <c r="AS158">
        <f t="shared" si="113"/>
        <v>116.54132680899107</v>
      </c>
      <c r="AT158">
        <f t="shared" si="114"/>
        <v>2</v>
      </c>
    </row>
    <row r="159" spans="1:46" x14ac:dyDescent="0.2">
      <c r="A159">
        <f t="shared" si="99"/>
        <v>77.5</v>
      </c>
      <c r="E159">
        <f t="shared" si="100"/>
        <v>77.5</v>
      </c>
      <c r="I159">
        <f t="shared" si="101"/>
        <v>77.5</v>
      </c>
      <c r="M159">
        <f t="shared" si="102"/>
        <v>77.5</v>
      </c>
      <c r="Q159">
        <f t="shared" si="103"/>
        <v>77.5</v>
      </c>
      <c r="V159">
        <v>118</v>
      </c>
      <c r="W159" t="s">
        <v>187</v>
      </c>
      <c r="X159">
        <v>92</v>
      </c>
      <c r="Y159">
        <f t="shared" si="109"/>
        <v>3322.613325082044</v>
      </c>
      <c r="Z159">
        <f t="shared" si="110"/>
        <v>2</v>
      </c>
      <c r="AA159">
        <v>118</v>
      </c>
      <c r="AF159">
        <v>118</v>
      </c>
      <c r="AK159">
        <v>122</v>
      </c>
      <c r="AL159" t="s">
        <v>323</v>
      </c>
      <c r="AM159">
        <v>48</v>
      </c>
      <c r="AN159">
        <f t="shared" si="112"/>
        <v>261.62956379894968</v>
      </c>
      <c r="AO159">
        <f t="shared" si="111"/>
        <v>2</v>
      </c>
      <c r="AP159">
        <v>122</v>
      </c>
      <c r="AQ159" t="s">
        <v>80</v>
      </c>
      <c r="AR159">
        <v>36</v>
      </c>
      <c r="AS159">
        <f t="shared" si="113"/>
        <v>130.81344004395982</v>
      </c>
      <c r="AT159">
        <f t="shared" si="114"/>
        <v>2</v>
      </c>
    </row>
    <row r="160" spans="1:46" x14ac:dyDescent="0.2">
      <c r="A160">
        <f t="shared" si="99"/>
        <v>78</v>
      </c>
      <c r="B160" t="s">
        <v>364</v>
      </c>
      <c r="C160">
        <v>51</v>
      </c>
      <c r="D160">
        <f>16.35117682*1.059464^C160</f>
        <v>311.13253664194741</v>
      </c>
      <c r="E160">
        <f t="shared" si="100"/>
        <v>78</v>
      </c>
      <c r="F160" t="s">
        <v>366</v>
      </c>
      <c r="G160">
        <v>48</v>
      </c>
      <c r="H160">
        <f>16.35117682*1.059464^G160</f>
        <v>261.62956379894968</v>
      </c>
      <c r="I160">
        <f t="shared" si="101"/>
        <v>78</v>
      </c>
      <c r="J160" t="s">
        <v>449</v>
      </c>
      <c r="K160">
        <v>44</v>
      </c>
      <c r="L160">
        <f>16.35117682*1.059464^K160</f>
        <v>207.65481237683719</v>
      </c>
      <c r="M160">
        <f t="shared" si="102"/>
        <v>78</v>
      </c>
      <c r="N160" t="s">
        <v>488</v>
      </c>
      <c r="O160">
        <v>36</v>
      </c>
      <c r="P160">
        <f>16.35117682*1.059464^O160</f>
        <v>130.81344004395982</v>
      </c>
      <c r="Q160">
        <f t="shared" si="103"/>
        <v>78</v>
      </c>
      <c r="R160" t="s">
        <v>314</v>
      </c>
      <c r="S160">
        <v>32</v>
      </c>
      <c r="T160">
        <f>16.35117682*1.059464^S160</f>
        <v>103.82634116063208</v>
      </c>
      <c r="V160">
        <v>119</v>
      </c>
      <c r="W160" t="s">
        <v>31</v>
      </c>
      <c r="X160">
        <v>60</v>
      </c>
      <c r="Y160">
        <f t="shared" ref="Y160:Y171" si="115">16.35117682*1.059464^X160</f>
        <v>523.26449507501752</v>
      </c>
      <c r="Z160">
        <f t="shared" si="110"/>
        <v>32</v>
      </c>
      <c r="AA160">
        <v>119</v>
      </c>
      <c r="AF160">
        <v>119</v>
      </c>
      <c r="AK160">
        <v>123</v>
      </c>
      <c r="AL160" t="s">
        <v>454</v>
      </c>
      <c r="AM160">
        <v>31</v>
      </c>
      <c r="AN160">
        <f t="shared" si="112"/>
        <v>97.998932630681253</v>
      </c>
      <c r="AO160">
        <f t="shared" si="111"/>
        <v>17</v>
      </c>
      <c r="AP160">
        <v>123</v>
      </c>
      <c r="AQ160" t="s">
        <v>316</v>
      </c>
      <c r="AR160">
        <v>24</v>
      </c>
      <c r="AS160">
        <f t="shared" si="113"/>
        <v>65.406049101104529</v>
      </c>
      <c r="AT160">
        <f t="shared" si="114"/>
        <v>12</v>
      </c>
    </row>
    <row r="161" spans="1:47" x14ac:dyDescent="0.2">
      <c r="A161">
        <f t="shared" si="99"/>
        <v>78.5</v>
      </c>
      <c r="E161">
        <f t="shared" si="100"/>
        <v>78.5</v>
      </c>
      <c r="I161">
        <f t="shared" si="101"/>
        <v>78.5</v>
      </c>
      <c r="M161">
        <f t="shared" si="102"/>
        <v>78.5</v>
      </c>
      <c r="Q161">
        <f t="shared" si="103"/>
        <v>78.5</v>
      </c>
      <c r="V161">
        <v>120</v>
      </c>
      <c r="W161" t="s">
        <v>31</v>
      </c>
      <c r="X161">
        <v>60</v>
      </c>
      <c r="Y161">
        <f t="shared" si="115"/>
        <v>523.26449507501752</v>
      </c>
      <c r="Z161">
        <f t="shared" si="110"/>
        <v>0</v>
      </c>
      <c r="AA161">
        <v>120</v>
      </c>
      <c r="AF161">
        <v>120</v>
      </c>
      <c r="AK161">
        <v>124</v>
      </c>
      <c r="AL161" t="s">
        <v>454</v>
      </c>
      <c r="AM161">
        <v>31</v>
      </c>
      <c r="AN161">
        <f t="shared" si="112"/>
        <v>97.998932630681253</v>
      </c>
      <c r="AO161">
        <f t="shared" si="111"/>
        <v>0</v>
      </c>
      <c r="AP161">
        <v>124</v>
      </c>
      <c r="AQ161" t="s">
        <v>316</v>
      </c>
      <c r="AR161">
        <v>24</v>
      </c>
      <c r="AS161">
        <f t="shared" si="113"/>
        <v>65.406049101104529</v>
      </c>
      <c r="AT161">
        <f t="shared" si="114"/>
        <v>0</v>
      </c>
    </row>
    <row r="162" spans="1:47" x14ac:dyDescent="0.2">
      <c r="A162">
        <f t="shared" si="99"/>
        <v>79</v>
      </c>
      <c r="B162" t="s">
        <v>365</v>
      </c>
      <c r="C162">
        <v>50</v>
      </c>
      <c r="D162">
        <f>16.35117682*1.059464^C162</f>
        <v>293.66975814369101</v>
      </c>
      <c r="E162">
        <f t="shared" si="100"/>
        <v>79</v>
      </c>
      <c r="F162" t="s">
        <v>443</v>
      </c>
      <c r="G162">
        <v>47</v>
      </c>
      <c r="H162">
        <f>16.35117682*1.059464^G162</f>
        <v>246.94521361646048</v>
      </c>
      <c r="I162">
        <f t="shared" si="101"/>
        <v>79</v>
      </c>
      <c r="J162" t="s">
        <v>444</v>
      </c>
      <c r="K162">
        <v>43</v>
      </c>
      <c r="L162">
        <f>16.35117682*1.059464^K162</f>
        <v>195.99987576438383</v>
      </c>
      <c r="M162">
        <f t="shared" si="102"/>
        <v>79</v>
      </c>
      <c r="N162" t="s">
        <v>84</v>
      </c>
      <c r="O162">
        <v>35</v>
      </c>
      <c r="P162">
        <f>16.35117682*1.059464^O162</f>
        <v>123.4713402663609</v>
      </c>
      <c r="Q162">
        <f t="shared" si="103"/>
        <v>79</v>
      </c>
      <c r="R162" t="s">
        <v>315</v>
      </c>
      <c r="S162">
        <v>31</v>
      </c>
      <c r="T162">
        <f>16.35117682*1.059464^S162</f>
        <v>97.998932630681253</v>
      </c>
      <c r="V162">
        <v>121</v>
      </c>
      <c r="W162" t="s">
        <v>31</v>
      </c>
      <c r="X162">
        <v>60</v>
      </c>
      <c r="Y162">
        <f t="shared" si="115"/>
        <v>523.26449507501752</v>
      </c>
      <c r="Z162">
        <f t="shared" si="110"/>
        <v>0</v>
      </c>
      <c r="AA162">
        <v>121</v>
      </c>
      <c r="AF162">
        <v>121</v>
      </c>
      <c r="AK162">
        <v>125</v>
      </c>
      <c r="AL162" t="s">
        <v>454</v>
      </c>
      <c r="AM162">
        <v>31</v>
      </c>
      <c r="AN162">
        <f t="shared" si="112"/>
        <v>97.998932630681253</v>
      </c>
      <c r="AO162">
        <f t="shared" si="111"/>
        <v>0</v>
      </c>
      <c r="AP162">
        <v>125</v>
      </c>
      <c r="AQ162" t="s">
        <v>316</v>
      </c>
      <c r="AR162">
        <v>24</v>
      </c>
      <c r="AS162">
        <f t="shared" si="113"/>
        <v>65.406049101104529</v>
      </c>
      <c r="AT162">
        <f t="shared" si="114"/>
        <v>0</v>
      </c>
    </row>
    <row r="163" spans="1:47" x14ac:dyDescent="0.2">
      <c r="A163">
        <f t="shared" si="99"/>
        <v>79.5</v>
      </c>
      <c r="E163">
        <f t="shared" si="100"/>
        <v>79.5</v>
      </c>
      <c r="I163">
        <f t="shared" si="101"/>
        <v>79.5</v>
      </c>
      <c r="M163">
        <f t="shared" si="102"/>
        <v>79.5</v>
      </c>
      <c r="Q163">
        <f t="shared" si="103"/>
        <v>79.5</v>
      </c>
      <c r="V163">
        <v>121.5</v>
      </c>
      <c r="W163" t="s">
        <v>212</v>
      </c>
      <c r="X163">
        <v>58</v>
      </c>
      <c r="Y163">
        <f t="shared" si="115"/>
        <v>466.17487092753117</v>
      </c>
      <c r="Z163">
        <f t="shared" si="110"/>
        <v>2</v>
      </c>
      <c r="AA163">
        <v>121.5</v>
      </c>
      <c r="AF163">
        <v>121.5</v>
      </c>
      <c r="AK163">
        <v>125.5</v>
      </c>
      <c r="AL163" t="s">
        <v>454</v>
      </c>
      <c r="AM163">
        <v>31</v>
      </c>
      <c r="AN163">
        <f t="shared" si="112"/>
        <v>97.998932630681253</v>
      </c>
      <c r="AO163">
        <f t="shared" si="111"/>
        <v>0</v>
      </c>
      <c r="AP163">
        <v>125.5</v>
      </c>
      <c r="AQ163" t="s">
        <v>238</v>
      </c>
      <c r="AR163">
        <v>22</v>
      </c>
      <c r="AS163">
        <f t="shared" si="113"/>
        <v>58.270065682969573</v>
      </c>
      <c r="AT163">
        <f t="shared" si="114"/>
        <v>2</v>
      </c>
    </row>
    <row r="164" spans="1:47" x14ac:dyDescent="0.2">
      <c r="A164">
        <f t="shared" si="99"/>
        <v>80</v>
      </c>
      <c r="B164" t="s">
        <v>366</v>
      </c>
      <c r="C164">
        <v>48</v>
      </c>
      <c r="D164">
        <f>16.35117682*1.059464^C164</f>
        <v>261.62956379894968</v>
      </c>
      <c r="E164">
        <f t="shared" si="100"/>
        <v>80</v>
      </c>
      <c r="F164" t="s">
        <v>444</v>
      </c>
      <c r="G164">
        <v>43</v>
      </c>
      <c r="H164">
        <f>16.35117682*1.059464^G164</f>
        <v>195.99987576438383</v>
      </c>
      <c r="I164">
        <f t="shared" si="101"/>
        <v>80</v>
      </c>
      <c r="J164" t="s">
        <v>484</v>
      </c>
      <c r="K164">
        <v>39</v>
      </c>
      <c r="L164">
        <f>16.35117682*1.059464^K164</f>
        <v>155.56467257275574</v>
      </c>
      <c r="M164">
        <f t="shared" si="102"/>
        <v>80</v>
      </c>
      <c r="N164" t="s">
        <v>80</v>
      </c>
      <c r="O164">
        <v>36</v>
      </c>
      <c r="P164">
        <f>16.35117682*1.059464^O164</f>
        <v>130.81344004395982</v>
      </c>
      <c r="Q164">
        <f t="shared" si="103"/>
        <v>80</v>
      </c>
      <c r="R164" t="s">
        <v>34</v>
      </c>
      <c r="S164">
        <v>24</v>
      </c>
      <c r="T164">
        <f>16.35117682*1.059464^S164</f>
        <v>65.406049101104529</v>
      </c>
      <c r="V164">
        <v>122</v>
      </c>
      <c r="W164" t="s">
        <v>265</v>
      </c>
      <c r="X164">
        <v>60</v>
      </c>
      <c r="Y164">
        <f t="shared" si="115"/>
        <v>523.26449507501752</v>
      </c>
      <c r="Z164">
        <f t="shared" si="110"/>
        <v>2</v>
      </c>
      <c r="AA164">
        <v>122</v>
      </c>
      <c r="AF164">
        <v>122</v>
      </c>
      <c r="AK164">
        <v>126</v>
      </c>
      <c r="AL164" t="s">
        <v>454</v>
      </c>
      <c r="AM164">
        <v>31</v>
      </c>
      <c r="AN164">
        <f t="shared" si="112"/>
        <v>97.998932630681253</v>
      </c>
      <c r="AO164">
        <f t="shared" si="111"/>
        <v>0</v>
      </c>
      <c r="AP164">
        <v>126</v>
      </c>
      <c r="AQ164" t="s">
        <v>34</v>
      </c>
      <c r="AR164">
        <v>24</v>
      </c>
      <c r="AS164">
        <f t="shared" si="113"/>
        <v>65.406049101104529</v>
      </c>
      <c r="AT164">
        <f t="shared" si="114"/>
        <v>2</v>
      </c>
    </row>
    <row r="165" spans="1:47" x14ac:dyDescent="0.2">
      <c r="A165">
        <f t="shared" si="99"/>
        <v>80.5</v>
      </c>
      <c r="E165">
        <f t="shared" si="100"/>
        <v>80.5</v>
      </c>
      <c r="I165">
        <f t="shared" si="101"/>
        <v>80.5</v>
      </c>
      <c r="M165">
        <f t="shared" si="102"/>
        <v>80.5</v>
      </c>
      <c r="Q165">
        <f t="shared" si="103"/>
        <v>80.5</v>
      </c>
      <c r="V165">
        <v>123</v>
      </c>
      <c r="W165" t="s">
        <v>32</v>
      </c>
      <c r="X165">
        <v>48</v>
      </c>
      <c r="Y165">
        <f t="shared" si="115"/>
        <v>261.62956379894968</v>
      </c>
      <c r="Z165">
        <f t="shared" si="110"/>
        <v>12</v>
      </c>
      <c r="AA165">
        <v>123</v>
      </c>
      <c r="AB165" t="s">
        <v>444</v>
      </c>
      <c r="AC165">
        <v>43</v>
      </c>
      <c r="AD165">
        <f t="shared" ref="AD165:AD170" si="116">16.35117682*1.059464^AC165</f>
        <v>195.99987576438383</v>
      </c>
      <c r="AE165">
        <f>ABS(AC165-X164)</f>
        <v>17</v>
      </c>
      <c r="AF165">
        <v>123</v>
      </c>
      <c r="AG165" t="s">
        <v>488</v>
      </c>
      <c r="AH165">
        <v>36</v>
      </c>
      <c r="AI165">
        <f t="shared" ref="AI165:AI170" si="117">16.35117682*1.059464^AH165</f>
        <v>130.81344004395982</v>
      </c>
      <c r="AJ165">
        <f>ABS(AH165-X164)</f>
        <v>24</v>
      </c>
      <c r="AK165">
        <v>127</v>
      </c>
      <c r="AL165" t="s">
        <v>251</v>
      </c>
      <c r="AM165">
        <v>55</v>
      </c>
      <c r="AN165">
        <f t="shared" si="112"/>
        <v>392.00377257605692</v>
      </c>
      <c r="AO165">
        <f t="shared" si="111"/>
        <v>24</v>
      </c>
      <c r="AP165">
        <v>127</v>
      </c>
      <c r="AQ165" t="s">
        <v>323</v>
      </c>
      <c r="AR165">
        <v>48</v>
      </c>
      <c r="AS165">
        <f t="shared" si="113"/>
        <v>261.62956379894968</v>
      </c>
      <c r="AT165">
        <f t="shared" si="114"/>
        <v>24</v>
      </c>
    </row>
    <row r="166" spans="1:47" x14ac:dyDescent="0.2">
      <c r="A166">
        <f t="shared" si="99"/>
        <v>81</v>
      </c>
      <c r="B166" t="s">
        <v>366</v>
      </c>
      <c r="C166">
        <v>48</v>
      </c>
      <c r="D166">
        <f>16.35117682*1.059464^C166</f>
        <v>261.62956379894968</v>
      </c>
      <c r="E166">
        <f t="shared" si="100"/>
        <v>81</v>
      </c>
      <c r="I166">
        <f t="shared" si="101"/>
        <v>81</v>
      </c>
      <c r="M166">
        <f t="shared" si="102"/>
        <v>81</v>
      </c>
      <c r="N166" t="s">
        <v>80</v>
      </c>
      <c r="O166">
        <v>36</v>
      </c>
      <c r="P166">
        <f>16.35117682*1.059464^O166</f>
        <v>130.81344004395982</v>
      </c>
      <c r="Q166">
        <f t="shared" si="103"/>
        <v>81</v>
      </c>
      <c r="V166">
        <v>124</v>
      </c>
      <c r="W166" t="s">
        <v>32</v>
      </c>
      <c r="X166">
        <v>48</v>
      </c>
      <c r="Y166">
        <f t="shared" si="115"/>
        <v>261.62956379894968</v>
      </c>
      <c r="Z166">
        <f t="shared" si="110"/>
        <v>0</v>
      </c>
      <c r="AA166">
        <v>124</v>
      </c>
      <c r="AB166" t="s">
        <v>444</v>
      </c>
      <c r="AC166">
        <v>43</v>
      </c>
      <c r="AD166">
        <f t="shared" si="116"/>
        <v>195.99987576438383</v>
      </c>
      <c r="AE166">
        <f t="shared" ref="AE166:AE170" si="118">ABS(AC166-AC165)</f>
        <v>0</v>
      </c>
      <c r="AF166">
        <v>124</v>
      </c>
      <c r="AG166" t="s">
        <v>488</v>
      </c>
      <c r="AH166">
        <v>36</v>
      </c>
      <c r="AI166">
        <f t="shared" si="117"/>
        <v>130.81344004395982</v>
      </c>
      <c r="AJ166">
        <f t="shared" ref="AJ166:AJ170" si="119">ABS(AH166-AH165)</f>
        <v>0</v>
      </c>
      <c r="AK166">
        <v>128</v>
      </c>
      <c r="AL166" t="s">
        <v>474</v>
      </c>
      <c r="AM166">
        <v>24</v>
      </c>
      <c r="AN166">
        <f t="shared" si="112"/>
        <v>65.406049101104529</v>
      </c>
      <c r="AO166">
        <f t="shared" si="111"/>
        <v>31</v>
      </c>
      <c r="AP166">
        <v>128</v>
      </c>
      <c r="AQ166" t="s">
        <v>358</v>
      </c>
      <c r="AR166">
        <v>12</v>
      </c>
      <c r="AS166">
        <f t="shared" si="113"/>
        <v>32.702689093555627</v>
      </c>
      <c r="AT166">
        <f t="shared" si="114"/>
        <v>36</v>
      </c>
    </row>
    <row r="167" spans="1:47" x14ac:dyDescent="0.2">
      <c r="A167">
        <f t="shared" si="99"/>
        <v>81.5</v>
      </c>
      <c r="B167" t="s">
        <v>367</v>
      </c>
      <c r="C167">
        <v>46</v>
      </c>
      <c r="D167">
        <f>16.35117682*1.059464^C167</f>
        <v>233.08504452861115</v>
      </c>
      <c r="E167">
        <f t="shared" si="100"/>
        <v>81.5</v>
      </c>
      <c r="I167">
        <f t="shared" si="101"/>
        <v>81.5</v>
      </c>
      <c r="M167">
        <f t="shared" si="102"/>
        <v>81.5</v>
      </c>
      <c r="N167" t="s">
        <v>85</v>
      </c>
      <c r="O167">
        <v>34</v>
      </c>
      <c r="P167">
        <f>16.35117682*1.059464^O167</f>
        <v>116.54132680899107</v>
      </c>
      <c r="Q167">
        <f t="shared" si="103"/>
        <v>81.5</v>
      </c>
      <c r="V167">
        <v>125</v>
      </c>
      <c r="W167" t="s">
        <v>323</v>
      </c>
      <c r="X167">
        <v>48</v>
      </c>
      <c r="Y167">
        <f t="shared" si="115"/>
        <v>261.62956379894968</v>
      </c>
      <c r="Z167">
        <f t="shared" si="110"/>
        <v>0</v>
      </c>
      <c r="AA167">
        <v>125</v>
      </c>
      <c r="AB167" t="s">
        <v>444</v>
      </c>
      <c r="AC167">
        <v>43</v>
      </c>
      <c r="AD167">
        <f t="shared" si="116"/>
        <v>195.99987576438383</v>
      </c>
      <c r="AE167">
        <f t="shared" si="118"/>
        <v>0</v>
      </c>
      <c r="AF167">
        <v>125</v>
      </c>
      <c r="AG167" t="s">
        <v>488</v>
      </c>
      <c r="AH167">
        <v>36</v>
      </c>
      <c r="AI167">
        <f t="shared" si="117"/>
        <v>130.81344004395982</v>
      </c>
      <c r="AJ167">
        <f t="shared" si="119"/>
        <v>0</v>
      </c>
    </row>
    <row r="168" spans="1:47" x14ac:dyDescent="0.2">
      <c r="A168">
        <f t="shared" si="99"/>
        <v>82</v>
      </c>
      <c r="B168" t="s">
        <v>361</v>
      </c>
      <c r="C168">
        <v>48</v>
      </c>
      <c r="D168">
        <f>16.35117682*1.059464^C168</f>
        <v>261.62956379894968</v>
      </c>
      <c r="E168">
        <f t="shared" si="100"/>
        <v>82</v>
      </c>
      <c r="I168">
        <f t="shared" si="101"/>
        <v>82</v>
      </c>
      <c r="M168">
        <f t="shared" si="102"/>
        <v>82</v>
      </c>
      <c r="N168" t="s">
        <v>80</v>
      </c>
      <c r="O168">
        <v>36</v>
      </c>
      <c r="P168">
        <f>16.35117682*1.059464^O168</f>
        <v>130.81344004395982</v>
      </c>
      <c r="Q168">
        <f t="shared" si="103"/>
        <v>82</v>
      </c>
      <c r="V168">
        <v>125.5</v>
      </c>
      <c r="W168" t="s">
        <v>33</v>
      </c>
      <c r="X168">
        <v>46</v>
      </c>
      <c r="Y168">
        <f t="shared" si="115"/>
        <v>233.08504452861115</v>
      </c>
      <c r="Z168">
        <f t="shared" si="110"/>
        <v>2</v>
      </c>
      <c r="AA168">
        <v>125.5</v>
      </c>
      <c r="AB168" t="s">
        <v>444</v>
      </c>
      <c r="AC168">
        <v>43</v>
      </c>
      <c r="AD168">
        <f t="shared" si="116"/>
        <v>195.99987576438383</v>
      </c>
      <c r="AE168">
        <f t="shared" si="118"/>
        <v>0</v>
      </c>
      <c r="AF168">
        <v>125.5</v>
      </c>
      <c r="AG168" t="s">
        <v>81</v>
      </c>
      <c r="AH168">
        <v>34</v>
      </c>
      <c r="AI168">
        <f t="shared" si="117"/>
        <v>116.54132680899107</v>
      </c>
      <c r="AJ168">
        <f t="shared" si="119"/>
        <v>2</v>
      </c>
    </row>
    <row r="169" spans="1:47" x14ac:dyDescent="0.2">
      <c r="A169">
        <f t="shared" si="99"/>
        <v>82.5</v>
      </c>
      <c r="E169">
        <f t="shared" si="100"/>
        <v>82.5</v>
      </c>
      <c r="I169">
        <f t="shared" si="101"/>
        <v>82.5</v>
      </c>
      <c r="M169">
        <f t="shared" si="102"/>
        <v>82.5</v>
      </c>
      <c r="Q169">
        <f t="shared" si="103"/>
        <v>82.5</v>
      </c>
      <c r="V169">
        <v>126</v>
      </c>
      <c r="W169" t="s">
        <v>323</v>
      </c>
      <c r="X169">
        <v>48</v>
      </c>
      <c r="Y169">
        <f t="shared" si="115"/>
        <v>261.62956379894968</v>
      </c>
      <c r="Z169">
        <f t="shared" si="110"/>
        <v>2</v>
      </c>
      <c r="AA169">
        <v>126</v>
      </c>
      <c r="AB169" t="s">
        <v>444</v>
      </c>
      <c r="AC169">
        <v>43</v>
      </c>
      <c r="AD169">
        <f t="shared" si="116"/>
        <v>195.99987576438383</v>
      </c>
      <c r="AE169">
        <f t="shared" si="118"/>
        <v>0</v>
      </c>
      <c r="AF169">
        <v>126</v>
      </c>
      <c r="AG169" t="s">
        <v>80</v>
      </c>
      <c r="AH169">
        <v>36</v>
      </c>
      <c r="AI169">
        <f t="shared" si="117"/>
        <v>130.81344004395982</v>
      </c>
      <c r="AJ169">
        <f t="shared" si="119"/>
        <v>2</v>
      </c>
    </row>
    <row r="170" spans="1:47" x14ac:dyDescent="0.2">
      <c r="A170">
        <f t="shared" si="99"/>
        <v>83</v>
      </c>
      <c r="B170" t="s">
        <v>362</v>
      </c>
      <c r="C170">
        <v>55</v>
      </c>
      <c r="D170">
        <f>16.35117682*1.059464^C170</f>
        <v>392.00377257605692</v>
      </c>
      <c r="E170">
        <f t="shared" si="100"/>
        <v>83</v>
      </c>
      <c r="F170" t="s">
        <v>213</v>
      </c>
      <c r="G170">
        <v>51</v>
      </c>
      <c r="H170">
        <f>16.35117682*1.059464^G170</f>
        <v>311.13253664194741</v>
      </c>
      <c r="I170">
        <f t="shared" si="101"/>
        <v>83</v>
      </c>
      <c r="J170" t="s">
        <v>449</v>
      </c>
      <c r="K170">
        <v>44</v>
      </c>
      <c r="L170">
        <f>16.35117682*1.059464^K170</f>
        <v>207.65481237683719</v>
      </c>
      <c r="M170">
        <f t="shared" si="102"/>
        <v>83</v>
      </c>
      <c r="N170" t="s">
        <v>86</v>
      </c>
      <c r="O170">
        <v>39</v>
      </c>
      <c r="P170">
        <f>16.35117682*1.059464^O170</f>
        <v>155.56467257275574</v>
      </c>
      <c r="Q170">
        <f t="shared" si="103"/>
        <v>83</v>
      </c>
      <c r="R170" t="s">
        <v>312</v>
      </c>
      <c r="S170">
        <v>29</v>
      </c>
      <c r="T170">
        <f>16.35117682*1.059464^S170</f>
        <v>87.306974197808145</v>
      </c>
      <c r="V170">
        <v>127</v>
      </c>
      <c r="W170" t="s">
        <v>181</v>
      </c>
      <c r="X170">
        <v>72</v>
      </c>
      <c r="Y170">
        <f t="shared" si="115"/>
        <v>1046.5397252143878</v>
      </c>
      <c r="Z170">
        <f t="shared" si="110"/>
        <v>24</v>
      </c>
      <c r="AA170">
        <v>127</v>
      </c>
      <c r="AB170" t="s">
        <v>450</v>
      </c>
      <c r="AC170">
        <v>67</v>
      </c>
      <c r="AD170">
        <f t="shared" si="116"/>
        <v>784.01558732918636</v>
      </c>
      <c r="AE170">
        <f t="shared" si="118"/>
        <v>24</v>
      </c>
      <c r="AF170">
        <v>127</v>
      </c>
      <c r="AG170" t="s">
        <v>20</v>
      </c>
      <c r="AH170">
        <v>60</v>
      </c>
      <c r="AI170">
        <f t="shared" si="117"/>
        <v>523.26449507501752</v>
      </c>
      <c r="AJ170">
        <f t="shared" si="119"/>
        <v>24</v>
      </c>
    </row>
    <row r="171" spans="1:47" x14ac:dyDescent="0.2">
      <c r="A171">
        <f t="shared" si="99"/>
        <v>83.5</v>
      </c>
      <c r="E171">
        <f t="shared" si="100"/>
        <v>83.5</v>
      </c>
      <c r="I171">
        <f t="shared" si="101"/>
        <v>83.5</v>
      </c>
      <c r="M171">
        <f t="shared" si="102"/>
        <v>83.5</v>
      </c>
      <c r="Q171">
        <f t="shared" si="103"/>
        <v>83.5</v>
      </c>
      <c r="V171">
        <v>128</v>
      </c>
      <c r="W171" t="s">
        <v>237</v>
      </c>
      <c r="X171">
        <v>36</v>
      </c>
      <c r="Y171">
        <f t="shared" si="115"/>
        <v>130.81344004395982</v>
      </c>
      <c r="Z171">
        <f t="shared" si="110"/>
        <v>36</v>
      </c>
      <c r="AA171">
        <v>128</v>
      </c>
      <c r="AF171">
        <v>128</v>
      </c>
    </row>
    <row r="172" spans="1:47" x14ac:dyDescent="0.2">
      <c r="A172">
        <f t="shared" si="99"/>
        <v>84</v>
      </c>
      <c r="B172" t="s">
        <v>362</v>
      </c>
      <c r="C172">
        <v>55</v>
      </c>
      <c r="D172">
        <f>16.35117682*1.059464^C172</f>
        <v>392.00377257605692</v>
      </c>
      <c r="E172">
        <f t="shared" si="100"/>
        <v>84</v>
      </c>
      <c r="F172" t="s">
        <v>365</v>
      </c>
      <c r="G172">
        <v>50</v>
      </c>
      <c r="H172">
        <f>16.35117682*1.059464^G172</f>
        <v>293.66975814369101</v>
      </c>
      <c r="I172">
        <f t="shared" si="101"/>
        <v>84</v>
      </c>
      <c r="J172" t="s">
        <v>483</v>
      </c>
      <c r="K172">
        <v>44</v>
      </c>
      <c r="L172">
        <f>16.35117682*1.059464^K172</f>
        <v>207.65481237683719</v>
      </c>
      <c r="M172">
        <f t="shared" si="102"/>
        <v>84</v>
      </c>
      <c r="N172" t="s">
        <v>87</v>
      </c>
      <c r="O172">
        <v>38</v>
      </c>
      <c r="P172">
        <f>16.35117682*1.059464^O172</f>
        <v>146.83337288738056</v>
      </c>
      <c r="Q172">
        <f t="shared" si="103"/>
        <v>84</v>
      </c>
      <c r="R172" t="s">
        <v>85</v>
      </c>
      <c r="S172">
        <v>34</v>
      </c>
      <c r="T172">
        <f>16.35117682*1.059464^S172</f>
        <v>116.54132680899107</v>
      </c>
    </row>
    <row r="173" spans="1:47" x14ac:dyDescent="0.2">
      <c r="A173">
        <f t="shared" si="99"/>
        <v>84.5</v>
      </c>
      <c r="E173">
        <f t="shared" si="100"/>
        <v>84.5</v>
      </c>
      <c r="I173">
        <f t="shared" si="101"/>
        <v>84.5</v>
      </c>
      <c r="M173">
        <f t="shared" si="102"/>
        <v>84.5</v>
      </c>
      <c r="Q173">
        <f t="shared" si="103"/>
        <v>84.5</v>
      </c>
      <c r="W173" s="3" t="s">
        <v>405</v>
      </c>
    </row>
    <row r="174" spans="1:47" x14ac:dyDescent="0.2">
      <c r="A174">
        <f t="shared" si="99"/>
        <v>85</v>
      </c>
      <c r="B174" t="s">
        <v>363</v>
      </c>
      <c r="C174">
        <v>53</v>
      </c>
      <c r="D174">
        <f>16.35117682*1.059464^C174</f>
        <v>349.23506143398839</v>
      </c>
      <c r="E174">
        <f t="shared" si="100"/>
        <v>85</v>
      </c>
      <c r="F174" t="s">
        <v>445</v>
      </c>
      <c r="G174">
        <v>49</v>
      </c>
      <c r="H174">
        <f>16.35117682*1.059464^G174</f>
        <v>277.18710418069043</v>
      </c>
      <c r="I174">
        <f t="shared" si="101"/>
        <v>85</v>
      </c>
      <c r="J174" t="s">
        <v>483</v>
      </c>
      <c r="K174">
        <v>43</v>
      </c>
      <c r="L174">
        <f>16.35117682*1.059464^K174</f>
        <v>195.99987576438383</v>
      </c>
      <c r="M174">
        <f t="shared" si="102"/>
        <v>85</v>
      </c>
      <c r="N174" t="s">
        <v>83</v>
      </c>
      <c r="O174">
        <v>37</v>
      </c>
      <c r="P174">
        <f>16.35117682*1.059464^O174</f>
        <v>138.5921304427338</v>
      </c>
      <c r="Q174">
        <f t="shared" si="103"/>
        <v>85</v>
      </c>
      <c r="R174" t="s">
        <v>313</v>
      </c>
      <c r="S174">
        <v>27</v>
      </c>
      <c r="T174">
        <f>16.35117682*1.059464^S174</f>
        <v>77.781538420453217</v>
      </c>
      <c r="W174" t="s">
        <v>460</v>
      </c>
      <c r="AB174" t="s">
        <v>464</v>
      </c>
      <c r="AG174" t="s">
        <v>465</v>
      </c>
      <c r="AL174" t="s">
        <v>466</v>
      </c>
      <c r="AQ174" t="s">
        <v>467</v>
      </c>
    </row>
    <row r="175" spans="1:47" x14ac:dyDescent="0.2">
      <c r="A175">
        <f t="shared" si="99"/>
        <v>85.5</v>
      </c>
      <c r="E175">
        <f t="shared" si="100"/>
        <v>85.5</v>
      </c>
      <c r="I175">
        <f t="shared" si="101"/>
        <v>85.5</v>
      </c>
      <c r="M175">
        <f t="shared" si="102"/>
        <v>85.5</v>
      </c>
      <c r="Q175">
        <f t="shared" si="103"/>
        <v>85.5</v>
      </c>
      <c r="V175" t="s">
        <v>461</v>
      </c>
      <c r="W175" t="s">
        <v>462</v>
      </c>
      <c r="X175" t="s">
        <v>473</v>
      </c>
      <c r="Y175" t="s">
        <v>463</v>
      </c>
      <c r="Z175" t="s">
        <v>404</v>
      </c>
      <c r="AA175" t="s">
        <v>461</v>
      </c>
      <c r="AB175" t="s">
        <v>462</v>
      </c>
      <c r="AC175" t="s">
        <v>473</v>
      </c>
      <c r="AD175" t="s">
        <v>463</v>
      </c>
      <c r="AE175" t="s">
        <v>404</v>
      </c>
      <c r="AF175" t="s">
        <v>461</v>
      </c>
      <c r="AG175" t="s">
        <v>462</v>
      </c>
      <c r="AH175" t="s">
        <v>473</v>
      </c>
      <c r="AI175" t="s">
        <v>463</v>
      </c>
      <c r="AJ175" t="s">
        <v>404</v>
      </c>
      <c r="AK175" t="s">
        <v>461</v>
      </c>
      <c r="AL175" t="s">
        <v>462</v>
      </c>
      <c r="AM175" t="s">
        <v>473</v>
      </c>
      <c r="AN175" t="s">
        <v>463</v>
      </c>
      <c r="AO175" t="s">
        <v>404</v>
      </c>
      <c r="AP175" t="s">
        <v>461</v>
      </c>
      <c r="AQ175" t="s">
        <v>462</v>
      </c>
      <c r="AR175" t="s">
        <v>473</v>
      </c>
      <c r="AS175" t="s">
        <v>463</v>
      </c>
      <c r="AT175" t="s">
        <v>404</v>
      </c>
      <c r="AU175" t="s">
        <v>470</v>
      </c>
    </row>
    <row r="176" spans="1:47" x14ac:dyDescent="0.2">
      <c r="A176">
        <f t="shared" si="99"/>
        <v>86</v>
      </c>
      <c r="B176" t="s">
        <v>364</v>
      </c>
      <c r="C176">
        <v>51</v>
      </c>
      <c r="D176">
        <f>16.35117682*1.059464^C176</f>
        <v>311.13253664194741</v>
      </c>
      <c r="E176">
        <f t="shared" si="100"/>
        <v>86</v>
      </c>
      <c r="F176" t="s">
        <v>446</v>
      </c>
      <c r="G176">
        <v>48</v>
      </c>
      <c r="H176">
        <f>16.35117682*1.059464^G176</f>
        <v>261.62956379894968</v>
      </c>
      <c r="I176">
        <f t="shared" si="101"/>
        <v>86</v>
      </c>
      <c r="J176" t="s">
        <v>448</v>
      </c>
      <c r="K176">
        <v>44</v>
      </c>
      <c r="L176">
        <f>16.35117682*1.059464^K176</f>
        <v>207.65481237683719</v>
      </c>
      <c r="M176">
        <f t="shared" si="102"/>
        <v>86</v>
      </c>
      <c r="N176" t="s">
        <v>80</v>
      </c>
      <c r="O176">
        <v>36</v>
      </c>
      <c r="P176">
        <f>16.35117682*1.059464^O176</f>
        <v>130.81344004395982</v>
      </c>
      <c r="Q176">
        <f t="shared" si="103"/>
        <v>86</v>
      </c>
      <c r="R176" t="s">
        <v>314</v>
      </c>
      <c r="S176">
        <v>32</v>
      </c>
      <c r="T176">
        <f>16.35117682*1.059464^S176</f>
        <v>103.82634116063208</v>
      </c>
      <c r="V176">
        <v>0</v>
      </c>
      <c r="W176" t="s">
        <v>323</v>
      </c>
      <c r="X176">
        <v>48</v>
      </c>
      <c r="Y176">
        <f t="shared" ref="Y176:Y207" si="120">16.35117682*1.059464^X176</f>
        <v>261.62956379894968</v>
      </c>
      <c r="AA176">
        <v>0</v>
      </c>
      <c r="AF176">
        <v>0</v>
      </c>
      <c r="AK176">
        <v>0</v>
      </c>
      <c r="AL176" t="s">
        <v>80</v>
      </c>
      <c r="AM176">
        <v>36</v>
      </c>
      <c r="AN176">
        <f t="shared" ref="AN176:AN207" si="121">16.35117682*1.059464^AM176</f>
        <v>130.81344004395982</v>
      </c>
      <c r="AP176">
        <v>0</v>
      </c>
    </row>
    <row r="177" spans="1:48" x14ac:dyDescent="0.2">
      <c r="A177">
        <f t="shared" si="99"/>
        <v>86.5</v>
      </c>
      <c r="E177">
        <f t="shared" si="100"/>
        <v>86.5</v>
      </c>
      <c r="I177">
        <f t="shared" si="101"/>
        <v>86.5</v>
      </c>
      <c r="M177">
        <f t="shared" si="102"/>
        <v>86.5</v>
      </c>
      <c r="Q177">
        <f t="shared" si="103"/>
        <v>86.5</v>
      </c>
      <c r="V177">
        <v>1.5</v>
      </c>
      <c r="W177" t="s">
        <v>325</v>
      </c>
      <c r="X177">
        <v>46</v>
      </c>
      <c r="Y177">
        <f t="shared" si="120"/>
        <v>233.08504452861115</v>
      </c>
      <c r="Z177">
        <f t="shared" ref="Z177:Z208" si="122">ABS(X177-X176)</f>
        <v>2</v>
      </c>
      <c r="AA177">
        <v>1.5</v>
      </c>
      <c r="AF177">
        <v>1.5</v>
      </c>
      <c r="AK177">
        <v>1.5</v>
      </c>
      <c r="AL177" t="s">
        <v>81</v>
      </c>
      <c r="AM177">
        <v>34</v>
      </c>
      <c r="AN177">
        <f t="shared" si="121"/>
        <v>116.54132680899107</v>
      </c>
      <c r="AO177">
        <f t="shared" ref="AO177:AO208" si="123">ABS(AM177-AM176)</f>
        <v>2</v>
      </c>
      <c r="AP177">
        <v>1.5</v>
      </c>
      <c r="AU177" t="s">
        <v>355</v>
      </c>
      <c r="AV177" t="s">
        <v>396</v>
      </c>
    </row>
    <row r="178" spans="1:48" x14ac:dyDescent="0.2">
      <c r="A178">
        <f t="shared" si="99"/>
        <v>87</v>
      </c>
      <c r="B178" t="s">
        <v>365</v>
      </c>
      <c r="C178">
        <v>50</v>
      </c>
      <c r="D178">
        <f>16.35117682*1.059464^C178</f>
        <v>293.66975814369101</v>
      </c>
      <c r="E178">
        <f t="shared" si="100"/>
        <v>87</v>
      </c>
      <c r="F178" t="s">
        <v>447</v>
      </c>
      <c r="G178">
        <v>47</v>
      </c>
      <c r="H178">
        <f>16.35117682*1.059464^G178</f>
        <v>246.94521361646048</v>
      </c>
      <c r="I178">
        <f t="shared" si="101"/>
        <v>87</v>
      </c>
      <c r="J178" t="s">
        <v>483</v>
      </c>
      <c r="K178">
        <v>43</v>
      </c>
      <c r="L178">
        <f>16.35117682*1.059464^K178</f>
        <v>195.99987576438383</v>
      </c>
      <c r="M178">
        <f t="shared" si="102"/>
        <v>87</v>
      </c>
      <c r="N178" t="s">
        <v>307</v>
      </c>
      <c r="O178">
        <v>35</v>
      </c>
      <c r="P178">
        <f>16.35117682*1.059464^O178</f>
        <v>123.4713402663609</v>
      </c>
      <c r="Q178">
        <f t="shared" si="103"/>
        <v>87</v>
      </c>
      <c r="R178" t="s">
        <v>315</v>
      </c>
      <c r="S178">
        <v>31</v>
      </c>
      <c r="T178">
        <f>16.35117682*1.059464^S178</f>
        <v>97.998932630681253</v>
      </c>
      <c r="V178">
        <v>3</v>
      </c>
      <c r="W178" t="s">
        <v>23</v>
      </c>
      <c r="X178">
        <v>55</v>
      </c>
      <c r="Y178">
        <f t="shared" si="120"/>
        <v>392.00377257605692</v>
      </c>
      <c r="Z178">
        <f t="shared" si="122"/>
        <v>9</v>
      </c>
      <c r="AA178">
        <v>3</v>
      </c>
      <c r="AB178" t="s">
        <v>222</v>
      </c>
      <c r="AC178">
        <v>51</v>
      </c>
      <c r="AD178">
        <f>16.35117682*1.059464^AC178</f>
        <v>311.13253664194741</v>
      </c>
      <c r="AE178">
        <f>ABS(AC178-X177)</f>
        <v>5</v>
      </c>
      <c r="AF178">
        <v>3</v>
      </c>
      <c r="AG178" t="s">
        <v>483</v>
      </c>
      <c r="AH178">
        <v>44</v>
      </c>
      <c r="AI178">
        <f>16.35117682*1.059464^AH178</f>
        <v>207.65481237683719</v>
      </c>
      <c r="AJ178">
        <f>ABS(AH178-X177)</f>
        <v>2</v>
      </c>
      <c r="AK178">
        <v>3</v>
      </c>
      <c r="AL178" t="s">
        <v>485</v>
      </c>
      <c r="AM178">
        <v>39</v>
      </c>
      <c r="AN178">
        <f t="shared" si="121"/>
        <v>155.56467257275574</v>
      </c>
      <c r="AO178">
        <f t="shared" si="123"/>
        <v>5</v>
      </c>
      <c r="AP178">
        <v>3</v>
      </c>
      <c r="AQ178" t="s">
        <v>312</v>
      </c>
      <c r="AR178">
        <v>29</v>
      </c>
      <c r="AS178">
        <f>16.35117682*1.059464^AR178</f>
        <v>87.306974197808145</v>
      </c>
      <c r="AT178">
        <f>ABS(AR178-AM177)</f>
        <v>5</v>
      </c>
      <c r="AU178">
        <f>SUM(Z177:Z259,AE178:AE180,AE183:AE185,AE189:AE190,AE196,AE200:AE210,AE225:AE227,AE229:AE231,AE237,AE241:AE242,AE257:AE259,AJ178:AJ180,AJ183:AJ185,AJ189:AJ190,AJ196,AJ225:AJ227,AJ229:AJ231,AJ237,AJ241:AJ242,AJ257:AJ259)</f>
        <v>562</v>
      </c>
      <c r="AV178">
        <f>(259-175)+(6+3)*4+11+6</f>
        <v>137</v>
      </c>
    </row>
    <row r="179" spans="1:48" x14ac:dyDescent="0.2">
      <c r="A179">
        <f t="shared" si="99"/>
        <v>87.5</v>
      </c>
      <c r="E179">
        <f t="shared" si="100"/>
        <v>87.5</v>
      </c>
      <c r="I179">
        <f t="shared" si="101"/>
        <v>87.5</v>
      </c>
      <c r="M179">
        <f t="shared" si="102"/>
        <v>87.5</v>
      </c>
      <c r="Q179">
        <f t="shared" si="103"/>
        <v>87.5</v>
      </c>
      <c r="V179">
        <v>5</v>
      </c>
      <c r="W179" t="s">
        <v>308</v>
      </c>
      <c r="X179">
        <v>53</v>
      </c>
      <c r="Y179">
        <f t="shared" si="120"/>
        <v>349.23506143398839</v>
      </c>
      <c r="Z179">
        <f t="shared" si="122"/>
        <v>2</v>
      </c>
      <c r="AA179">
        <v>5</v>
      </c>
      <c r="AB179" t="s">
        <v>224</v>
      </c>
      <c r="AC179">
        <v>49</v>
      </c>
      <c r="AD179">
        <f>16.35117682*1.059464^AC179</f>
        <v>277.18710418069043</v>
      </c>
      <c r="AE179">
        <f>ABS(AC179-AC178)</f>
        <v>2</v>
      </c>
      <c r="AF179">
        <v>5</v>
      </c>
      <c r="AG179" t="s">
        <v>444</v>
      </c>
      <c r="AH179">
        <v>43</v>
      </c>
      <c r="AI179">
        <f>16.35117682*1.059464^AH179</f>
        <v>195.99987576438383</v>
      </c>
      <c r="AJ179">
        <f>ABS(AH179-AH178)</f>
        <v>1</v>
      </c>
      <c r="AK179">
        <v>5</v>
      </c>
      <c r="AL179" t="s">
        <v>83</v>
      </c>
      <c r="AM179">
        <v>37</v>
      </c>
      <c r="AN179">
        <f t="shared" si="121"/>
        <v>138.5921304427338</v>
      </c>
      <c r="AO179">
        <f t="shared" si="123"/>
        <v>2</v>
      </c>
      <c r="AP179">
        <v>5</v>
      </c>
      <c r="AQ179" t="s">
        <v>313</v>
      </c>
      <c r="AR179">
        <v>27</v>
      </c>
      <c r="AS179">
        <f>16.35117682*1.059464^AR179</f>
        <v>77.781538420453217</v>
      </c>
      <c r="AT179">
        <f>ABS(AR179-AR178)</f>
        <v>2</v>
      </c>
    </row>
    <row r="180" spans="1:48" x14ac:dyDescent="0.2">
      <c r="A180">
        <f t="shared" si="99"/>
        <v>88</v>
      </c>
      <c r="B180" t="s">
        <v>366</v>
      </c>
      <c r="C180">
        <v>48</v>
      </c>
      <c r="D180">
        <f>16.35117682*1.059464^C180</f>
        <v>261.62956379894968</v>
      </c>
      <c r="E180">
        <f t="shared" si="100"/>
        <v>88</v>
      </c>
      <c r="F180" t="s">
        <v>448</v>
      </c>
      <c r="G180">
        <v>43</v>
      </c>
      <c r="H180">
        <f>16.35117682*1.059464^G180</f>
        <v>195.99987576438383</v>
      </c>
      <c r="I180">
        <f t="shared" si="101"/>
        <v>88</v>
      </c>
      <c r="J180" t="s">
        <v>485</v>
      </c>
      <c r="K180">
        <v>39</v>
      </c>
      <c r="L180">
        <f>16.35117682*1.059464^K180</f>
        <v>155.56467257275574</v>
      </c>
      <c r="M180">
        <f t="shared" si="102"/>
        <v>88</v>
      </c>
      <c r="N180" t="s">
        <v>488</v>
      </c>
      <c r="O180">
        <v>36</v>
      </c>
      <c r="P180">
        <f>16.35117682*1.059464^O180</f>
        <v>130.81344004395982</v>
      </c>
      <c r="Q180">
        <f t="shared" si="103"/>
        <v>88</v>
      </c>
      <c r="R180" t="s">
        <v>34</v>
      </c>
      <c r="S180">
        <v>24</v>
      </c>
      <c r="T180">
        <f>16.35117682*1.059464^S180</f>
        <v>65.406049101104529</v>
      </c>
      <c r="V180">
        <v>7</v>
      </c>
      <c r="W180" t="s">
        <v>223</v>
      </c>
      <c r="X180">
        <v>50</v>
      </c>
      <c r="Y180">
        <f t="shared" si="120"/>
        <v>293.66975814369101</v>
      </c>
      <c r="Z180">
        <f t="shared" si="122"/>
        <v>3</v>
      </c>
      <c r="AA180">
        <v>7</v>
      </c>
      <c r="AB180" t="s">
        <v>443</v>
      </c>
      <c r="AC180">
        <v>47</v>
      </c>
      <c r="AD180">
        <f>16.35117682*1.059464^AC180</f>
        <v>246.94521361646048</v>
      </c>
      <c r="AE180">
        <f>ABS(AC180-AC179)</f>
        <v>2</v>
      </c>
      <c r="AF180">
        <v>7</v>
      </c>
      <c r="AG180" t="s">
        <v>444</v>
      </c>
      <c r="AH180">
        <v>43</v>
      </c>
      <c r="AI180">
        <f>16.35117682*1.059464^AH180</f>
        <v>195.99987576438383</v>
      </c>
      <c r="AJ180">
        <f>ABS(AH180-AH179)</f>
        <v>0</v>
      </c>
      <c r="AK180">
        <v>7</v>
      </c>
      <c r="AL180" t="s">
        <v>84</v>
      </c>
      <c r="AM180">
        <v>35</v>
      </c>
      <c r="AN180">
        <f t="shared" si="121"/>
        <v>123.4713402663609</v>
      </c>
      <c r="AO180">
        <f t="shared" si="123"/>
        <v>2</v>
      </c>
      <c r="AP180">
        <v>7</v>
      </c>
      <c r="AQ180" t="s">
        <v>315</v>
      </c>
      <c r="AR180">
        <v>31</v>
      </c>
      <c r="AS180">
        <f>16.35117682*1.059464^AR180</f>
        <v>97.998932630681253</v>
      </c>
      <c r="AT180">
        <f>ABS(AR180-AR179)</f>
        <v>4</v>
      </c>
      <c r="AU180" t="s">
        <v>356</v>
      </c>
    </row>
    <row r="181" spans="1:48" x14ac:dyDescent="0.2">
      <c r="A181">
        <f t="shared" si="99"/>
        <v>88.5</v>
      </c>
      <c r="E181">
        <f t="shared" si="100"/>
        <v>88.5</v>
      </c>
      <c r="I181">
        <f t="shared" si="101"/>
        <v>88.5</v>
      </c>
      <c r="M181">
        <f t="shared" si="102"/>
        <v>88.5</v>
      </c>
      <c r="Q181">
        <f t="shared" si="103"/>
        <v>88.5</v>
      </c>
      <c r="V181">
        <v>9</v>
      </c>
      <c r="W181" t="s">
        <v>323</v>
      </c>
      <c r="X181">
        <v>48</v>
      </c>
      <c r="Y181">
        <f t="shared" si="120"/>
        <v>261.62956379894968</v>
      </c>
      <c r="Z181">
        <f t="shared" si="122"/>
        <v>2</v>
      </c>
      <c r="AA181">
        <v>9</v>
      </c>
      <c r="AF181">
        <v>9</v>
      </c>
      <c r="AK181">
        <v>9</v>
      </c>
      <c r="AL181" t="s">
        <v>80</v>
      </c>
      <c r="AM181">
        <v>36</v>
      </c>
      <c r="AN181">
        <f t="shared" si="121"/>
        <v>130.81344004395982</v>
      </c>
      <c r="AO181">
        <f t="shared" si="123"/>
        <v>1</v>
      </c>
      <c r="AP181">
        <v>9</v>
      </c>
      <c r="AU181">
        <f>AU178/(AV178-1)</f>
        <v>4.132352941176471</v>
      </c>
    </row>
    <row r="182" spans="1:48" x14ac:dyDescent="0.2">
      <c r="A182">
        <f t="shared" si="99"/>
        <v>89</v>
      </c>
      <c r="B182" t="s">
        <v>366</v>
      </c>
      <c r="C182">
        <v>48</v>
      </c>
      <c r="D182">
        <f t="shared" ref="D182:D188" si="124">16.35117682*1.059464^C182</f>
        <v>261.62956379894968</v>
      </c>
      <c r="E182">
        <f t="shared" si="100"/>
        <v>89</v>
      </c>
      <c r="I182">
        <f t="shared" si="101"/>
        <v>89</v>
      </c>
      <c r="M182">
        <f t="shared" si="102"/>
        <v>89</v>
      </c>
      <c r="N182" t="s">
        <v>488</v>
      </c>
      <c r="O182">
        <v>36</v>
      </c>
      <c r="P182">
        <f t="shared" ref="P182:P188" si="125">16.35117682*1.059464^O182</f>
        <v>130.81344004395982</v>
      </c>
      <c r="Q182">
        <f t="shared" si="103"/>
        <v>89</v>
      </c>
      <c r="V182">
        <v>10</v>
      </c>
      <c r="W182" t="s">
        <v>323</v>
      </c>
      <c r="X182">
        <v>48</v>
      </c>
      <c r="Y182">
        <f t="shared" si="120"/>
        <v>261.62956379894968</v>
      </c>
      <c r="Z182">
        <f t="shared" si="122"/>
        <v>0</v>
      </c>
      <c r="AA182">
        <v>10</v>
      </c>
      <c r="AF182">
        <v>10</v>
      </c>
      <c r="AK182">
        <v>10</v>
      </c>
      <c r="AL182" t="s">
        <v>80</v>
      </c>
      <c r="AM182">
        <v>36</v>
      </c>
      <c r="AN182">
        <f t="shared" si="121"/>
        <v>130.81344004395982</v>
      </c>
      <c r="AO182">
        <f t="shared" si="123"/>
        <v>0</v>
      </c>
      <c r="AP182">
        <v>10</v>
      </c>
    </row>
    <row r="183" spans="1:48" x14ac:dyDescent="0.2">
      <c r="A183">
        <f t="shared" si="99"/>
        <v>89.5</v>
      </c>
      <c r="B183" t="s">
        <v>367</v>
      </c>
      <c r="C183">
        <v>46</v>
      </c>
      <c r="D183">
        <f t="shared" si="124"/>
        <v>233.08504452861115</v>
      </c>
      <c r="E183">
        <f t="shared" si="100"/>
        <v>89.5</v>
      </c>
      <c r="I183">
        <f t="shared" si="101"/>
        <v>89.5</v>
      </c>
      <c r="M183">
        <f t="shared" si="102"/>
        <v>89.5</v>
      </c>
      <c r="N183" t="s">
        <v>81</v>
      </c>
      <c r="O183">
        <v>34</v>
      </c>
      <c r="P183">
        <f t="shared" si="125"/>
        <v>116.54132680899107</v>
      </c>
      <c r="Q183">
        <f t="shared" si="103"/>
        <v>89.5</v>
      </c>
      <c r="V183">
        <v>12</v>
      </c>
      <c r="W183" t="s">
        <v>23</v>
      </c>
      <c r="X183">
        <v>55</v>
      </c>
      <c r="Y183">
        <f t="shared" si="120"/>
        <v>392.00377257605692</v>
      </c>
      <c r="Z183">
        <f t="shared" si="122"/>
        <v>7</v>
      </c>
      <c r="AA183">
        <v>12</v>
      </c>
      <c r="AB183" t="s">
        <v>223</v>
      </c>
      <c r="AC183">
        <v>50</v>
      </c>
      <c r="AD183">
        <f>16.35117682*1.059464^AC183</f>
        <v>293.66975814369101</v>
      </c>
      <c r="AE183">
        <f>ABS(AC183-X182)</f>
        <v>2</v>
      </c>
      <c r="AF183">
        <v>12</v>
      </c>
      <c r="AG183" t="s">
        <v>483</v>
      </c>
      <c r="AH183">
        <v>44</v>
      </c>
      <c r="AI183">
        <f>16.35117682*1.059464^AH183</f>
        <v>207.65481237683719</v>
      </c>
      <c r="AJ183">
        <f>ABS(AH183-X182)</f>
        <v>4</v>
      </c>
      <c r="AK183">
        <v>12</v>
      </c>
      <c r="AL183" t="s">
        <v>82</v>
      </c>
      <c r="AM183">
        <v>38</v>
      </c>
      <c r="AN183">
        <f t="shared" si="121"/>
        <v>146.83337288738056</v>
      </c>
      <c r="AO183">
        <f t="shared" si="123"/>
        <v>2</v>
      </c>
      <c r="AP183">
        <v>12</v>
      </c>
      <c r="AQ183" t="s">
        <v>85</v>
      </c>
      <c r="AR183">
        <v>34</v>
      </c>
      <c r="AS183">
        <f>16.35117682*1.059464^AR183</f>
        <v>116.54132680899107</v>
      </c>
      <c r="AT183">
        <f>ABS(AR183-AM182)</f>
        <v>2</v>
      </c>
    </row>
    <row r="184" spans="1:48" x14ac:dyDescent="0.2">
      <c r="A184">
        <f t="shared" si="99"/>
        <v>90</v>
      </c>
      <c r="B184" t="s">
        <v>366</v>
      </c>
      <c r="C184">
        <v>48</v>
      </c>
      <c r="D184">
        <f t="shared" si="124"/>
        <v>261.62956379894968</v>
      </c>
      <c r="E184">
        <f t="shared" si="100"/>
        <v>90</v>
      </c>
      <c r="I184">
        <f t="shared" si="101"/>
        <v>90</v>
      </c>
      <c r="M184">
        <f t="shared" si="102"/>
        <v>90</v>
      </c>
      <c r="N184" t="s">
        <v>80</v>
      </c>
      <c r="O184">
        <v>36</v>
      </c>
      <c r="P184">
        <f t="shared" si="125"/>
        <v>130.81344004395982</v>
      </c>
      <c r="Q184">
        <f t="shared" si="103"/>
        <v>90</v>
      </c>
      <c r="V184">
        <v>14</v>
      </c>
      <c r="W184" t="s">
        <v>222</v>
      </c>
      <c r="X184">
        <v>51</v>
      </c>
      <c r="Y184">
        <f t="shared" si="120"/>
        <v>311.13253664194741</v>
      </c>
      <c r="Z184">
        <f t="shared" si="122"/>
        <v>4</v>
      </c>
      <c r="AA184">
        <v>14</v>
      </c>
      <c r="AB184" t="s">
        <v>446</v>
      </c>
      <c r="AC184">
        <v>48</v>
      </c>
      <c r="AD184">
        <f>16.35117682*1.059464^AC184</f>
        <v>261.62956379894968</v>
      </c>
      <c r="AE184">
        <f>ABS(AC184-AC183)</f>
        <v>2</v>
      </c>
      <c r="AF184">
        <v>14</v>
      </c>
      <c r="AG184" t="s">
        <v>469</v>
      </c>
      <c r="AH184">
        <v>44</v>
      </c>
      <c r="AI184">
        <f>16.35117682*1.059464^AH184</f>
        <v>207.65481237683719</v>
      </c>
      <c r="AJ184">
        <f>ABS(AH184-AH183)</f>
        <v>0</v>
      </c>
      <c r="AK184">
        <v>14</v>
      </c>
      <c r="AL184" t="s">
        <v>80</v>
      </c>
      <c r="AM184">
        <v>36</v>
      </c>
      <c r="AN184">
        <f t="shared" si="121"/>
        <v>130.81344004395982</v>
      </c>
      <c r="AO184">
        <f t="shared" si="123"/>
        <v>2</v>
      </c>
      <c r="AP184">
        <v>14</v>
      </c>
      <c r="AQ184" t="s">
        <v>314</v>
      </c>
      <c r="AR184">
        <v>32</v>
      </c>
      <c r="AS184">
        <f>16.35117682*1.059464^AR184</f>
        <v>103.82634116063208</v>
      </c>
      <c r="AT184">
        <f>ABS(AR184-AR183)</f>
        <v>2</v>
      </c>
      <c r="AU184" t="s">
        <v>472</v>
      </c>
    </row>
    <row r="185" spans="1:48" x14ac:dyDescent="0.2">
      <c r="A185">
        <f t="shared" si="99"/>
        <v>90.5</v>
      </c>
      <c r="B185" t="s">
        <v>368</v>
      </c>
      <c r="C185">
        <v>46</v>
      </c>
      <c r="D185">
        <f t="shared" si="124"/>
        <v>233.08504452861115</v>
      </c>
      <c r="E185">
        <f t="shared" si="100"/>
        <v>90.5</v>
      </c>
      <c r="I185">
        <f t="shared" si="101"/>
        <v>90.5</v>
      </c>
      <c r="M185">
        <f t="shared" si="102"/>
        <v>90.5</v>
      </c>
      <c r="N185" t="s">
        <v>85</v>
      </c>
      <c r="O185">
        <v>34</v>
      </c>
      <c r="P185">
        <f t="shared" si="125"/>
        <v>116.54132680899107</v>
      </c>
      <c r="Q185">
        <f t="shared" si="103"/>
        <v>90.5</v>
      </c>
      <c r="V185">
        <v>16</v>
      </c>
      <c r="W185" t="s">
        <v>323</v>
      </c>
      <c r="X185">
        <v>48</v>
      </c>
      <c r="Y185">
        <f t="shared" si="120"/>
        <v>261.62956379894968</v>
      </c>
      <c r="Z185">
        <f t="shared" si="122"/>
        <v>3</v>
      </c>
      <c r="AA185">
        <v>16</v>
      </c>
      <c r="AB185" t="s">
        <v>448</v>
      </c>
      <c r="AC185">
        <v>43</v>
      </c>
      <c r="AD185">
        <f>16.35117682*1.059464^AC185</f>
        <v>195.99987576438383</v>
      </c>
      <c r="AE185">
        <f>ABS(AC185-AC184)</f>
        <v>5</v>
      </c>
      <c r="AF185">
        <v>16</v>
      </c>
      <c r="AG185" t="s">
        <v>485</v>
      </c>
      <c r="AH185">
        <v>39</v>
      </c>
      <c r="AI185">
        <f>16.35117682*1.059464^AH185</f>
        <v>155.56467257275574</v>
      </c>
      <c r="AJ185">
        <f>ABS(AH185-AH184)</f>
        <v>5</v>
      </c>
      <c r="AK185">
        <v>16</v>
      </c>
      <c r="AL185" t="s">
        <v>488</v>
      </c>
      <c r="AM185">
        <v>36</v>
      </c>
      <c r="AN185">
        <f t="shared" si="121"/>
        <v>130.81344004395982</v>
      </c>
      <c r="AO185">
        <f t="shared" si="123"/>
        <v>0</v>
      </c>
      <c r="AP185">
        <v>16</v>
      </c>
      <c r="AQ185" t="s">
        <v>34</v>
      </c>
      <c r="AR185">
        <v>24</v>
      </c>
      <c r="AS185">
        <f>16.35117682*1.059464^AR185</f>
        <v>65.406049101104529</v>
      </c>
      <c r="AT185">
        <f>ABS(AR185-AR184)</f>
        <v>8</v>
      </c>
    </row>
    <row r="186" spans="1:48" x14ac:dyDescent="0.2">
      <c r="A186">
        <f t="shared" si="99"/>
        <v>91</v>
      </c>
      <c r="B186" t="s">
        <v>366</v>
      </c>
      <c r="C186">
        <v>48</v>
      </c>
      <c r="D186">
        <f t="shared" si="124"/>
        <v>261.62956379894968</v>
      </c>
      <c r="E186">
        <f t="shared" si="100"/>
        <v>91</v>
      </c>
      <c r="I186">
        <f t="shared" si="101"/>
        <v>91</v>
      </c>
      <c r="M186">
        <f t="shared" si="102"/>
        <v>91</v>
      </c>
      <c r="N186" t="s">
        <v>80</v>
      </c>
      <c r="O186">
        <v>36</v>
      </c>
      <c r="P186">
        <f t="shared" si="125"/>
        <v>130.81344004395982</v>
      </c>
      <c r="Q186">
        <f t="shared" si="103"/>
        <v>91</v>
      </c>
      <c r="V186">
        <v>17.5</v>
      </c>
      <c r="W186" t="s">
        <v>325</v>
      </c>
      <c r="X186">
        <v>46</v>
      </c>
      <c r="Y186">
        <f t="shared" si="120"/>
        <v>233.08504452861115</v>
      </c>
      <c r="Z186">
        <f t="shared" si="122"/>
        <v>2</v>
      </c>
      <c r="AA186">
        <v>17.5</v>
      </c>
      <c r="AF186">
        <v>17.5</v>
      </c>
      <c r="AK186">
        <v>17.5</v>
      </c>
      <c r="AL186" t="s">
        <v>81</v>
      </c>
      <c r="AM186">
        <v>34</v>
      </c>
      <c r="AN186">
        <f t="shared" si="121"/>
        <v>116.54132680899107</v>
      </c>
      <c r="AO186">
        <f t="shared" si="123"/>
        <v>2</v>
      </c>
      <c r="AP186">
        <v>17.5</v>
      </c>
      <c r="AU186" t="s">
        <v>235</v>
      </c>
      <c r="AV186" t="s">
        <v>396</v>
      </c>
    </row>
    <row r="187" spans="1:48" x14ac:dyDescent="0.2">
      <c r="A187">
        <f t="shared" si="99"/>
        <v>91.5</v>
      </c>
      <c r="B187" t="s">
        <v>365</v>
      </c>
      <c r="C187">
        <v>50</v>
      </c>
      <c r="D187">
        <f t="shared" si="124"/>
        <v>293.66975814369101</v>
      </c>
      <c r="E187">
        <f t="shared" si="100"/>
        <v>91.5</v>
      </c>
      <c r="I187">
        <f t="shared" si="101"/>
        <v>91.5</v>
      </c>
      <c r="M187">
        <f t="shared" si="102"/>
        <v>91.5</v>
      </c>
      <c r="N187" t="s">
        <v>82</v>
      </c>
      <c r="O187">
        <v>38</v>
      </c>
      <c r="P187">
        <f t="shared" si="125"/>
        <v>146.83337288738056</v>
      </c>
      <c r="Q187">
        <f t="shared" si="103"/>
        <v>91.5</v>
      </c>
      <c r="V187">
        <v>18.5</v>
      </c>
      <c r="W187" t="s">
        <v>325</v>
      </c>
      <c r="X187">
        <v>46</v>
      </c>
      <c r="Y187">
        <f t="shared" si="120"/>
        <v>233.08504452861115</v>
      </c>
      <c r="Z187">
        <f t="shared" si="122"/>
        <v>0</v>
      </c>
      <c r="AA187">
        <v>18.5</v>
      </c>
      <c r="AF187">
        <v>18.5</v>
      </c>
      <c r="AK187">
        <v>18.5</v>
      </c>
      <c r="AL187" t="s">
        <v>85</v>
      </c>
      <c r="AM187">
        <v>34</v>
      </c>
      <c r="AN187">
        <f t="shared" si="121"/>
        <v>116.54132680899107</v>
      </c>
      <c r="AO187">
        <f t="shared" si="123"/>
        <v>0</v>
      </c>
      <c r="AP187">
        <v>18.5</v>
      </c>
      <c r="AU187">
        <f>SUM(AO177:AO257,AT178:AT180,AT183:AT185,AT189:AT190,AT194:AT195,AT199:AT208,AT223:AT225,AT228:AT230,AT234:AT235,AT239:AT240,AT252:AT257)</f>
        <v>456</v>
      </c>
      <c r="AV187">
        <f>(257-175)+18+10+6</f>
        <v>116</v>
      </c>
    </row>
    <row r="188" spans="1:48" x14ac:dyDescent="0.2">
      <c r="A188">
        <f t="shared" si="99"/>
        <v>92</v>
      </c>
      <c r="B188" t="s">
        <v>364</v>
      </c>
      <c r="C188">
        <v>51</v>
      </c>
      <c r="D188">
        <f t="shared" si="124"/>
        <v>311.13253664194741</v>
      </c>
      <c r="E188">
        <f t="shared" si="100"/>
        <v>92</v>
      </c>
      <c r="I188">
        <f t="shared" si="101"/>
        <v>92</v>
      </c>
      <c r="M188">
        <f t="shared" si="102"/>
        <v>92</v>
      </c>
      <c r="N188" t="s">
        <v>369</v>
      </c>
      <c r="O188">
        <v>39</v>
      </c>
      <c r="P188">
        <f t="shared" si="125"/>
        <v>155.56467257275574</v>
      </c>
      <c r="Q188">
        <f t="shared" si="103"/>
        <v>92</v>
      </c>
      <c r="V188">
        <v>19.5</v>
      </c>
      <c r="W188" t="s">
        <v>223</v>
      </c>
      <c r="X188">
        <v>50</v>
      </c>
      <c r="Y188">
        <f t="shared" si="120"/>
        <v>293.66975814369101</v>
      </c>
      <c r="Z188">
        <f t="shared" si="122"/>
        <v>4</v>
      </c>
      <c r="AA188">
        <v>19.5</v>
      </c>
      <c r="AF188">
        <v>19.5</v>
      </c>
      <c r="AK188">
        <v>19.5</v>
      </c>
      <c r="AL188" t="s">
        <v>82</v>
      </c>
      <c r="AM188">
        <v>38</v>
      </c>
      <c r="AN188">
        <f t="shared" si="121"/>
        <v>146.83337288738056</v>
      </c>
      <c r="AO188">
        <f t="shared" si="123"/>
        <v>4</v>
      </c>
      <c r="AP188">
        <v>19.5</v>
      </c>
    </row>
    <row r="189" spans="1:48" x14ac:dyDescent="0.2">
      <c r="A189">
        <f t="shared" si="99"/>
        <v>92.5</v>
      </c>
      <c r="E189">
        <f t="shared" si="100"/>
        <v>92.5</v>
      </c>
      <c r="I189">
        <f t="shared" si="101"/>
        <v>92.5</v>
      </c>
      <c r="M189">
        <f t="shared" si="102"/>
        <v>92.5</v>
      </c>
      <c r="Q189">
        <f t="shared" si="103"/>
        <v>92.5</v>
      </c>
      <c r="V189">
        <v>21</v>
      </c>
      <c r="W189" t="s">
        <v>23</v>
      </c>
      <c r="X189">
        <v>55</v>
      </c>
      <c r="Y189">
        <f t="shared" si="120"/>
        <v>392.00377257605692</v>
      </c>
      <c r="Z189">
        <f t="shared" si="122"/>
        <v>5</v>
      </c>
      <c r="AA189">
        <v>21</v>
      </c>
      <c r="AB189" t="s">
        <v>213</v>
      </c>
      <c r="AC189">
        <v>51</v>
      </c>
      <c r="AD189">
        <f>16.35117682*1.059464^AC189</f>
        <v>311.13253664194741</v>
      </c>
      <c r="AE189">
        <f>ABS(AC189-X188)</f>
        <v>1</v>
      </c>
      <c r="AF189">
        <v>21</v>
      </c>
      <c r="AG189" t="s">
        <v>483</v>
      </c>
      <c r="AH189">
        <v>44</v>
      </c>
      <c r="AI189">
        <f>16.35117682*1.059464^AH189</f>
        <v>207.65481237683719</v>
      </c>
      <c r="AJ189">
        <f>ABS(AH189-X188)</f>
        <v>6</v>
      </c>
      <c r="AK189">
        <v>21</v>
      </c>
      <c r="AL189" t="s">
        <v>485</v>
      </c>
      <c r="AM189">
        <v>39</v>
      </c>
      <c r="AN189">
        <f t="shared" si="121"/>
        <v>155.56467257275574</v>
      </c>
      <c r="AO189">
        <f t="shared" si="123"/>
        <v>1</v>
      </c>
      <c r="AP189">
        <v>21</v>
      </c>
      <c r="AQ189" t="s">
        <v>312</v>
      </c>
      <c r="AR189">
        <v>29</v>
      </c>
      <c r="AS189">
        <f>16.35117682*1.059464^AR189</f>
        <v>87.306974197808145</v>
      </c>
      <c r="AT189">
        <f>ABS(AR189-AM188)</f>
        <v>9</v>
      </c>
      <c r="AU189" t="s">
        <v>236</v>
      </c>
    </row>
    <row r="190" spans="1:48" x14ac:dyDescent="0.2">
      <c r="A190">
        <f t="shared" si="99"/>
        <v>93</v>
      </c>
      <c r="B190" t="s">
        <v>362</v>
      </c>
      <c r="C190">
        <v>55</v>
      </c>
      <c r="D190">
        <f>16.35117682*1.059464^C190</f>
        <v>392.00377257605692</v>
      </c>
      <c r="E190">
        <f t="shared" si="100"/>
        <v>93</v>
      </c>
      <c r="F190" t="s">
        <v>213</v>
      </c>
      <c r="G190">
        <v>51</v>
      </c>
      <c r="H190">
        <f>16.35117682*1.059464^G190</f>
        <v>311.13253664194741</v>
      </c>
      <c r="I190">
        <f t="shared" si="101"/>
        <v>93</v>
      </c>
      <c r="J190" t="s">
        <v>483</v>
      </c>
      <c r="K190">
        <v>44</v>
      </c>
      <c r="L190">
        <f>16.35117682*1.059464^K190</f>
        <v>207.65481237683719</v>
      </c>
      <c r="M190">
        <f t="shared" si="102"/>
        <v>93</v>
      </c>
      <c r="N190" t="s">
        <v>369</v>
      </c>
      <c r="O190">
        <v>39</v>
      </c>
      <c r="P190">
        <f>16.35117682*1.059464^O190</f>
        <v>155.56467257275574</v>
      </c>
      <c r="Q190">
        <f t="shared" si="103"/>
        <v>93</v>
      </c>
      <c r="R190" t="s">
        <v>312</v>
      </c>
      <c r="S190">
        <v>29</v>
      </c>
      <c r="T190">
        <f>16.35117682*1.059464^S190</f>
        <v>87.306974197808145</v>
      </c>
      <c r="V190">
        <v>23</v>
      </c>
      <c r="W190" t="s">
        <v>23</v>
      </c>
      <c r="X190">
        <v>55</v>
      </c>
      <c r="Y190">
        <f t="shared" si="120"/>
        <v>392.00377257605692</v>
      </c>
      <c r="Z190">
        <f t="shared" si="122"/>
        <v>0</v>
      </c>
      <c r="AA190">
        <v>23</v>
      </c>
      <c r="AB190" t="s">
        <v>213</v>
      </c>
      <c r="AC190">
        <v>51</v>
      </c>
      <c r="AD190">
        <f>16.35117682*1.059464^AC190</f>
        <v>311.13253664194741</v>
      </c>
      <c r="AE190">
        <f>ABS(AC190-X189)</f>
        <v>4</v>
      </c>
      <c r="AF190">
        <v>23</v>
      </c>
      <c r="AG190" t="s">
        <v>325</v>
      </c>
      <c r="AH190">
        <v>46</v>
      </c>
      <c r="AI190">
        <f>16.35117682*1.059464^AH190</f>
        <v>233.08504452861115</v>
      </c>
      <c r="AJ190">
        <f>ABS(AH190-X189)</f>
        <v>9</v>
      </c>
      <c r="AK190">
        <v>24</v>
      </c>
      <c r="AL190" t="s">
        <v>488</v>
      </c>
      <c r="AM190">
        <v>36</v>
      </c>
      <c r="AN190">
        <f t="shared" si="121"/>
        <v>130.81344004395982</v>
      </c>
      <c r="AO190">
        <f t="shared" si="123"/>
        <v>3</v>
      </c>
      <c r="AP190">
        <v>24</v>
      </c>
      <c r="AQ190" t="s">
        <v>316</v>
      </c>
      <c r="AR190">
        <v>25</v>
      </c>
      <c r="AS190">
        <f>16.35117682*1.059464^AR190</f>
        <v>69.295354404852617</v>
      </c>
      <c r="AT190">
        <f>ABS(AR190-AR189)</f>
        <v>4</v>
      </c>
      <c r="AU190">
        <f>AU187/(AV187-1)</f>
        <v>3.965217391304348</v>
      </c>
    </row>
    <row r="191" spans="1:48" x14ac:dyDescent="0.2">
      <c r="A191">
        <f t="shared" si="99"/>
        <v>93.5</v>
      </c>
      <c r="E191">
        <f t="shared" si="100"/>
        <v>93.5</v>
      </c>
      <c r="I191">
        <f t="shared" si="101"/>
        <v>93.5</v>
      </c>
      <c r="M191">
        <f t="shared" si="102"/>
        <v>93.5</v>
      </c>
      <c r="Q191">
        <f t="shared" si="103"/>
        <v>93.5</v>
      </c>
      <c r="V191">
        <v>25</v>
      </c>
      <c r="W191" t="s">
        <v>323</v>
      </c>
      <c r="X191">
        <v>48</v>
      </c>
      <c r="Y191">
        <f t="shared" si="120"/>
        <v>261.62956379894968</v>
      </c>
      <c r="Z191">
        <f t="shared" si="122"/>
        <v>7</v>
      </c>
      <c r="AA191">
        <v>25</v>
      </c>
      <c r="AF191">
        <v>25</v>
      </c>
      <c r="AK191">
        <v>25.5</v>
      </c>
      <c r="AL191" t="s">
        <v>85</v>
      </c>
      <c r="AM191">
        <v>34</v>
      </c>
      <c r="AN191">
        <f t="shared" si="121"/>
        <v>116.54132680899107</v>
      </c>
      <c r="AO191">
        <f t="shared" si="123"/>
        <v>2</v>
      </c>
      <c r="AP191">
        <v>25.5</v>
      </c>
    </row>
    <row r="192" spans="1:48" x14ac:dyDescent="0.2">
      <c r="A192">
        <f t="shared" si="99"/>
        <v>94</v>
      </c>
      <c r="E192">
        <f t="shared" si="100"/>
        <v>94</v>
      </c>
      <c r="I192">
        <f t="shared" si="101"/>
        <v>94</v>
      </c>
      <c r="J192" t="s">
        <v>486</v>
      </c>
      <c r="K192">
        <v>45</v>
      </c>
      <c r="L192">
        <f>16.35117682*1.059464^K192</f>
        <v>220.00279814001337</v>
      </c>
      <c r="M192">
        <f t="shared" si="102"/>
        <v>94</v>
      </c>
      <c r="Q192">
        <f t="shared" si="103"/>
        <v>94</v>
      </c>
      <c r="V192">
        <v>26</v>
      </c>
      <c r="W192" t="s">
        <v>323</v>
      </c>
      <c r="X192">
        <v>48</v>
      </c>
      <c r="Y192">
        <f t="shared" si="120"/>
        <v>261.62956379894968</v>
      </c>
      <c r="Z192">
        <f t="shared" si="122"/>
        <v>0</v>
      </c>
      <c r="AA192">
        <v>26</v>
      </c>
      <c r="AF192">
        <v>26</v>
      </c>
      <c r="AK192">
        <v>26.5</v>
      </c>
      <c r="AL192" t="s">
        <v>85</v>
      </c>
      <c r="AM192">
        <v>34</v>
      </c>
      <c r="AN192">
        <f t="shared" si="121"/>
        <v>116.54132680899107</v>
      </c>
      <c r="AO192">
        <f t="shared" si="123"/>
        <v>0</v>
      </c>
      <c r="AP192">
        <v>26.5</v>
      </c>
    </row>
    <row r="193" spans="1:46" x14ac:dyDescent="0.2">
      <c r="A193">
        <f t="shared" si="99"/>
        <v>94.5</v>
      </c>
      <c r="E193">
        <f t="shared" si="100"/>
        <v>94.5</v>
      </c>
      <c r="I193">
        <f t="shared" si="101"/>
        <v>94.5</v>
      </c>
      <c r="M193">
        <f t="shared" si="102"/>
        <v>94.5</v>
      </c>
      <c r="Q193">
        <f t="shared" si="103"/>
        <v>94.5</v>
      </c>
      <c r="V193">
        <v>27</v>
      </c>
      <c r="W193" t="s">
        <v>323</v>
      </c>
      <c r="X193">
        <v>48</v>
      </c>
      <c r="Y193">
        <f t="shared" si="120"/>
        <v>261.62956379894968</v>
      </c>
      <c r="Z193">
        <f t="shared" si="122"/>
        <v>0</v>
      </c>
      <c r="AA193">
        <v>27</v>
      </c>
      <c r="AF193">
        <v>27</v>
      </c>
      <c r="AK193">
        <v>27.5</v>
      </c>
      <c r="AL193" t="s">
        <v>82</v>
      </c>
      <c r="AM193">
        <v>38</v>
      </c>
      <c r="AN193">
        <f t="shared" si="121"/>
        <v>146.83337288738056</v>
      </c>
      <c r="AO193">
        <f t="shared" si="123"/>
        <v>4</v>
      </c>
      <c r="AP193">
        <v>27.5</v>
      </c>
    </row>
    <row r="194" spans="1:46" x14ac:dyDescent="0.2">
      <c r="A194">
        <f t="shared" si="99"/>
        <v>95</v>
      </c>
      <c r="B194" t="s">
        <v>362</v>
      </c>
      <c r="C194">
        <v>55</v>
      </c>
      <c r="D194">
        <f>16.35117682*1.059464^C194</f>
        <v>392.00377257605692</v>
      </c>
      <c r="E194">
        <f t="shared" si="100"/>
        <v>95</v>
      </c>
      <c r="F194" t="s">
        <v>213</v>
      </c>
      <c r="G194">
        <v>51</v>
      </c>
      <c r="H194">
        <f>16.35117682*1.059464^G194</f>
        <v>311.13253664194741</v>
      </c>
      <c r="I194">
        <f t="shared" si="101"/>
        <v>95</v>
      </c>
      <c r="J194" t="s">
        <v>367</v>
      </c>
      <c r="K194">
        <v>46</v>
      </c>
      <c r="L194">
        <f>16.35117682*1.059464^K194</f>
        <v>233.08504452861115</v>
      </c>
      <c r="M194">
        <f t="shared" si="102"/>
        <v>95</v>
      </c>
      <c r="N194" t="s">
        <v>369</v>
      </c>
      <c r="O194">
        <v>39</v>
      </c>
      <c r="P194">
        <f>16.35117682*1.059464^O194</f>
        <v>155.56467257275574</v>
      </c>
      <c r="Q194">
        <f t="shared" si="103"/>
        <v>95</v>
      </c>
      <c r="R194" t="s">
        <v>315</v>
      </c>
      <c r="S194">
        <v>31</v>
      </c>
      <c r="T194">
        <f>16.35117682*1.059464^S194</f>
        <v>97.998932630681253</v>
      </c>
      <c r="V194">
        <v>28</v>
      </c>
      <c r="W194" t="s">
        <v>222</v>
      </c>
      <c r="X194">
        <v>51</v>
      </c>
      <c r="Y194">
        <f t="shared" si="120"/>
        <v>311.13253664194741</v>
      </c>
      <c r="Z194">
        <f t="shared" si="122"/>
        <v>3</v>
      </c>
      <c r="AA194">
        <v>28</v>
      </c>
      <c r="AF194">
        <v>28</v>
      </c>
      <c r="AK194">
        <v>29</v>
      </c>
      <c r="AL194" t="s">
        <v>484</v>
      </c>
      <c r="AM194">
        <v>39</v>
      </c>
      <c r="AN194">
        <f t="shared" si="121"/>
        <v>155.56467257275574</v>
      </c>
      <c r="AO194">
        <f t="shared" si="123"/>
        <v>1</v>
      </c>
      <c r="AP194">
        <v>29</v>
      </c>
      <c r="AQ194" t="s">
        <v>312</v>
      </c>
      <c r="AR194">
        <v>29</v>
      </c>
      <c r="AS194">
        <f>16.35117682*1.059464^AR194</f>
        <v>87.306974197808145</v>
      </c>
      <c r="AT194">
        <f>ABS(AR194-AM193)</f>
        <v>9</v>
      </c>
    </row>
    <row r="195" spans="1:46" x14ac:dyDescent="0.2">
      <c r="A195">
        <f t="shared" si="99"/>
        <v>95.5</v>
      </c>
      <c r="E195">
        <f t="shared" si="100"/>
        <v>95.5</v>
      </c>
      <c r="I195">
        <f t="shared" si="101"/>
        <v>95.5</v>
      </c>
      <c r="M195">
        <f t="shared" si="102"/>
        <v>95.5</v>
      </c>
      <c r="Q195">
        <f t="shared" si="103"/>
        <v>95.5</v>
      </c>
      <c r="V195">
        <v>30</v>
      </c>
      <c r="W195" t="s">
        <v>487</v>
      </c>
      <c r="X195">
        <v>45</v>
      </c>
      <c r="Y195">
        <f t="shared" si="120"/>
        <v>220.00279814001337</v>
      </c>
      <c r="Z195">
        <f t="shared" si="122"/>
        <v>6</v>
      </c>
      <c r="AA195">
        <v>30</v>
      </c>
      <c r="AF195">
        <v>30</v>
      </c>
      <c r="AK195">
        <v>32</v>
      </c>
      <c r="AL195" t="s">
        <v>80</v>
      </c>
      <c r="AM195">
        <v>36</v>
      </c>
      <c r="AN195">
        <f t="shared" si="121"/>
        <v>130.81344004395982</v>
      </c>
      <c r="AO195">
        <f t="shared" si="123"/>
        <v>3</v>
      </c>
      <c r="AP195">
        <v>32</v>
      </c>
      <c r="AQ195" t="s">
        <v>316</v>
      </c>
      <c r="AR195">
        <v>24</v>
      </c>
      <c r="AS195">
        <f>16.35117682*1.059464^AR195</f>
        <v>65.406049101104529</v>
      </c>
      <c r="AT195">
        <f>ABS(AR195-AR194)</f>
        <v>5</v>
      </c>
    </row>
    <row r="196" spans="1:46" x14ac:dyDescent="0.2">
      <c r="A196">
        <f t="shared" si="99"/>
        <v>96</v>
      </c>
      <c r="B196" t="s">
        <v>366</v>
      </c>
      <c r="C196">
        <v>48</v>
      </c>
      <c r="D196">
        <f>16.35117682*1.059464^C196</f>
        <v>261.62956379894968</v>
      </c>
      <c r="E196">
        <f t="shared" si="100"/>
        <v>96</v>
      </c>
      <c r="F196" t="s">
        <v>448</v>
      </c>
      <c r="G196">
        <v>43</v>
      </c>
      <c r="H196">
        <f>16.35117682*1.059464^G196</f>
        <v>195.99987576438383</v>
      </c>
      <c r="I196">
        <f t="shared" si="101"/>
        <v>96</v>
      </c>
      <c r="J196" t="s">
        <v>484</v>
      </c>
      <c r="K196">
        <v>39</v>
      </c>
      <c r="L196">
        <f>16.35117682*1.059464^K196</f>
        <v>155.56467257275574</v>
      </c>
      <c r="M196">
        <f t="shared" si="102"/>
        <v>96</v>
      </c>
      <c r="N196" t="s">
        <v>488</v>
      </c>
      <c r="O196">
        <v>36</v>
      </c>
      <c r="P196">
        <f>16.35117682*1.059464^O196</f>
        <v>130.81344004395982</v>
      </c>
      <c r="Q196">
        <f t="shared" si="103"/>
        <v>96</v>
      </c>
      <c r="R196" t="s">
        <v>316</v>
      </c>
      <c r="S196">
        <v>25</v>
      </c>
      <c r="T196">
        <f>16.35117682*1.059464^S196</f>
        <v>69.295354404852617</v>
      </c>
      <c r="V196">
        <v>32</v>
      </c>
      <c r="W196" t="s">
        <v>323</v>
      </c>
      <c r="X196">
        <v>48</v>
      </c>
      <c r="Y196">
        <f t="shared" si="120"/>
        <v>261.62956379894968</v>
      </c>
      <c r="Z196">
        <f t="shared" si="122"/>
        <v>3</v>
      </c>
      <c r="AA196">
        <v>32</v>
      </c>
      <c r="AB196" t="s">
        <v>448</v>
      </c>
      <c r="AC196">
        <v>43</v>
      </c>
      <c r="AD196">
        <f>16.35117682*1.059464^AC196</f>
        <v>195.99987576438383</v>
      </c>
      <c r="AE196">
        <f>ABS(AC196-X195)</f>
        <v>2</v>
      </c>
      <c r="AF196">
        <v>32</v>
      </c>
      <c r="AG196" t="s">
        <v>485</v>
      </c>
      <c r="AH196">
        <v>39</v>
      </c>
      <c r="AI196">
        <f>16.35117682*1.059464^AH196</f>
        <v>155.56467257275574</v>
      </c>
      <c r="AJ196">
        <f>ABS(AH196-X195)</f>
        <v>6</v>
      </c>
      <c r="AK196">
        <v>33.5</v>
      </c>
      <c r="AL196" t="s">
        <v>325</v>
      </c>
      <c r="AM196">
        <v>34</v>
      </c>
      <c r="AN196">
        <f t="shared" si="121"/>
        <v>116.54132680899107</v>
      </c>
      <c r="AO196">
        <f t="shared" si="123"/>
        <v>2</v>
      </c>
      <c r="AP196">
        <v>33.5</v>
      </c>
    </row>
    <row r="197" spans="1:46" x14ac:dyDescent="0.2">
      <c r="A197">
        <f t="shared" ref="A197:A260" si="126">A196+0.5</f>
        <v>96.5</v>
      </c>
      <c r="E197">
        <f t="shared" ref="E197:E260" si="127">E196+0.5</f>
        <v>96.5</v>
      </c>
      <c r="I197">
        <f t="shared" ref="I197:I260" si="128">I196+0.5</f>
        <v>96.5</v>
      </c>
      <c r="M197">
        <f t="shared" ref="M197:M260" si="129">M196+0.5</f>
        <v>96.5</v>
      </c>
      <c r="Q197">
        <f t="shared" ref="Q197:Q260" si="130">Q196+0.5</f>
        <v>96.5</v>
      </c>
      <c r="V197">
        <v>33.5</v>
      </c>
      <c r="W197" t="s">
        <v>325</v>
      </c>
      <c r="X197">
        <v>46</v>
      </c>
      <c r="Y197">
        <f t="shared" si="120"/>
        <v>233.08504452861115</v>
      </c>
      <c r="Z197">
        <f t="shared" si="122"/>
        <v>2</v>
      </c>
      <c r="AA197">
        <v>33.5</v>
      </c>
      <c r="AF197">
        <v>33.5</v>
      </c>
      <c r="AK197">
        <v>34.5</v>
      </c>
      <c r="AL197" t="s">
        <v>325</v>
      </c>
      <c r="AM197">
        <v>34</v>
      </c>
      <c r="AN197">
        <f t="shared" si="121"/>
        <v>116.54132680899107</v>
      </c>
      <c r="AO197">
        <f t="shared" si="123"/>
        <v>0</v>
      </c>
      <c r="AP197">
        <v>34.5</v>
      </c>
    </row>
    <row r="198" spans="1:46" x14ac:dyDescent="0.2">
      <c r="A198">
        <f t="shared" si="126"/>
        <v>97</v>
      </c>
      <c r="B198" t="s">
        <v>366</v>
      </c>
      <c r="C198">
        <v>48</v>
      </c>
      <c r="D198">
        <f t="shared" ref="D198:D204" si="131">16.35117682*1.059464^C198</f>
        <v>261.62956379894968</v>
      </c>
      <c r="E198">
        <f t="shared" si="127"/>
        <v>97</v>
      </c>
      <c r="I198">
        <f t="shared" si="128"/>
        <v>97</v>
      </c>
      <c r="M198">
        <f t="shared" si="129"/>
        <v>97</v>
      </c>
      <c r="N198" t="s">
        <v>80</v>
      </c>
      <c r="O198">
        <v>36</v>
      </c>
      <c r="P198">
        <f t="shared" ref="P198:P204" si="132">16.35117682*1.059464^O198</f>
        <v>130.81344004395982</v>
      </c>
      <c r="Q198">
        <f t="shared" si="130"/>
        <v>97</v>
      </c>
      <c r="V198">
        <v>34.5</v>
      </c>
      <c r="W198" t="s">
        <v>325</v>
      </c>
      <c r="X198">
        <v>46</v>
      </c>
      <c r="Y198">
        <f t="shared" si="120"/>
        <v>233.08504452861115</v>
      </c>
      <c r="Z198">
        <f t="shared" si="122"/>
        <v>0</v>
      </c>
      <c r="AA198">
        <v>34.5</v>
      </c>
      <c r="AF198">
        <v>34.5</v>
      </c>
      <c r="AK198">
        <v>35.5</v>
      </c>
      <c r="AL198" t="s">
        <v>485</v>
      </c>
      <c r="AM198">
        <v>38</v>
      </c>
      <c r="AN198">
        <f t="shared" si="121"/>
        <v>146.83337288738056</v>
      </c>
      <c r="AO198">
        <f t="shared" si="123"/>
        <v>4</v>
      </c>
      <c r="AP198">
        <v>35.5</v>
      </c>
    </row>
    <row r="199" spans="1:46" x14ac:dyDescent="0.2">
      <c r="A199">
        <f t="shared" si="126"/>
        <v>97.5</v>
      </c>
      <c r="B199" t="s">
        <v>367</v>
      </c>
      <c r="C199">
        <v>46</v>
      </c>
      <c r="D199">
        <f t="shared" si="131"/>
        <v>233.08504452861115</v>
      </c>
      <c r="E199">
        <f t="shared" si="127"/>
        <v>97.5</v>
      </c>
      <c r="I199">
        <f t="shared" si="128"/>
        <v>97.5</v>
      </c>
      <c r="M199">
        <f t="shared" si="129"/>
        <v>97.5</v>
      </c>
      <c r="N199" t="s">
        <v>85</v>
      </c>
      <c r="O199">
        <v>34</v>
      </c>
      <c r="P199">
        <f t="shared" si="132"/>
        <v>116.54132680899107</v>
      </c>
      <c r="Q199">
        <f t="shared" si="130"/>
        <v>97.5</v>
      </c>
      <c r="V199">
        <v>35.5</v>
      </c>
      <c r="W199" t="s">
        <v>222</v>
      </c>
      <c r="X199">
        <v>51</v>
      </c>
      <c r="Y199">
        <f t="shared" si="120"/>
        <v>311.13253664194741</v>
      </c>
      <c r="Z199">
        <f t="shared" si="122"/>
        <v>5</v>
      </c>
      <c r="AA199">
        <v>35.5</v>
      </c>
      <c r="AF199">
        <v>35.5</v>
      </c>
      <c r="AK199">
        <v>39</v>
      </c>
      <c r="AL199" t="s">
        <v>209</v>
      </c>
      <c r="AM199">
        <v>53</v>
      </c>
      <c r="AN199">
        <f t="shared" si="121"/>
        <v>349.23506143398839</v>
      </c>
      <c r="AO199">
        <f t="shared" si="123"/>
        <v>15</v>
      </c>
      <c r="AP199">
        <v>39</v>
      </c>
      <c r="AQ199" t="s">
        <v>318</v>
      </c>
      <c r="AR199">
        <v>41</v>
      </c>
      <c r="AS199">
        <f t="shared" ref="AS199:AS208" si="133">16.35117682*1.059464^AR199</f>
        <v>174.61573954711864</v>
      </c>
      <c r="AT199">
        <f>ABS(AR199-AM198)</f>
        <v>3</v>
      </c>
    </row>
    <row r="200" spans="1:46" x14ac:dyDescent="0.2">
      <c r="A200">
        <f t="shared" si="126"/>
        <v>98</v>
      </c>
      <c r="B200" t="s">
        <v>366</v>
      </c>
      <c r="C200">
        <v>48</v>
      </c>
      <c r="D200">
        <f t="shared" si="131"/>
        <v>261.62956379894968</v>
      </c>
      <c r="E200">
        <f t="shared" si="127"/>
        <v>98</v>
      </c>
      <c r="I200">
        <f t="shared" si="128"/>
        <v>98</v>
      </c>
      <c r="M200">
        <f t="shared" si="129"/>
        <v>98</v>
      </c>
      <c r="N200" t="s">
        <v>80</v>
      </c>
      <c r="O200">
        <v>36</v>
      </c>
      <c r="P200">
        <f t="shared" si="132"/>
        <v>130.81344004395982</v>
      </c>
      <c r="Q200">
        <f t="shared" si="130"/>
        <v>98</v>
      </c>
      <c r="V200">
        <v>39</v>
      </c>
      <c r="W200" t="s">
        <v>371</v>
      </c>
      <c r="X200">
        <v>67</v>
      </c>
      <c r="Y200">
        <f t="shared" si="120"/>
        <v>784.01558732918636</v>
      </c>
      <c r="Z200">
        <f t="shared" si="122"/>
        <v>16</v>
      </c>
      <c r="AA200">
        <v>39</v>
      </c>
      <c r="AB200" t="s">
        <v>23</v>
      </c>
      <c r="AC200">
        <v>55</v>
      </c>
      <c r="AD200">
        <f t="shared" ref="AD200:AD210" si="134">16.35117682*1.059464^AC200</f>
        <v>392.00377257605692</v>
      </c>
      <c r="AE200">
        <f>ABS(AC200-X199)</f>
        <v>4</v>
      </c>
      <c r="AF200">
        <v>39</v>
      </c>
      <c r="AK200">
        <v>41.5</v>
      </c>
      <c r="AL200" t="s">
        <v>209</v>
      </c>
      <c r="AM200">
        <v>53</v>
      </c>
      <c r="AN200">
        <f t="shared" si="121"/>
        <v>349.23506143398839</v>
      </c>
      <c r="AO200">
        <f t="shared" si="123"/>
        <v>0</v>
      </c>
      <c r="AP200">
        <v>41.5</v>
      </c>
      <c r="AQ200" t="s">
        <v>318</v>
      </c>
      <c r="AR200">
        <v>41</v>
      </c>
      <c r="AS200">
        <f t="shared" si="133"/>
        <v>174.61573954711864</v>
      </c>
      <c r="AT200">
        <f t="shared" ref="AT200:AT208" si="135">ABS(AR200-AR199)</f>
        <v>0</v>
      </c>
    </row>
    <row r="201" spans="1:46" x14ac:dyDescent="0.2">
      <c r="A201">
        <f t="shared" si="126"/>
        <v>98.5</v>
      </c>
      <c r="B201" t="s">
        <v>367</v>
      </c>
      <c r="C201">
        <v>46</v>
      </c>
      <c r="D201">
        <f t="shared" si="131"/>
        <v>233.08504452861115</v>
      </c>
      <c r="E201">
        <f t="shared" si="127"/>
        <v>98.5</v>
      </c>
      <c r="I201">
        <f t="shared" si="128"/>
        <v>98.5</v>
      </c>
      <c r="M201">
        <f t="shared" si="129"/>
        <v>98.5</v>
      </c>
      <c r="N201" t="s">
        <v>85</v>
      </c>
      <c r="O201">
        <v>34</v>
      </c>
      <c r="P201">
        <f t="shared" si="132"/>
        <v>116.54132680899107</v>
      </c>
      <c r="Q201">
        <f t="shared" si="130"/>
        <v>98.5</v>
      </c>
      <c r="V201">
        <v>41.5</v>
      </c>
      <c r="W201" t="s">
        <v>371</v>
      </c>
      <c r="X201">
        <v>67</v>
      </c>
      <c r="Y201">
        <f t="shared" si="120"/>
        <v>784.01558732918636</v>
      </c>
      <c r="Z201">
        <f t="shared" si="122"/>
        <v>0</v>
      </c>
      <c r="AA201">
        <v>41.5</v>
      </c>
      <c r="AB201" t="s">
        <v>23</v>
      </c>
      <c r="AC201">
        <v>55</v>
      </c>
      <c r="AD201">
        <f t="shared" si="134"/>
        <v>392.00377257605692</v>
      </c>
      <c r="AE201">
        <f t="shared" ref="AE201:AE210" si="136">ABS(AC201-AC200)</f>
        <v>0</v>
      </c>
      <c r="AF201">
        <v>41.5</v>
      </c>
      <c r="AK201">
        <v>43.5</v>
      </c>
      <c r="AL201" t="s">
        <v>308</v>
      </c>
      <c r="AM201">
        <v>53</v>
      </c>
      <c r="AN201">
        <f t="shared" si="121"/>
        <v>349.23506143398839</v>
      </c>
      <c r="AO201">
        <f t="shared" si="123"/>
        <v>0</v>
      </c>
      <c r="AP201">
        <v>43.5</v>
      </c>
      <c r="AQ201" t="s">
        <v>318</v>
      </c>
      <c r="AR201">
        <v>41</v>
      </c>
      <c r="AS201">
        <f t="shared" si="133"/>
        <v>174.61573954711864</v>
      </c>
      <c r="AT201">
        <f t="shared" si="135"/>
        <v>0</v>
      </c>
    </row>
    <row r="202" spans="1:46" x14ac:dyDescent="0.2">
      <c r="A202">
        <f t="shared" si="126"/>
        <v>99</v>
      </c>
      <c r="B202" t="s">
        <v>366</v>
      </c>
      <c r="C202">
        <v>48</v>
      </c>
      <c r="D202">
        <f t="shared" si="131"/>
        <v>261.62956379894968</v>
      </c>
      <c r="E202">
        <f t="shared" si="127"/>
        <v>99</v>
      </c>
      <c r="I202">
        <f t="shared" si="128"/>
        <v>99</v>
      </c>
      <c r="M202">
        <f t="shared" si="129"/>
        <v>99</v>
      </c>
      <c r="N202" t="s">
        <v>80</v>
      </c>
      <c r="O202">
        <v>36</v>
      </c>
      <c r="P202">
        <f t="shared" si="132"/>
        <v>130.81344004395982</v>
      </c>
      <c r="Q202">
        <f t="shared" si="130"/>
        <v>99</v>
      </c>
      <c r="V202">
        <v>43.5</v>
      </c>
      <c r="W202" t="s">
        <v>371</v>
      </c>
      <c r="X202">
        <v>67</v>
      </c>
      <c r="Y202">
        <f t="shared" si="120"/>
        <v>784.01558732918636</v>
      </c>
      <c r="Z202">
        <f t="shared" si="122"/>
        <v>0</v>
      </c>
      <c r="AA202">
        <v>43.5</v>
      </c>
      <c r="AB202" t="s">
        <v>23</v>
      </c>
      <c r="AC202">
        <v>55</v>
      </c>
      <c r="AD202">
        <f t="shared" si="134"/>
        <v>392.00377257605692</v>
      </c>
      <c r="AE202">
        <f t="shared" si="136"/>
        <v>0</v>
      </c>
      <c r="AF202">
        <v>43.5</v>
      </c>
      <c r="AK202">
        <v>44.5</v>
      </c>
      <c r="AL202" t="s">
        <v>308</v>
      </c>
      <c r="AM202">
        <v>53</v>
      </c>
      <c r="AN202">
        <f t="shared" si="121"/>
        <v>349.23506143398839</v>
      </c>
      <c r="AO202">
        <f t="shared" si="123"/>
        <v>0</v>
      </c>
      <c r="AP202">
        <v>44.5</v>
      </c>
      <c r="AQ202" t="s">
        <v>318</v>
      </c>
      <c r="AR202">
        <v>41</v>
      </c>
      <c r="AS202">
        <f t="shared" si="133"/>
        <v>174.61573954711864</v>
      </c>
      <c r="AT202">
        <f t="shared" si="135"/>
        <v>0</v>
      </c>
    </row>
    <row r="203" spans="1:46" x14ac:dyDescent="0.2">
      <c r="A203">
        <f t="shared" si="126"/>
        <v>99.5</v>
      </c>
      <c r="B203" t="s">
        <v>365</v>
      </c>
      <c r="C203">
        <v>50</v>
      </c>
      <c r="D203">
        <f t="shared" si="131"/>
        <v>293.66975814369101</v>
      </c>
      <c r="E203">
        <f t="shared" si="127"/>
        <v>99.5</v>
      </c>
      <c r="I203">
        <f t="shared" si="128"/>
        <v>99.5</v>
      </c>
      <c r="M203">
        <f t="shared" si="129"/>
        <v>99.5</v>
      </c>
      <c r="N203" t="s">
        <v>82</v>
      </c>
      <c r="O203">
        <v>38</v>
      </c>
      <c r="P203">
        <f t="shared" si="132"/>
        <v>146.83337288738056</v>
      </c>
      <c r="Q203">
        <f t="shared" si="130"/>
        <v>99.5</v>
      </c>
      <c r="V203">
        <v>44.5</v>
      </c>
      <c r="W203" t="s">
        <v>371</v>
      </c>
      <c r="X203">
        <v>67</v>
      </c>
      <c r="Y203">
        <f t="shared" si="120"/>
        <v>784.01558732918636</v>
      </c>
      <c r="Z203">
        <f t="shared" si="122"/>
        <v>0</v>
      </c>
      <c r="AA203">
        <v>44.5</v>
      </c>
      <c r="AB203" t="s">
        <v>23</v>
      </c>
      <c r="AC203">
        <v>55</v>
      </c>
      <c r="AD203">
        <f t="shared" si="134"/>
        <v>392.00377257605692</v>
      </c>
      <c r="AE203">
        <f t="shared" si="136"/>
        <v>0</v>
      </c>
      <c r="AF203">
        <v>44.5</v>
      </c>
      <c r="AK203">
        <v>45.5</v>
      </c>
      <c r="AL203" t="s">
        <v>308</v>
      </c>
      <c r="AM203">
        <v>53</v>
      </c>
      <c r="AN203">
        <f t="shared" si="121"/>
        <v>349.23506143398839</v>
      </c>
      <c r="AO203">
        <f t="shared" si="123"/>
        <v>0</v>
      </c>
      <c r="AP203">
        <v>45.5</v>
      </c>
      <c r="AQ203" t="s">
        <v>318</v>
      </c>
      <c r="AR203">
        <v>41</v>
      </c>
      <c r="AS203">
        <f t="shared" si="133"/>
        <v>174.61573954711864</v>
      </c>
      <c r="AT203">
        <f t="shared" si="135"/>
        <v>0</v>
      </c>
    </row>
    <row r="204" spans="1:46" x14ac:dyDescent="0.2">
      <c r="A204">
        <f t="shared" si="126"/>
        <v>100</v>
      </c>
      <c r="B204" t="s">
        <v>364</v>
      </c>
      <c r="C204">
        <v>51</v>
      </c>
      <c r="D204">
        <f t="shared" si="131"/>
        <v>311.13253664194741</v>
      </c>
      <c r="E204">
        <f t="shared" si="127"/>
        <v>100</v>
      </c>
      <c r="I204">
        <f t="shared" si="128"/>
        <v>100</v>
      </c>
      <c r="M204">
        <f t="shared" si="129"/>
        <v>100</v>
      </c>
      <c r="N204" t="s">
        <v>369</v>
      </c>
      <c r="O204">
        <v>39</v>
      </c>
      <c r="P204">
        <f t="shared" si="132"/>
        <v>155.56467257275574</v>
      </c>
      <c r="Q204">
        <f t="shared" si="130"/>
        <v>100</v>
      </c>
      <c r="V204">
        <v>45.5</v>
      </c>
      <c r="W204" t="s">
        <v>260</v>
      </c>
      <c r="X204">
        <v>67</v>
      </c>
      <c r="Y204">
        <f t="shared" si="120"/>
        <v>784.01558732918636</v>
      </c>
      <c r="Z204">
        <f t="shared" si="122"/>
        <v>0</v>
      </c>
      <c r="AA204">
        <v>45.5</v>
      </c>
      <c r="AB204" t="s">
        <v>23</v>
      </c>
      <c r="AC204">
        <v>55</v>
      </c>
      <c r="AD204">
        <f t="shared" si="134"/>
        <v>392.00377257605692</v>
      </c>
      <c r="AE204">
        <f t="shared" si="136"/>
        <v>0</v>
      </c>
      <c r="AF204">
        <v>45.5</v>
      </c>
      <c r="AK204">
        <v>47</v>
      </c>
      <c r="AL204" t="s">
        <v>308</v>
      </c>
      <c r="AM204">
        <v>53</v>
      </c>
      <c r="AN204">
        <f t="shared" si="121"/>
        <v>349.23506143398839</v>
      </c>
      <c r="AO204">
        <f t="shared" si="123"/>
        <v>0</v>
      </c>
      <c r="AP204">
        <v>47</v>
      </c>
      <c r="AQ204" t="s">
        <v>318</v>
      </c>
      <c r="AR204">
        <v>41</v>
      </c>
      <c r="AS204">
        <f t="shared" si="133"/>
        <v>174.61573954711864</v>
      </c>
      <c r="AT204">
        <f t="shared" si="135"/>
        <v>0</v>
      </c>
    </row>
    <row r="205" spans="1:46" x14ac:dyDescent="0.2">
      <c r="A205">
        <f t="shared" si="126"/>
        <v>100.5</v>
      </c>
      <c r="E205">
        <f t="shared" si="127"/>
        <v>100.5</v>
      </c>
      <c r="I205">
        <f t="shared" si="128"/>
        <v>100.5</v>
      </c>
      <c r="M205">
        <f t="shared" si="129"/>
        <v>100.5</v>
      </c>
      <c r="Q205">
        <f t="shared" si="130"/>
        <v>100.5</v>
      </c>
      <c r="V205">
        <v>47</v>
      </c>
      <c r="W205" t="s">
        <v>371</v>
      </c>
      <c r="X205">
        <v>67</v>
      </c>
      <c r="Y205">
        <f t="shared" si="120"/>
        <v>784.01558732918636</v>
      </c>
      <c r="Z205">
        <f t="shared" si="122"/>
        <v>0</v>
      </c>
      <c r="AA205">
        <v>47</v>
      </c>
      <c r="AB205" t="s">
        <v>23</v>
      </c>
      <c r="AC205">
        <v>55</v>
      </c>
      <c r="AD205">
        <f t="shared" si="134"/>
        <v>392.00377257605692</v>
      </c>
      <c r="AE205">
        <f t="shared" si="136"/>
        <v>0</v>
      </c>
      <c r="AF205">
        <v>47</v>
      </c>
      <c r="AK205">
        <v>48.5</v>
      </c>
      <c r="AL205" t="s">
        <v>223</v>
      </c>
      <c r="AM205">
        <v>50</v>
      </c>
      <c r="AN205">
        <f t="shared" si="121"/>
        <v>293.66975814369101</v>
      </c>
      <c r="AO205">
        <f t="shared" si="123"/>
        <v>3</v>
      </c>
      <c r="AP205">
        <v>48.5</v>
      </c>
      <c r="AQ205" t="s">
        <v>82</v>
      </c>
      <c r="AR205">
        <v>38</v>
      </c>
      <c r="AS205">
        <f t="shared" si="133"/>
        <v>146.83337288738056</v>
      </c>
      <c r="AT205">
        <f t="shared" si="135"/>
        <v>3</v>
      </c>
    </row>
    <row r="206" spans="1:46" x14ac:dyDescent="0.2">
      <c r="A206">
        <f t="shared" si="126"/>
        <v>101</v>
      </c>
      <c r="B206" t="s">
        <v>362</v>
      </c>
      <c r="C206">
        <v>55</v>
      </c>
      <c r="D206">
        <f>16.35117682*1.059464^C206</f>
        <v>392.00377257605692</v>
      </c>
      <c r="E206">
        <f t="shared" si="127"/>
        <v>101</v>
      </c>
      <c r="F206" t="s">
        <v>364</v>
      </c>
      <c r="G206">
        <v>51</v>
      </c>
      <c r="H206">
        <f>16.35117682*1.059464^G206</f>
        <v>311.13253664194741</v>
      </c>
      <c r="I206">
        <f t="shared" si="128"/>
        <v>101</v>
      </c>
      <c r="J206" t="s">
        <v>449</v>
      </c>
      <c r="K206">
        <v>44</v>
      </c>
      <c r="L206">
        <f>16.35117682*1.059464^K206</f>
        <v>207.65481237683719</v>
      </c>
      <c r="M206">
        <f t="shared" si="129"/>
        <v>101</v>
      </c>
      <c r="N206" t="s">
        <v>484</v>
      </c>
      <c r="O206">
        <v>39</v>
      </c>
      <c r="P206">
        <f>16.35117682*1.059464^O206</f>
        <v>155.56467257275574</v>
      </c>
      <c r="Q206">
        <f t="shared" si="130"/>
        <v>101</v>
      </c>
      <c r="R206" t="s">
        <v>317</v>
      </c>
      <c r="S206">
        <v>29</v>
      </c>
      <c r="T206">
        <f>16.35117682*1.059464^S206</f>
        <v>87.306974197808145</v>
      </c>
      <c r="V206">
        <v>48.5</v>
      </c>
      <c r="W206" t="s">
        <v>261</v>
      </c>
      <c r="X206">
        <v>63</v>
      </c>
      <c r="Y206">
        <f t="shared" si="120"/>
        <v>622.27145634224212</v>
      </c>
      <c r="Z206">
        <f t="shared" si="122"/>
        <v>4</v>
      </c>
      <c r="AA206">
        <v>48.5</v>
      </c>
      <c r="AB206" t="s">
        <v>222</v>
      </c>
      <c r="AC206">
        <v>51</v>
      </c>
      <c r="AD206">
        <f t="shared" si="134"/>
        <v>311.13253664194741</v>
      </c>
      <c r="AE206">
        <f t="shared" si="136"/>
        <v>4</v>
      </c>
      <c r="AF206">
        <v>48.5</v>
      </c>
      <c r="AK206">
        <v>49.5</v>
      </c>
      <c r="AL206" t="s">
        <v>308</v>
      </c>
      <c r="AM206">
        <v>53</v>
      </c>
      <c r="AN206">
        <f t="shared" si="121"/>
        <v>349.23506143398839</v>
      </c>
      <c r="AO206">
        <f t="shared" si="123"/>
        <v>3</v>
      </c>
      <c r="AP206">
        <v>49.5</v>
      </c>
      <c r="AQ206" t="s">
        <v>318</v>
      </c>
      <c r="AR206">
        <v>41</v>
      </c>
      <c r="AS206">
        <f t="shared" si="133"/>
        <v>174.61573954711864</v>
      </c>
      <c r="AT206">
        <f t="shared" si="135"/>
        <v>3</v>
      </c>
    </row>
    <row r="207" spans="1:46" x14ac:dyDescent="0.2">
      <c r="A207">
        <f t="shared" si="126"/>
        <v>101.5</v>
      </c>
      <c r="E207">
        <f t="shared" si="127"/>
        <v>101.5</v>
      </c>
      <c r="I207">
        <f t="shared" si="128"/>
        <v>101.5</v>
      </c>
      <c r="M207">
        <f t="shared" si="129"/>
        <v>101.5</v>
      </c>
      <c r="Q207">
        <f t="shared" si="130"/>
        <v>101.5</v>
      </c>
      <c r="V207">
        <v>49.5</v>
      </c>
      <c r="W207" t="s">
        <v>371</v>
      </c>
      <c r="X207">
        <v>67</v>
      </c>
      <c r="Y207">
        <f t="shared" si="120"/>
        <v>784.01558732918636</v>
      </c>
      <c r="Z207">
        <f t="shared" si="122"/>
        <v>4</v>
      </c>
      <c r="AA207">
        <v>49.5</v>
      </c>
      <c r="AB207" t="s">
        <v>23</v>
      </c>
      <c r="AC207">
        <v>55</v>
      </c>
      <c r="AD207">
        <f t="shared" si="134"/>
        <v>392.00377257605692</v>
      </c>
      <c r="AE207">
        <f t="shared" si="136"/>
        <v>4</v>
      </c>
      <c r="AF207">
        <v>49.5</v>
      </c>
      <c r="AK207">
        <v>50.5</v>
      </c>
      <c r="AL207" t="s">
        <v>223</v>
      </c>
      <c r="AM207">
        <v>50</v>
      </c>
      <c r="AN207">
        <f t="shared" si="121"/>
        <v>293.66975814369101</v>
      </c>
      <c r="AO207">
        <f t="shared" si="123"/>
        <v>3</v>
      </c>
      <c r="AP207">
        <v>50.5</v>
      </c>
      <c r="AQ207" t="s">
        <v>82</v>
      </c>
      <c r="AR207">
        <v>38</v>
      </c>
      <c r="AS207">
        <f t="shared" si="133"/>
        <v>146.83337288738056</v>
      </c>
      <c r="AT207">
        <f t="shared" si="135"/>
        <v>3</v>
      </c>
    </row>
    <row r="208" spans="1:46" x14ac:dyDescent="0.2">
      <c r="A208">
        <f t="shared" si="126"/>
        <v>102</v>
      </c>
      <c r="E208">
        <f t="shared" si="127"/>
        <v>102</v>
      </c>
      <c r="I208">
        <f t="shared" si="128"/>
        <v>102</v>
      </c>
      <c r="J208" t="s">
        <v>487</v>
      </c>
      <c r="K208">
        <v>45</v>
      </c>
      <c r="L208">
        <f>16.35117682*1.059464^K208</f>
        <v>220.00279814001337</v>
      </c>
      <c r="M208">
        <f t="shared" si="129"/>
        <v>102</v>
      </c>
      <c r="Q208">
        <f t="shared" si="130"/>
        <v>102</v>
      </c>
      <c r="V208">
        <v>50.5</v>
      </c>
      <c r="W208" t="s">
        <v>264</v>
      </c>
      <c r="X208">
        <v>63</v>
      </c>
      <c r="Y208">
        <f t="shared" ref="Y208:Y239" si="137">16.35117682*1.059464^X208</f>
        <v>622.27145634224212</v>
      </c>
      <c r="Z208">
        <f t="shared" si="122"/>
        <v>4</v>
      </c>
      <c r="AA208">
        <v>50.5</v>
      </c>
      <c r="AB208" t="s">
        <v>222</v>
      </c>
      <c r="AC208">
        <v>51</v>
      </c>
      <c r="AD208">
        <f t="shared" si="134"/>
        <v>311.13253664194741</v>
      </c>
      <c r="AE208">
        <f t="shared" si="136"/>
        <v>4</v>
      </c>
      <c r="AF208">
        <v>50.5</v>
      </c>
      <c r="AK208">
        <v>51.5</v>
      </c>
      <c r="AL208" t="s">
        <v>325</v>
      </c>
      <c r="AM208">
        <v>46</v>
      </c>
      <c r="AN208">
        <f t="shared" ref="AN208:AN239" si="138">16.35117682*1.059464^AM208</f>
        <v>233.08504452861115</v>
      </c>
      <c r="AO208">
        <f t="shared" si="123"/>
        <v>4</v>
      </c>
      <c r="AP208">
        <v>51.5</v>
      </c>
      <c r="AQ208" t="s">
        <v>85</v>
      </c>
      <c r="AR208">
        <v>34</v>
      </c>
      <c r="AS208">
        <f t="shared" si="133"/>
        <v>116.54132680899107</v>
      </c>
      <c r="AT208">
        <f t="shared" si="135"/>
        <v>4</v>
      </c>
    </row>
    <row r="209" spans="1:46" x14ac:dyDescent="0.2">
      <c r="A209">
        <f t="shared" si="126"/>
        <v>102.5</v>
      </c>
      <c r="E209">
        <f t="shared" si="127"/>
        <v>102.5</v>
      </c>
      <c r="I209">
        <f t="shared" si="128"/>
        <v>102.5</v>
      </c>
      <c r="M209">
        <f t="shared" si="129"/>
        <v>102.5</v>
      </c>
      <c r="Q209">
        <f t="shared" si="130"/>
        <v>102.5</v>
      </c>
      <c r="V209">
        <v>51.5</v>
      </c>
      <c r="W209" t="s">
        <v>265</v>
      </c>
      <c r="X209">
        <v>60</v>
      </c>
      <c r="Y209">
        <f t="shared" si="137"/>
        <v>523.26449507501752</v>
      </c>
      <c r="Z209">
        <f t="shared" ref="Z209:Z240" si="139">ABS(X209-X208)</f>
        <v>3</v>
      </c>
      <c r="AA209">
        <v>51.5</v>
      </c>
      <c r="AB209" t="s">
        <v>323</v>
      </c>
      <c r="AC209">
        <v>48</v>
      </c>
      <c r="AD209">
        <f t="shared" si="134"/>
        <v>261.62956379894968</v>
      </c>
      <c r="AE209">
        <f t="shared" si="136"/>
        <v>3</v>
      </c>
      <c r="AF209">
        <v>51.5</v>
      </c>
      <c r="AK209">
        <v>53</v>
      </c>
      <c r="AL209" t="s">
        <v>448</v>
      </c>
      <c r="AM209">
        <v>43</v>
      </c>
      <c r="AN209">
        <f t="shared" si="138"/>
        <v>195.99987576438383</v>
      </c>
      <c r="AO209">
        <f t="shared" ref="AO209:AO240" si="140">ABS(AM209-AM208)</f>
        <v>3</v>
      </c>
      <c r="AP209">
        <v>53</v>
      </c>
    </row>
    <row r="210" spans="1:46" x14ac:dyDescent="0.2">
      <c r="A210">
        <f t="shared" si="126"/>
        <v>103</v>
      </c>
      <c r="B210" t="s">
        <v>362</v>
      </c>
      <c r="C210">
        <v>55</v>
      </c>
      <c r="D210">
        <f>16.35117682*1.059464^C210</f>
        <v>392.00377257605692</v>
      </c>
      <c r="E210">
        <f t="shared" si="127"/>
        <v>103</v>
      </c>
      <c r="F210" t="s">
        <v>364</v>
      </c>
      <c r="G210">
        <v>51</v>
      </c>
      <c r="H210">
        <f>16.35117682*1.059464^G210</f>
        <v>311.13253664194741</v>
      </c>
      <c r="I210">
        <f t="shared" si="128"/>
        <v>103</v>
      </c>
      <c r="J210" t="s">
        <v>367</v>
      </c>
      <c r="K210">
        <v>46</v>
      </c>
      <c r="L210">
        <f>16.35117682*1.059464^K210</f>
        <v>233.08504452861115</v>
      </c>
      <c r="M210">
        <f t="shared" si="129"/>
        <v>103</v>
      </c>
      <c r="N210" t="s">
        <v>484</v>
      </c>
      <c r="O210">
        <v>39</v>
      </c>
      <c r="P210">
        <f>16.35117682*1.059464^O210</f>
        <v>155.56467257275574</v>
      </c>
      <c r="Q210">
        <f t="shared" si="130"/>
        <v>103</v>
      </c>
      <c r="R210" t="s">
        <v>315</v>
      </c>
      <c r="S210">
        <v>31</v>
      </c>
      <c r="T210">
        <f>16.35117682*1.059464^S210</f>
        <v>97.998932630681253</v>
      </c>
      <c r="V210">
        <v>53</v>
      </c>
      <c r="W210" t="s">
        <v>266</v>
      </c>
      <c r="X210">
        <v>56</v>
      </c>
      <c r="Y210">
        <f t="shared" si="137"/>
        <v>415.31388490851958</v>
      </c>
      <c r="Z210">
        <f t="shared" si="139"/>
        <v>4</v>
      </c>
      <c r="AA210">
        <v>53</v>
      </c>
      <c r="AB210" t="s">
        <v>449</v>
      </c>
      <c r="AC210">
        <v>44</v>
      </c>
      <c r="AD210">
        <f t="shared" si="134"/>
        <v>207.65481237683719</v>
      </c>
      <c r="AE210">
        <f t="shared" si="136"/>
        <v>4</v>
      </c>
      <c r="AF210">
        <v>53</v>
      </c>
      <c r="AK210">
        <v>55</v>
      </c>
      <c r="AL210" t="s">
        <v>308</v>
      </c>
      <c r="AM210">
        <v>53</v>
      </c>
      <c r="AN210">
        <f t="shared" si="138"/>
        <v>349.23506143398839</v>
      </c>
      <c r="AO210">
        <f t="shared" si="140"/>
        <v>10</v>
      </c>
      <c r="AP210">
        <v>55</v>
      </c>
    </row>
    <row r="211" spans="1:46" x14ac:dyDescent="0.2">
      <c r="A211">
        <f t="shared" si="126"/>
        <v>103.5</v>
      </c>
      <c r="E211">
        <f t="shared" si="127"/>
        <v>103.5</v>
      </c>
      <c r="I211">
        <f t="shared" si="128"/>
        <v>103.5</v>
      </c>
      <c r="M211">
        <f t="shared" si="129"/>
        <v>103.5</v>
      </c>
      <c r="Q211">
        <f t="shared" si="130"/>
        <v>103.5</v>
      </c>
      <c r="V211">
        <v>55</v>
      </c>
      <c r="W211" t="s">
        <v>23</v>
      </c>
      <c r="X211">
        <v>55</v>
      </c>
      <c r="Y211">
        <f t="shared" si="137"/>
        <v>392.00377257605692</v>
      </c>
      <c r="Z211">
        <f t="shared" si="139"/>
        <v>1</v>
      </c>
      <c r="AA211">
        <v>55</v>
      </c>
      <c r="AF211">
        <v>55</v>
      </c>
      <c r="AK211">
        <v>57.5</v>
      </c>
      <c r="AL211" t="s">
        <v>308</v>
      </c>
      <c r="AM211">
        <v>53</v>
      </c>
      <c r="AN211">
        <f t="shared" si="138"/>
        <v>349.23506143398839</v>
      </c>
      <c r="AO211">
        <f t="shared" si="140"/>
        <v>0</v>
      </c>
      <c r="AP211">
        <v>57.5</v>
      </c>
    </row>
    <row r="212" spans="1:46" x14ac:dyDescent="0.2">
      <c r="A212">
        <f t="shared" si="126"/>
        <v>104</v>
      </c>
      <c r="B212" t="s">
        <v>366</v>
      </c>
      <c r="C212">
        <v>48</v>
      </c>
      <c r="D212">
        <f>16.35117682*1.059464^C212</f>
        <v>261.62956379894968</v>
      </c>
      <c r="E212">
        <f t="shared" si="127"/>
        <v>104</v>
      </c>
      <c r="F212" t="s">
        <v>448</v>
      </c>
      <c r="G212">
        <v>43</v>
      </c>
      <c r="H212">
        <f>16.35117682*1.059464^G212</f>
        <v>195.99987576438383</v>
      </c>
      <c r="I212">
        <f t="shared" si="128"/>
        <v>104</v>
      </c>
      <c r="J212" t="s">
        <v>369</v>
      </c>
      <c r="K212">
        <v>39</v>
      </c>
      <c r="L212">
        <f>16.35117682*1.059464^K212</f>
        <v>155.56467257275574</v>
      </c>
      <c r="M212">
        <f t="shared" si="129"/>
        <v>104</v>
      </c>
      <c r="N212" t="s">
        <v>80</v>
      </c>
      <c r="O212">
        <v>36</v>
      </c>
      <c r="P212">
        <f>16.35117682*1.059464^O212</f>
        <v>130.81344004395982</v>
      </c>
      <c r="Q212">
        <f t="shared" si="130"/>
        <v>104</v>
      </c>
      <c r="R212" t="s">
        <v>316</v>
      </c>
      <c r="S212">
        <v>24</v>
      </c>
      <c r="T212">
        <f>16.35117682*1.059464^S212</f>
        <v>65.406049101104529</v>
      </c>
      <c r="V212">
        <v>57.5</v>
      </c>
      <c r="W212" t="s">
        <v>23</v>
      </c>
      <c r="X212">
        <v>55</v>
      </c>
      <c r="Y212">
        <f t="shared" si="137"/>
        <v>392.00377257605692</v>
      </c>
      <c r="Z212">
        <f t="shared" si="139"/>
        <v>0</v>
      </c>
      <c r="AA212">
        <v>57.5</v>
      </c>
      <c r="AF212">
        <v>57.5</v>
      </c>
      <c r="AK212">
        <v>59.5</v>
      </c>
      <c r="AL212" t="s">
        <v>308</v>
      </c>
      <c r="AM212">
        <v>53</v>
      </c>
      <c r="AN212">
        <f t="shared" si="138"/>
        <v>349.23506143398839</v>
      </c>
      <c r="AO212">
        <f t="shared" si="140"/>
        <v>0</v>
      </c>
      <c r="AP212">
        <v>59.5</v>
      </c>
    </row>
    <row r="213" spans="1:46" x14ac:dyDescent="0.2">
      <c r="A213">
        <f t="shared" si="126"/>
        <v>104.5</v>
      </c>
      <c r="E213">
        <f t="shared" si="127"/>
        <v>104.5</v>
      </c>
      <c r="I213">
        <f t="shared" si="128"/>
        <v>104.5</v>
      </c>
      <c r="M213">
        <f t="shared" si="129"/>
        <v>104.5</v>
      </c>
      <c r="Q213">
        <f t="shared" si="130"/>
        <v>104.5</v>
      </c>
      <c r="V213">
        <v>59.5</v>
      </c>
      <c r="W213" t="s">
        <v>23</v>
      </c>
      <c r="X213">
        <v>55</v>
      </c>
      <c r="Y213">
        <f t="shared" si="137"/>
        <v>392.00377257605692</v>
      </c>
      <c r="Z213">
        <f t="shared" si="139"/>
        <v>0</v>
      </c>
      <c r="AA213">
        <v>59.5</v>
      </c>
      <c r="AF213">
        <v>59.5</v>
      </c>
      <c r="AK213">
        <v>60.5</v>
      </c>
      <c r="AL213" t="s">
        <v>308</v>
      </c>
      <c r="AM213">
        <v>53</v>
      </c>
      <c r="AN213">
        <f t="shared" si="138"/>
        <v>349.23506143398839</v>
      </c>
      <c r="AO213">
        <f t="shared" si="140"/>
        <v>0</v>
      </c>
      <c r="AP213">
        <v>60.5</v>
      </c>
    </row>
    <row r="214" spans="1:46" x14ac:dyDescent="0.2">
      <c r="A214">
        <f t="shared" si="126"/>
        <v>105</v>
      </c>
      <c r="B214" t="s">
        <v>366</v>
      </c>
      <c r="C214">
        <v>48</v>
      </c>
      <c r="D214">
        <f t="shared" ref="D214:D220" si="141">16.35117682*1.059464^C214</f>
        <v>261.62956379894968</v>
      </c>
      <c r="E214">
        <f t="shared" si="127"/>
        <v>105</v>
      </c>
      <c r="I214">
        <f t="shared" si="128"/>
        <v>105</v>
      </c>
      <c r="M214">
        <f t="shared" si="129"/>
        <v>105</v>
      </c>
      <c r="N214" t="s">
        <v>80</v>
      </c>
      <c r="O214">
        <v>36</v>
      </c>
      <c r="P214">
        <f t="shared" ref="P214:P220" si="142">16.35117682*1.059464^O214</f>
        <v>130.81344004395982</v>
      </c>
      <c r="Q214">
        <f t="shared" si="130"/>
        <v>105</v>
      </c>
      <c r="V214">
        <v>60.5</v>
      </c>
      <c r="W214" t="s">
        <v>23</v>
      </c>
      <c r="X214">
        <v>55</v>
      </c>
      <c r="Y214">
        <f t="shared" si="137"/>
        <v>392.00377257605692</v>
      </c>
      <c r="Z214">
        <f t="shared" si="139"/>
        <v>0</v>
      </c>
      <c r="AA214">
        <v>60.5</v>
      </c>
      <c r="AF214">
        <v>60.5</v>
      </c>
      <c r="AK214">
        <v>61.5</v>
      </c>
      <c r="AL214" t="s">
        <v>308</v>
      </c>
      <c r="AM214">
        <v>53</v>
      </c>
      <c r="AN214">
        <f t="shared" si="138"/>
        <v>349.23506143398839</v>
      </c>
      <c r="AO214">
        <f t="shared" si="140"/>
        <v>0</v>
      </c>
      <c r="AP214">
        <v>61.5</v>
      </c>
    </row>
    <row r="215" spans="1:46" x14ac:dyDescent="0.2">
      <c r="A215">
        <f t="shared" si="126"/>
        <v>105.5</v>
      </c>
      <c r="B215" t="s">
        <v>367</v>
      </c>
      <c r="C215">
        <v>46</v>
      </c>
      <c r="D215">
        <f t="shared" si="141"/>
        <v>233.08504452861115</v>
      </c>
      <c r="E215">
        <f t="shared" si="127"/>
        <v>105.5</v>
      </c>
      <c r="I215">
        <f t="shared" si="128"/>
        <v>105.5</v>
      </c>
      <c r="M215">
        <f t="shared" si="129"/>
        <v>105.5</v>
      </c>
      <c r="N215" t="s">
        <v>81</v>
      </c>
      <c r="O215">
        <v>34</v>
      </c>
      <c r="P215">
        <f t="shared" si="142"/>
        <v>116.54132680899107</v>
      </c>
      <c r="Q215">
        <f t="shared" si="130"/>
        <v>105.5</v>
      </c>
      <c r="V215">
        <v>61.5</v>
      </c>
      <c r="W215" t="s">
        <v>268</v>
      </c>
      <c r="X215">
        <v>55</v>
      </c>
      <c r="Y215">
        <f t="shared" si="137"/>
        <v>392.00377257605692</v>
      </c>
      <c r="Z215">
        <f t="shared" si="139"/>
        <v>0</v>
      </c>
      <c r="AA215">
        <v>61.5</v>
      </c>
      <c r="AF215">
        <v>61.5</v>
      </c>
      <c r="AK215">
        <v>63</v>
      </c>
      <c r="AL215" t="s">
        <v>209</v>
      </c>
      <c r="AM215">
        <v>53</v>
      </c>
      <c r="AN215">
        <f t="shared" si="138"/>
        <v>349.23506143398839</v>
      </c>
      <c r="AO215">
        <f t="shared" si="140"/>
        <v>0</v>
      </c>
      <c r="AP215">
        <v>63</v>
      </c>
    </row>
    <row r="216" spans="1:46" x14ac:dyDescent="0.2">
      <c r="A216">
        <f t="shared" si="126"/>
        <v>106</v>
      </c>
      <c r="B216" t="s">
        <v>366</v>
      </c>
      <c r="C216">
        <v>48</v>
      </c>
      <c r="D216">
        <f t="shared" si="141"/>
        <v>261.62956379894968</v>
      </c>
      <c r="E216">
        <f t="shared" si="127"/>
        <v>106</v>
      </c>
      <c r="I216">
        <f t="shared" si="128"/>
        <v>106</v>
      </c>
      <c r="M216">
        <f t="shared" si="129"/>
        <v>106</v>
      </c>
      <c r="N216" t="s">
        <v>80</v>
      </c>
      <c r="O216">
        <v>36</v>
      </c>
      <c r="P216">
        <f t="shared" si="142"/>
        <v>130.81344004395982</v>
      </c>
      <c r="Q216">
        <f t="shared" si="130"/>
        <v>106</v>
      </c>
      <c r="V216">
        <v>63</v>
      </c>
      <c r="W216" t="s">
        <v>23</v>
      </c>
      <c r="X216">
        <v>55</v>
      </c>
      <c r="Y216">
        <f t="shared" si="137"/>
        <v>392.00377257605692</v>
      </c>
      <c r="Z216">
        <f t="shared" si="139"/>
        <v>0</v>
      </c>
      <c r="AA216">
        <v>63</v>
      </c>
      <c r="AF216">
        <v>63</v>
      </c>
      <c r="AK216">
        <v>64.5</v>
      </c>
      <c r="AL216" t="s">
        <v>223</v>
      </c>
      <c r="AM216">
        <v>50</v>
      </c>
      <c r="AN216">
        <f t="shared" si="138"/>
        <v>293.66975814369101</v>
      </c>
      <c r="AO216">
        <f t="shared" si="140"/>
        <v>3</v>
      </c>
      <c r="AP216">
        <v>64.5</v>
      </c>
    </row>
    <row r="217" spans="1:46" x14ac:dyDescent="0.2">
      <c r="A217">
        <f t="shared" si="126"/>
        <v>106.5</v>
      </c>
      <c r="B217" t="s">
        <v>367</v>
      </c>
      <c r="C217">
        <v>46</v>
      </c>
      <c r="D217">
        <f t="shared" si="141"/>
        <v>233.08504452861115</v>
      </c>
      <c r="E217">
        <f t="shared" si="127"/>
        <v>106.5</v>
      </c>
      <c r="I217">
        <f t="shared" si="128"/>
        <v>106.5</v>
      </c>
      <c r="M217">
        <f t="shared" si="129"/>
        <v>106.5</v>
      </c>
      <c r="N217" t="s">
        <v>85</v>
      </c>
      <c r="O217">
        <v>34</v>
      </c>
      <c r="P217">
        <f t="shared" si="142"/>
        <v>116.54132680899107</v>
      </c>
      <c r="Q217">
        <f t="shared" si="130"/>
        <v>106.5</v>
      </c>
      <c r="V217">
        <v>64.5</v>
      </c>
      <c r="W217" t="s">
        <v>222</v>
      </c>
      <c r="X217">
        <v>51</v>
      </c>
      <c r="Y217">
        <f t="shared" si="137"/>
        <v>311.13253664194741</v>
      </c>
      <c r="Z217">
        <f t="shared" si="139"/>
        <v>4</v>
      </c>
      <c r="AA217">
        <v>64.5</v>
      </c>
      <c r="AF217">
        <v>64.5</v>
      </c>
      <c r="AK217">
        <v>65.5</v>
      </c>
      <c r="AL217" t="s">
        <v>308</v>
      </c>
      <c r="AM217">
        <v>53</v>
      </c>
      <c r="AN217">
        <f t="shared" si="138"/>
        <v>349.23506143398839</v>
      </c>
      <c r="AO217">
        <f t="shared" si="140"/>
        <v>3</v>
      </c>
      <c r="AP217">
        <v>65.5</v>
      </c>
    </row>
    <row r="218" spans="1:46" x14ac:dyDescent="0.2">
      <c r="A218">
        <f t="shared" si="126"/>
        <v>107</v>
      </c>
      <c r="B218" t="s">
        <v>366</v>
      </c>
      <c r="C218">
        <v>48</v>
      </c>
      <c r="D218">
        <f t="shared" si="141"/>
        <v>261.62956379894968</v>
      </c>
      <c r="E218">
        <f t="shared" si="127"/>
        <v>107</v>
      </c>
      <c r="I218">
        <f t="shared" si="128"/>
        <v>107</v>
      </c>
      <c r="M218">
        <f t="shared" si="129"/>
        <v>107</v>
      </c>
      <c r="N218" t="s">
        <v>253</v>
      </c>
      <c r="O218">
        <v>36</v>
      </c>
      <c r="P218">
        <f t="shared" si="142"/>
        <v>130.81344004395982</v>
      </c>
      <c r="Q218">
        <f t="shared" si="130"/>
        <v>107</v>
      </c>
      <c r="V218">
        <v>65.5</v>
      </c>
      <c r="W218" t="s">
        <v>23</v>
      </c>
      <c r="X218">
        <v>55</v>
      </c>
      <c r="Y218">
        <f t="shared" si="137"/>
        <v>392.00377257605692</v>
      </c>
      <c r="Z218">
        <f t="shared" si="139"/>
        <v>4</v>
      </c>
      <c r="AA218">
        <v>65.5</v>
      </c>
      <c r="AF218">
        <v>65.5</v>
      </c>
      <c r="AK218">
        <v>66.5</v>
      </c>
      <c r="AL218" t="s">
        <v>223</v>
      </c>
      <c r="AM218">
        <v>50</v>
      </c>
      <c r="AN218">
        <f t="shared" si="138"/>
        <v>293.66975814369101</v>
      </c>
      <c r="AO218">
        <f t="shared" si="140"/>
        <v>3</v>
      </c>
      <c r="AP218">
        <v>66.5</v>
      </c>
    </row>
    <row r="219" spans="1:46" x14ac:dyDescent="0.2">
      <c r="A219">
        <f t="shared" si="126"/>
        <v>107.5</v>
      </c>
      <c r="B219" t="s">
        <v>254</v>
      </c>
      <c r="C219">
        <v>51</v>
      </c>
      <c r="D219">
        <f t="shared" si="141"/>
        <v>311.13253664194741</v>
      </c>
      <c r="E219">
        <f t="shared" si="127"/>
        <v>107.5</v>
      </c>
      <c r="I219">
        <f t="shared" si="128"/>
        <v>107.5</v>
      </c>
      <c r="M219">
        <f t="shared" si="129"/>
        <v>107.5</v>
      </c>
      <c r="N219" t="s">
        <v>485</v>
      </c>
      <c r="O219">
        <v>39</v>
      </c>
      <c r="P219">
        <f t="shared" si="142"/>
        <v>155.56467257275574</v>
      </c>
      <c r="Q219">
        <f t="shared" si="130"/>
        <v>107.5</v>
      </c>
      <c r="V219">
        <v>66.5</v>
      </c>
      <c r="W219" t="s">
        <v>210</v>
      </c>
      <c r="X219">
        <v>51</v>
      </c>
      <c r="Y219">
        <f t="shared" si="137"/>
        <v>311.13253664194741</v>
      </c>
      <c r="Z219">
        <f t="shared" si="139"/>
        <v>4</v>
      </c>
      <c r="AA219">
        <v>66.5</v>
      </c>
      <c r="AF219">
        <v>66.5</v>
      </c>
      <c r="AK219">
        <v>67.5</v>
      </c>
      <c r="AL219" t="s">
        <v>212</v>
      </c>
      <c r="AM219">
        <v>46</v>
      </c>
      <c r="AN219">
        <f t="shared" si="138"/>
        <v>233.08504452861115</v>
      </c>
      <c r="AO219">
        <f t="shared" si="140"/>
        <v>4</v>
      </c>
      <c r="AP219">
        <v>67.5</v>
      </c>
    </row>
    <row r="220" spans="1:46" x14ac:dyDescent="0.2">
      <c r="A220">
        <f t="shared" si="126"/>
        <v>108</v>
      </c>
      <c r="B220" t="s">
        <v>212</v>
      </c>
      <c r="C220">
        <v>58</v>
      </c>
      <c r="D220">
        <f t="shared" si="141"/>
        <v>466.17487092753117</v>
      </c>
      <c r="E220">
        <f t="shared" si="127"/>
        <v>108</v>
      </c>
      <c r="I220">
        <f t="shared" si="128"/>
        <v>108</v>
      </c>
      <c r="M220">
        <f t="shared" si="129"/>
        <v>108</v>
      </c>
      <c r="N220" t="s">
        <v>367</v>
      </c>
      <c r="O220">
        <v>46</v>
      </c>
      <c r="P220">
        <f t="shared" si="142"/>
        <v>233.08504452861115</v>
      </c>
      <c r="Q220">
        <f t="shared" si="130"/>
        <v>108</v>
      </c>
      <c r="V220">
        <v>67.5</v>
      </c>
      <c r="W220" t="s">
        <v>323</v>
      </c>
      <c r="X220">
        <v>48</v>
      </c>
      <c r="Y220">
        <f t="shared" si="137"/>
        <v>261.62956379894968</v>
      </c>
      <c r="Z220">
        <f t="shared" si="139"/>
        <v>3</v>
      </c>
      <c r="AA220">
        <v>67.5</v>
      </c>
      <c r="AF220">
        <v>67.5</v>
      </c>
      <c r="AK220">
        <v>69</v>
      </c>
      <c r="AL220" t="s">
        <v>444</v>
      </c>
      <c r="AM220">
        <v>43</v>
      </c>
      <c r="AN220">
        <f t="shared" si="138"/>
        <v>195.99987576438383</v>
      </c>
      <c r="AO220">
        <f t="shared" si="140"/>
        <v>3</v>
      </c>
      <c r="AP220">
        <v>69</v>
      </c>
    </row>
    <row r="221" spans="1:46" x14ac:dyDescent="0.2">
      <c r="A221">
        <f t="shared" si="126"/>
        <v>108.5</v>
      </c>
      <c r="E221">
        <f t="shared" si="127"/>
        <v>108.5</v>
      </c>
      <c r="I221">
        <f t="shared" si="128"/>
        <v>108.5</v>
      </c>
      <c r="M221">
        <f t="shared" si="129"/>
        <v>108.5</v>
      </c>
      <c r="Q221">
        <f t="shared" si="130"/>
        <v>108.5</v>
      </c>
      <c r="V221">
        <v>69</v>
      </c>
      <c r="W221" t="s">
        <v>252</v>
      </c>
      <c r="X221">
        <v>44</v>
      </c>
      <c r="Y221">
        <f t="shared" si="137"/>
        <v>207.65481237683719</v>
      </c>
      <c r="Z221">
        <f t="shared" si="139"/>
        <v>4</v>
      </c>
      <c r="AA221">
        <v>69</v>
      </c>
      <c r="AF221">
        <v>69</v>
      </c>
      <c r="AK221">
        <v>72</v>
      </c>
      <c r="AL221" t="s">
        <v>80</v>
      </c>
      <c r="AM221">
        <v>36</v>
      </c>
      <c r="AN221">
        <f t="shared" si="138"/>
        <v>130.81344004395982</v>
      </c>
      <c r="AO221">
        <f t="shared" si="140"/>
        <v>7</v>
      </c>
      <c r="AP221">
        <v>72</v>
      </c>
    </row>
    <row r="222" spans="1:46" x14ac:dyDescent="0.2">
      <c r="A222">
        <f t="shared" si="126"/>
        <v>109</v>
      </c>
      <c r="E222">
        <f t="shared" si="127"/>
        <v>109</v>
      </c>
      <c r="I222">
        <f t="shared" si="128"/>
        <v>109</v>
      </c>
      <c r="M222">
        <f t="shared" si="129"/>
        <v>109</v>
      </c>
      <c r="Q222">
        <f t="shared" si="130"/>
        <v>109</v>
      </c>
      <c r="V222">
        <v>71</v>
      </c>
      <c r="W222" t="s">
        <v>211</v>
      </c>
      <c r="X222">
        <v>50</v>
      </c>
      <c r="Y222">
        <f t="shared" si="137"/>
        <v>293.66975814369101</v>
      </c>
      <c r="Z222">
        <f t="shared" si="139"/>
        <v>6</v>
      </c>
      <c r="AA222">
        <v>71</v>
      </c>
      <c r="AF222">
        <v>71</v>
      </c>
      <c r="AK222">
        <v>73.5</v>
      </c>
      <c r="AL222" t="s">
        <v>81</v>
      </c>
      <c r="AM222">
        <v>34</v>
      </c>
      <c r="AN222">
        <f t="shared" si="138"/>
        <v>116.54132680899107</v>
      </c>
      <c r="AO222">
        <f t="shared" si="140"/>
        <v>2</v>
      </c>
      <c r="AP222">
        <v>73.5</v>
      </c>
    </row>
    <row r="223" spans="1:46" x14ac:dyDescent="0.2">
      <c r="A223">
        <f t="shared" si="126"/>
        <v>109.5</v>
      </c>
      <c r="E223">
        <f t="shared" si="127"/>
        <v>109.5</v>
      </c>
      <c r="I223">
        <f t="shared" si="128"/>
        <v>109.5</v>
      </c>
      <c r="M223">
        <f t="shared" si="129"/>
        <v>109.5</v>
      </c>
      <c r="Q223">
        <f t="shared" si="130"/>
        <v>109.5</v>
      </c>
      <c r="V223">
        <v>73</v>
      </c>
      <c r="W223" t="s">
        <v>323</v>
      </c>
      <c r="X223">
        <v>48</v>
      </c>
      <c r="Y223">
        <f t="shared" si="137"/>
        <v>261.62956379894968</v>
      </c>
      <c r="Z223">
        <f t="shared" si="139"/>
        <v>2</v>
      </c>
      <c r="AA223">
        <v>73</v>
      </c>
      <c r="AF223">
        <v>73</v>
      </c>
      <c r="AK223">
        <v>75</v>
      </c>
      <c r="AL223" t="s">
        <v>485</v>
      </c>
      <c r="AM223">
        <v>39</v>
      </c>
      <c r="AN223">
        <f t="shared" si="138"/>
        <v>155.56467257275574</v>
      </c>
      <c r="AO223">
        <f t="shared" si="140"/>
        <v>5</v>
      </c>
      <c r="AP223">
        <v>75</v>
      </c>
      <c r="AQ223" t="s">
        <v>312</v>
      </c>
      <c r="AR223">
        <v>29</v>
      </c>
      <c r="AS223">
        <f>16.35117682*1.059464^AR223</f>
        <v>87.306974197808145</v>
      </c>
      <c r="AT223">
        <f>ABS(AR223-AM222)</f>
        <v>5</v>
      </c>
    </row>
    <row r="224" spans="1:46" x14ac:dyDescent="0.2">
      <c r="A224">
        <f t="shared" si="126"/>
        <v>110</v>
      </c>
      <c r="E224">
        <f t="shared" si="127"/>
        <v>110</v>
      </c>
      <c r="I224">
        <f t="shared" si="128"/>
        <v>110</v>
      </c>
      <c r="M224">
        <f t="shared" si="129"/>
        <v>110</v>
      </c>
      <c r="Q224">
        <f t="shared" si="130"/>
        <v>110</v>
      </c>
      <c r="V224">
        <v>74</v>
      </c>
      <c r="W224" t="s">
        <v>323</v>
      </c>
      <c r="X224">
        <v>48</v>
      </c>
      <c r="Y224">
        <f t="shared" si="137"/>
        <v>261.62956379894968</v>
      </c>
      <c r="Z224">
        <f t="shared" si="139"/>
        <v>0</v>
      </c>
      <c r="AA224">
        <v>74</v>
      </c>
      <c r="AF224">
        <v>74</v>
      </c>
      <c r="AK224">
        <v>77</v>
      </c>
      <c r="AL224" t="s">
        <v>83</v>
      </c>
      <c r="AM224">
        <v>37</v>
      </c>
      <c r="AN224">
        <f t="shared" si="138"/>
        <v>138.5921304427338</v>
      </c>
      <c r="AO224">
        <f t="shared" si="140"/>
        <v>2</v>
      </c>
      <c r="AP224">
        <v>77</v>
      </c>
      <c r="AQ224" t="s">
        <v>313</v>
      </c>
      <c r="AR224">
        <v>27</v>
      </c>
      <c r="AS224">
        <f>16.35117682*1.059464^AR224</f>
        <v>77.781538420453217</v>
      </c>
      <c r="AT224">
        <f>ABS(AR224-AR223)</f>
        <v>2</v>
      </c>
    </row>
    <row r="225" spans="1:46" x14ac:dyDescent="0.2">
      <c r="A225">
        <f t="shared" si="126"/>
        <v>110.5</v>
      </c>
      <c r="E225">
        <f t="shared" si="127"/>
        <v>110.5</v>
      </c>
      <c r="I225">
        <f t="shared" si="128"/>
        <v>110.5</v>
      </c>
      <c r="M225">
        <f t="shared" si="129"/>
        <v>110.5</v>
      </c>
      <c r="Q225">
        <f t="shared" si="130"/>
        <v>110.5</v>
      </c>
      <c r="V225">
        <v>76</v>
      </c>
      <c r="W225" t="s">
        <v>23</v>
      </c>
      <c r="X225">
        <v>55</v>
      </c>
      <c r="Y225">
        <f t="shared" si="137"/>
        <v>392.00377257605692</v>
      </c>
      <c r="Z225">
        <f t="shared" si="139"/>
        <v>7</v>
      </c>
      <c r="AA225">
        <v>76</v>
      </c>
      <c r="AB225" t="s">
        <v>223</v>
      </c>
      <c r="AC225">
        <v>50</v>
      </c>
      <c r="AD225">
        <f>16.35117682*1.059464^AC225</f>
        <v>293.66975814369101</v>
      </c>
      <c r="AE225">
        <f>ABS(AC225-X224)</f>
        <v>2</v>
      </c>
      <c r="AF225">
        <v>76</v>
      </c>
      <c r="AG225" t="s">
        <v>483</v>
      </c>
      <c r="AH225">
        <v>44</v>
      </c>
      <c r="AI225">
        <f>16.35117682*1.059464^AH225</f>
        <v>207.65481237683719</v>
      </c>
      <c r="AJ225">
        <f>ABS(AH225-X224)</f>
        <v>4</v>
      </c>
      <c r="AK225">
        <v>79</v>
      </c>
      <c r="AL225" t="s">
        <v>84</v>
      </c>
      <c r="AM225">
        <v>35</v>
      </c>
      <c r="AN225">
        <f t="shared" si="138"/>
        <v>123.4713402663609</v>
      </c>
      <c r="AO225">
        <f t="shared" si="140"/>
        <v>2</v>
      </c>
      <c r="AP225">
        <v>79</v>
      </c>
      <c r="AQ225" t="s">
        <v>315</v>
      </c>
      <c r="AR225">
        <v>31</v>
      </c>
      <c r="AS225">
        <f>16.35117682*1.059464^AR225</f>
        <v>97.998932630681253</v>
      </c>
      <c r="AT225">
        <f>ABS(AR225-AR224)</f>
        <v>4</v>
      </c>
    </row>
    <row r="226" spans="1:46" x14ac:dyDescent="0.2">
      <c r="A226">
        <f t="shared" si="126"/>
        <v>111</v>
      </c>
      <c r="B226" t="s">
        <v>362</v>
      </c>
      <c r="C226">
        <v>55</v>
      </c>
      <c r="D226">
        <f t="shared" ref="D226:D234" si="143">16.35117682*1.059464^C226</f>
        <v>392.00377257605692</v>
      </c>
      <c r="E226">
        <f t="shared" si="127"/>
        <v>111</v>
      </c>
      <c r="I226">
        <f t="shared" si="128"/>
        <v>111</v>
      </c>
      <c r="M226">
        <f t="shared" si="129"/>
        <v>111</v>
      </c>
      <c r="N226" t="s">
        <v>444</v>
      </c>
      <c r="O226">
        <v>43</v>
      </c>
      <c r="P226">
        <f t="shared" ref="P226:P234" si="144">16.35117682*1.059464^O226</f>
        <v>195.99987576438383</v>
      </c>
      <c r="Q226">
        <f t="shared" si="130"/>
        <v>111</v>
      </c>
      <c r="V226">
        <v>78</v>
      </c>
      <c r="W226" t="s">
        <v>222</v>
      </c>
      <c r="X226">
        <v>51</v>
      </c>
      <c r="Y226">
        <f t="shared" si="137"/>
        <v>311.13253664194741</v>
      </c>
      <c r="Z226">
        <f t="shared" si="139"/>
        <v>4</v>
      </c>
      <c r="AA226">
        <v>78</v>
      </c>
      <c r="AB226" t="s">
        <v>323</v>
      </c>
      <c r="AC226">
        <v>48</v>
      </c>
      <c r="AD226">
        <f>16.35117682*1.059464^AC226</f>
        <v>261.62956379894968</v>
      </c>
      <c r="AE226">
        <f>ABS(AC226-AC225)</f>
        <v>2</v>
      </c>
      <c r="AF226">
        <v>78</v>
      </c>
      <c r="AG226" t="s">
        <v>449</v>
      </c>
      <c r="AH226">
        <v>44</v>
      </c>
      <c r="AI226">
        <f>16.35117682*1.059464^AH226</f>
        <v>207.65481237683719</v>
      </c>
      <c r="AJ226">
        <f>ABS(AH226-AH225)</f>
        <v>0</v>
      </c>
      <c r="AK226">
        <v>81</v>
      </c>
      <c r="AL226" t="s">
        <v>80</v>
      </c>
      <c r="AM226">
        <v>36</v>
      </c>
      <c r="AN226">
        <f t="shared" si="138"/>
        <v>130.81344004395982</v>
      </c>
      <c r="AO226">
        <f t="shared" si="140"/>
        <v>1</v>
      </c>
      <c r="AP226">
        <v>81</v>
      </c>
    </row>
    <row r="227" spans="1:46" x14ac:dyDescent="0.2">
      <c r="A227">
        <f t="shared" si="126"/>
        <v>111.5</v>
      </c>
      <c r="B227" t="s">
        <v>212</v>
      </c>
      <c r="C227">
        <v>46</v>
      </c>
      <c r="D227">
        <f t="shared" si="143"/>
        <v>233.08504452861115</v>
      </c>
      <c r="E227">
        <f t="shared" si="127"/>
        <v>111.5</v>
      </c>
      <c r="I227">
        <f t="shared" si="128"/>
        <v>111.5</v>
      </c>
      <c r="M227">
        <f t="shared" si="129"/>
        <v>111.5</v>
      </c>
      <c r="N227" t="s">
        <v>368</v>
      </c>
      <c r="O227">
        <v>34</v>
      </c>
      <c r="P227">
        <f t="shared" si="144"/>
        <v>116.54132680899107</v>
      </c>
      <c r="Q227">
        <f t="shared" si="130"/>
        <v>111.5</v>
      </c>
      <c r="V227">
        <v>80</v>
      </c>
      <c r="W227" t="s">
        <v>323</v>
      </c>
      <c r="X227">
        <v>48</v>
      </c>
      <c r="Y227">
        <f t="shared" si="137"/>
        <v>261.62956379894968</v>
      </c>
      <c r="Z227">
        <f t="shared" si="139"/>
        <v>3</v>
      </c>
      <c r="AA227">
        <v>80</v>
      </c>
      <c r="AB227" t="s">
        <v>444</v>
      </c>
      <c r="AC227">
        <v>43</v>
      </c>
      <c r="AD227">
        <f>16.35117682*1.059464^AC227</f>
        <v>195.99987576438383</v>
      </c>
      <c r="AE227">
        <f>ABS(AC227-AC226)</f>
        <v>5</v>
      </c>
      <c r="AF227">
        <v>80</v>
      </c>
      <c r="AG227" t="s">
        <v>484</v>
      </c>
      <c r="AH227">
        <v>39</v>
      </c>
      <c r="AI227">
        <f>16.35117682*1.059464^AH227</f>
        <v>155.56467257275574</v>
      </c>
      <c r="AJ227">
        <f>ABS(AH227-AH226)</f>
        <v>5</v>
      </c>
      <c r="AK227">
        <v>82</v>
      </c>
      <c r="AL227" t="s">
        <v>80</v>
      </c>
      <c r="AM227">
        <v>36</v>
      </c>
      <c r="AN227">
        <f t="shared" si="138"/>
        <v>130.81344004395982</v>
      </c>
      <c r="AO227">
        <f t="shared" si="140"/>
        <v>0</v>
      </c>
      <c r="AP227">
        <v>82</v>
      </c>
    </row>
    <row r="228" spans="1:46" x14ac:dyDescent="0.2">
      <c r="A228">
        <f t="shared" si="126"/>
        <v>112</v>
      </c>
      <c r="B228" t="s">
        <v>361</v>
      </c>
      <c r="C228">
        <v>48</v>
      </c>
      <c r="D228">
        <f t="shared" si="143"/>
        <v>261.62956379894968</v>
      </c>
      <c r="E228">
        <f t="shared" si="127"/>
        <v>112</v>
      </c>
      <c r="I228">
        <f t="shared" si="128"/>
        <v>112</v>
      </c>
      <c r="M228">
        <f t="shared" si="129"/>
        <v>112</v>
      </c>
      <c r="N228" t="s">
        <v>80</v>
      </c>
      <c r="O228">
        <v>36</v>
      </c>
      <c r="P228">
        <f t="shared" si="144"/>
        <v>130.81344004395982</v>
      </c>
      <c r="Q228">
        <f t="shared" si="130"/>
        <v>112</v>
      </c>
      <c r="V228">
        <v>81.5</v>
      </c>
      <c r="W228" t="s">
        <v>325</v>
      </c>
      <c r="X228">
        <v>46</v>
      </c>
      <c r="Y228">
        <f t="shared" si="137"/>
        <v>233.08504452861115</v>
      </c>
      <c r="Z228">
        <f t="shared" si="139"/>
        <v>2</v>
      </c>
      <c r="AA228">
        <v>81.5</v>
      </c>
      <c r="AF228">
        <v>81.5</v>
      </c>
      <c r="AK228">
        <v>84</v>
      </c>
      <c r="AL228" t="s">
        <v>82</v>
      </c>
      <c r="AM228">
        <v>38</v>
      </c>
      <c r="AN228">
        <f t="shared" si="138"/>
        <v>146.83337288738056</v>
      </c>
      <c r="AO228">
        <f t="shared" si="140"/>
        <v>2</v>
      </c>
      <c r="AP228">
        <v>84</v>
      </c>
      <c r="AQ228" t="s">
        <v>85</v>
      </c>
      <c r="AR228">
        <v>34</v>
      </c>
      <c r="AS228">
        <f>16.35117682*1.059464^AR228</f>
        <v>116.54132680899107</v>
      </c>
      <c r="AT228">
        <f>ABS(AR228-AM227)</f>
        <v>2</v>
      </c>
    </row>
    <row r="229" spans="1:46" x14ac:dyDescent="0.2">
      <c r="A229">
        <f t="shared" si="126"/>
        <v>112.5</v>
      </c>
      <c r="B229" t="s">
        <v>213</v>
      </c>
      <c r="C229">
        <v>51</v>
      </c>
      <c r="D229">
        <f t="shared" si="143"/>
        <v>311.13253664194741</v>
      </c>
      <c r="E229">
        <f t="shared" si="127"/>
        <v>112.5</v>
      </c>
      <c r="I229">
        <f t="shared" si="128"/>
        <v>112.5</v>
      </c>
      <c r="M229">
        <f t="shared" si="129"/>
        <v>112.5</v>
      </c>
      <c r="N229" t="s">
        <v>369</v>
      </c>
      <c r="O229">
        <v>39</v>
      </c>
      <c r="P229">
        <f t="shared" si="144"/>
        <v>155.56467257275574</v>
      </c>
      <c r="Q229">
        <f t="shared" si="130"/>
        <v>112.5</v>
      </c>
      <c r="V229">
        <v>83</v>
      </c>
      <c r="W229" t="s">
        <v>23</v>
      </c>
      <c r="X229">
        <v>55</v>
      </c>
      <c r="Y229">
        <f t="shared" si="137"/>
        <v>392.00377257605692</v>
      </c>
      <c r="Z229">
        <f t="shared" si="139"/>
        <v>9</v>
      </c>
      <c r="AA229">
        <v>83</v>
      </c>
      <c r="AB229" t="s">
        <v>213</v>
      </c>
      <c r="AC229">
        <v>51</v>
      </c>
      <c r="AD229">
        <f>16.35117682*1.059464^AC229</f>
        <v>311.13253664194741</v>
      </c>
      <c r="AE229">
        <f>ABS(AC229-X228)</f>
        <v>5</v>
      </c>
      <c r="AF229">
        <v>83</v>
      </c>
      <c r="AG229" t="s">
        <v>449</v>
      </c>
      <c r="AH229">
        <v>44</v>
      </c>
      <c r="AI229">
        <f>16.35117682*1.059464^AH229</f>
        <v>207.65481237683719</v>
      </c>
      <c r="AJ229">
        <f>ABS(AH229-X228)</f>
        <v>2</v>
      </c>
      <c r="AK229">
        <v>86</v>
      </c>
      <c r="AL229" t="s">
        <v>80</v>
      </c>
      <c r="AM229">
        <v>36</v>
      </c>
      <c r="AN229">
        <f t="shared" si="138"/>
        <v>130.81344004395982</v>
      </c>
      <c r="AO229">
        <f t="shared" si="140"/>
        <v>2</v>
      </c>
      <c r="AP229">
        <v>86</v>
      </c>
      <c r="AQ229" t="s">
        <v>314</v>
      </c>
      <c r="AR229">
        <v>32</v>
      </c>
      <c r="AS229">
        <f>16.35117682*1.059464^AR229</f>
        <v>103.82634116063208</v>
      </c>
      <c r="AT229">
        <f>ABS(AR229-AR228)</f>
        <v>2</v>
      </c>
    </row>
    <row r="230" spans="1:46" x14ac:dyDescent="0.2">
      <c r="A230">
        <f t="shared" si="126"/>
        <v>113</v>
      </c>
      <c r="B230" t="s">
        <v>178</v>
      </c>
      <c r="C230">
        <v>46</v>
      </c>
      <c r="D230">
        <f t="shared" si="143"/>
        <v>233.08504452861115</v>
      </c>
      <c r="E230">
        <f t="shared" si="127"/>
        <v>113</v>
      </c>
      <c r="I230">
        <f t="shared" si="128"/>
        <v>113</v>
      </c>
      <c r="M230">
        <f t="shared" si="129"/>
        <v>113</v>
      </c>
      <c r="N230" t="s">
        <v>367</v>
      </c>
      <c r="O230">
        <v>46</v>
      </c>
      <c r="P230">
        <f t="shared" si="144"/>
        <v>233.08504452861115</v>
      </c>
      <c r="Q230">
        <f t="shared" si="130"/>
        <v>113</v>
      </c>
      <c r="V230">
        <v>85</v>
      </c>
      <c r="W230" t="s">
        <v>308</v>
      </c>
      <c r="X230">
        <v>53</v>
      </c>
      <c r="Y230">
        <f t="shared" si="137"/>
        <v>349.23506143398839</v>
      </c>
      <c r="Z230">
        <f t="shared" si="139"/>
        <v>2</v>
      </c>
      <c r="AA230">
        <v>85</v>
      </c>
      <c r="AB230" t="s">
        <v>224</v>
      </c>
      <c r="AC230">
        <v>49</v>
      </c>
      <c r="AD230">
        <f>16.35117682*1.059464^AC230</f>
        <v>277.18710418069043</v>
      </c>
      <c r="AE230">
        <f>ABS(AC230-AC229)</f>
        <v>2</v>
      </c>
      <c r="AF230">
        <v>85</v>
      </c>
      <c r="AG230" t="s">
        <v>483</v>
      </c>
      <c r="AH230">
        <v>43</v>
      </c>
      <c r="AI230">
        <f>16.35117682*1.059464^AH230</f>
        <v>195.99987576438383</v>
      </c>
      <c r="AJ230">
        <f>ABS(AH230-AH229)</f>
        <v>1</v>
      </c>
      <c r="AK230">
        <v>88</v>
      </c>
      <c r="AL230" t="s">
        <v>488</v>
      </c>
      <c r="AM230">
        <v>36</v>
      </c>
      <c r="AN230">
        <f t="shared" si="138"/>
        <v>130.81344004395982</v>
      </c>
      <c r="AO230">
        <f t="shared" si="140"/>
        <v>0</v>
      </c>
      <c r="AP230">
        <v>88</v>
      </c>
      <c r="AQ230" t="s">
        <v>34</v>
      </c>
      <c r="AR230">
        <v>24</v>
      </c>
      <c r="AS230">
        <f>16.35117682*1.059464^AR230</f>
        <v>65.406049101104529</v>
      </c>
      <c r="AT230">
        <f>ABS(AR230-AR229)</f>
        <v>8</v>
      </c>
    </row>
    <row r="231" spans="1:46" x14ac:dyDescent="0.2">
      <c r="A231">
        <f t="shared" si="126"/>
        <v>113.5</v>
      </c>
      <c r="B231" t="s">
        <v>179</v>
      </c>
      <c r="C231">
        <v>60</v>
      </c>
      <c r="D231">
        <f t="shared" si="143"/>
        <v>523.26449507501752</v>
      </c>
      <c r="E231">
        <f t="shared" si="127"/>
        <v>113.5</v>
      </c>
      <c r="I231">
        <f t="shared" si="128"/>
        <v>113.5</v>
      </c>
      <c r="M231">
        <f t="shared" si="129"/>
        <v>113.5</v>
      </c>
      <c r="N231" t="s">
        <v>366</v>
      </c>
      <c r="O231">
        <v>48</v>
      </c>
      <c r="P231">
        <f t="shared" si="144"/>
        <v>261.62956379894968</v>
      </c>
      <c r="Q231">
        <f t="shared" si="130"/>
        <v>113.5</v>
      </c>
      <c r="V231">
        <v>87</v>
      </c>
      <c r="W231" t="s">
        <v>223</v>
      </c>
      <c r="X231">
        <v>50</v>
      </c>
      <c r="Y231">
        <f t="shared" si="137"/>
        <v>293.66975814369101</v>
      </c>
      <c r="Z231">
        <f t="shared" si="139"/>
        <v>3</v>
      </c>
      <c r="AA231">
        <v>87</v>
      </c>
      <c r="AB231" t="s">
        <v>447</v>
      </c>
      <c r="AC231">
        <v>47</v>
      </c>
      <c r="AD231">
        <f>16.35117682*1.059464^AC231</f>
        <v>246.94521361646048</v>
      </c>
      <c r="AE231">
        <f>ABS(AC231-AC230)</f>
        <v>2</v>
      </c>
      <c r="AF231">
        <v>87</v>
      </c>
      <c r="AG231" t="s">
        <v>483</v>
      </c>
      <c r="AH231">
        <v>43</v>
      </c>
      <c r="AI231">
        <f>16.35117682*1.059464^AH231</f>
        <v>195.99987576438383</v>
      </c>
      <c r="AJ231">
        <f>ABS(AH231-AH230)</f>
        <v>0</v>
      </c>
      <c r="AK231">
        <v>89.5</v>
      </c>
      <c r="AL231" t="s">
        <v>81</v>
      </c>
      <c r="AM231">
        <v>34</v>
      </c>
      <c r="AN231">
        <f t="shared" si="138"/>
        <v>116.54132680899107</v>
      </c>
      <c r="AO231">
        <f t="shared" si="140"/>
        <v>2</v>
      </c>
      <c r="AP231">
        <v>89.5</v>
      </c>
    </row>
    <row r="232" spans="1:46" x14ac:dyDescent="0.2">
      <c r="A232">
        <f t="shared" si="126"/>
        <v>114</v>
      </c>
      <c r="B232" t="s">
        <v>264</v>
      </c>
      <c r="C232">
        <v>63</v>
      </c>
      <c r="D232">
        <f t="shared" si="143"/>
        <v>622.27145634224212</v>
      </c>
      <c r="E232">
        <f t="shared" si="127"/>
        <v>114</v>
      </c>
      <c r="I232">
        <f t="shared" si="128"/>
        <v>114</v>
      </c>
      <c r="M232">
        <f t="shared" si="129"/>
        <v>114</v>
      </c>
      <c r="N232" t="s">
        <v>364</v>
      </c>
      <c r="O232">
        <v>51</v>
      </c>
      <c r="P232">
        <f t="shared" si="144"/>
        <v>311.13253664194741</v>
      </c>
      <c r="Q232">
        <f t="shared" si="130"/>
        <v>114</v>
      </c>
      <c r="V232">
        <v>89</v>
      </c>
      <c r="W232" t="s">
        <v>323</v>
      </c>
      <c r="X232">
        <v>48</v>
      </c>
      <c r="Y232">
        <f t="shared" si="137"/>
        <v>261.62956379894968</v>
      </c>
      <c r="Z232">
        <f t="shared" si="139"/>
        <v>2</v>
      </c>
      <c r="AA232">
        <v>89</v>
      </c>
      <c r="AF232">
        <v>89</v>
      </c>
      <c r="AK232">
        <v>90.5</v>
      </c>
      <c r="AL232" t="s">
        <v>85</v>
      </c>
      <c r="AM232">
        <v>34</v>
      </c>
      <c r="AN232">
        <f t="shared" si="138"/>
        <v>116.54132680899107</v>
      </c>
      <c r="AO232">
        <f t="shared" si="140"/>
        <v>0</v>
      </c>
      <c r="AP232">
        <v>90.5</v>
      </c>
    </row>
    <row r="233" spans="1:46" x14ac:dyDescent="0.2">
      <c r="A233">
        <f t="shared" si="126"/>
        <v>114.5</v>
      </c>
      <c r="B233" t="s">
        <v>180</v>
      </c>
      <c r="C233">
        <v>70</v>
      </c>
      <c r="D233">
        <f t="shared" si="143"/>
        <v>932.35930569378297</v>
      </c>
      <c r="E233">
        <f t="shared" si="127"/>
        <v>114.5</v>
      </c>
      <c r="I233">
        <f t="shared" si="128"/>
        <v>114.5</v>
      </c>
      <c r="M233">
        <f t="shared" si="129"/>
        <v>114.5</v>
      </c>
      <c r="N233" t="s">
        <v>367</v>
      </c>
      <c r="O233">
        <v>58</v>
      </c>
      <c r="P233">
        <f t="shared" si="144"/>
        <v>466.17487092753117</v>
      </c>
      <c r="Q233">
        <f t="shared" si="130"/>
        <v>114.5</v>
      </c>
      <c r="V233">
        <v>90</v>
      </c>
      <c r="W233" t="s">
        <v>323</v>
      </c>
      <c r="X233">
        <v>48</v>
      </c>
      <c r="Y233">
        <f t="shared" si="137"/>
        <v>261.62956379894968</v>
      </c>
      <c r="Z233">
        <f t="shared" si="139"/>
        <v>0</v>
      </c>
      <c r="AA233">
        <v>90</v>
      </c>
      <c r="AF233">
        <v>90</v>
      </c>
      <c r="AK233">
        <v>91.5</v>
      </c>
      <c r="AL233" t="s">
        <v>82</v>
      </c>
      <c r="AM233">
        <v>38</v>
      </c>
      <c r="AN233">
        <f t="shared" si="138"/>
        <v>146.83337288738056</v>
      </c>
      <c r="AO233">
        <f t="shared" si="140"/>
        <v>4</v>
      </c>
      <c r="AP233">
        <v>91.5</v>
      </c>
    </row>
    <row r="234" spans="1:46" x14ac:dyDescent="0.2">
      <c r="A234">
        <f t="shared" si="126"/>
        <v>115</v>
      </c>
      <c r="B234" t="s">
        <v>181</v>
      </c>
      <c r="C234">
        <v>72</v>
      </c>
      <c r="D234">
        <f t="shared" si="143"/>
        <v>1046.5397252143878</v>
      </c>
      <c r="E234">
        <f t="shared" si="127"/>
        <v>115</v>
      </c>
      <c r="I234">
        <f t="shared" si="128"/>
        <v>115</v>
      </c>
      <c r="M234">
        <f t="shared" si="129"/>
        <v>115</v>
      </c>
      <c r="N234" t="s">
        <v>265</v>
      </c>
      <c r="O234">
        <v>60</v>
      </c>
      <c r="P234">
        <f t="shared" si="144"/>
        <v>523.26449507501752</v>
      </c>
      <c r="Q234">
        <f t="shared" si="130"/>
        <v>115</v>
      </c>
      <c r="V234">
        <v>91</v>
      </c>
      <c r="W234" t="s">
        <v>323</v>
      </c>
      <c r="X234">
        <v>48</v>
      </c>
      <c r="Y234">
        <f t="shared" si="137"/>
        <v>261.62956379894968</v>
      </c>
      <c r="Z234">
        <f t="shared" si="139"/>
        <v>0</v>
      </c>
      <c r="AA234">
        <v>91</v>
      </c>
      <c r="AF234">
        <v>91</v>
      </c>
      <c r="AK234">
        <v>93</v>
      </c>
      <c r="AL234" t="s">
        <v>485</v>
      </c>
      <c r="AM234">
        <v>39</v>
      </c>
      <c r="AN234">
        <f t="shared" si="138"/>
        <v>155.56467257275574</v>
      </c>
      <c r="AO234">
        <f t="shared" si="140"/>
        <v>1</v>
      </c>
      <c r="AP234">
        <v>93</v>
      </c>
      <c r="AQ234" t="s">
        <v>312</v>
      </c>
      <c r="AR234">
        <v>29</v>
      </c>
      <c r="AS234">
        <f>16.35117682*1.059464^AR234</f>
        <v>87.306974197808145</v>
      </c>
      <c r="AT234">
        <f>ABS(AR234-AM233)</f>
        <v>9</v>
      </c>
    </row>
    <row r="235" spans="1:46" x14ac:dyDescent="0.2">
      <c r="A235">
        <f t="shared" si="126"/>
        <v>115.5</v>
      </c>
      <c r="B235" t="s">
        <v>182</v>
      </c>
      <c r="C235">
        <v>75</v>
      </c>
      <c r="D235">
        <f t="shared" ref="D235:D240" si="145">16.35117682*1.059464^C235</f>
        <v>1244.5556789321308</v>
      </c>
      <c r="E235">
        <f t="shared" si="127"/>
        <v>115.5</v>
      </c>
      <c r="I235">
        <f t="shared" si="128"/>
        <v>115.5</v>
      </c>
      <c r="M235">
        <f t="shared" si="129"/>
        <v>115.5</v>
      </c>
      <c r="N235" t="s">
        <v>264</v>
      </c>
      <c r="O235">
        <v>63</v>
      </c>
      <c r="P235">
        <f t="shared" ref="P235:P240" si="146">16.35117682*1.059464^O235</f>
        <v>622.27145634224212</v>
      </c>
      <c r="Q235">
        <f t="shared" si="130"/>
        <v>115.5</v>
      </c>
      <c r="V235">
        <v>92</v>
      </c>
      <c r="W235" t="s">
        <v>222</v>
      </c>
      <c r="X235">
        <v>51</v>
      </c>
      <c r="Y235">
        <f t="shared" si="137"/>
        <v>311.13253664194741</v>
      </c>
      <c r="Z235">
        <f t="shared" si="139"/>
        <v>3</v>
      </c>
      <c r="AA235">
        <v>92</v>
      </c>
      <c r="AF235">
        <v>92</v>
      </c>
      <c r="AK235">
        <v>96</v>
      </c>
      <c r="AL235" t="s">
        <v>488</v>
      </c>
      <c r="AM235">
        <v>36</v>
      </c>
      <c r="AN235">
        <f t="shared" si="138"/>
        <v>130.81344004395982</v>
      </c>
      <c r="AO235">
        <f t="shared" si="140"/>
        <v>3</v>
      </c>
      <c r="AP235">
        <v>96</v>
      </c>
      <c r="AQ235" t="s">
        <v>316</v>
      </c>
      <c r="AR235">
        <v>25</v>
      </c>
      <c r="AS235">
        <f>16.35117682*1.059464^AR235</f>
        <v>69.295354404852617</v>
      </c>
      <c r="AT235">
        <f>ABS(AR235-AR234)</f>
        <v>4</v>
      </c>
    </row>
    <row r="236" spans="1:46" x14ac:dyDescent="0.2">
      <c r="A236">
        <f t="shared" si="126"/>
        <v>116</v>
      </c>
      <c r="B236" t="s">
        <v>183</v>
      </c>
      <c r="C236">
        <v>82</v>
      </c>
      <c r="D236">
        <f t="shared" si="145"/>
        <v>1864.7377392612143</v>
      </c>
      <c r="E236">
        <f t="shared" si="127"/>
        <v>116</v>
      </c>
      <c r="I236">
        <f t="shared" si="128"/>
        <v>116</v>
      </c>
      <c r="M236">
        <f t="shared" si="129"/>
        <v>116</v>
      </c>
      <c r="N236" t="s">
        <v>309</v>
      </c>
      <c r="O236">
        <v>70</v>
      </c>
      <c r="P236">
        <f t="shared" si="146"/>
        <v>932.35930569378297</v>
      </c>
      <c r="Q236">
        <f t="shared" si="130"/>
        <v>116</v>
      </c>
      <c r="V236">
        <v>94</v>
      </c>
      <c r="W236" t="s">
        <v>486</v>
      </c>
      <c r="X236">
        <v>45</v>
      </c>
      <c r="Y236">
        <f t="shared" si="137"/>
        <v>220.00279814001337</v>
      </c>
      <c r="Z236">
        <f t="shared" si="139"/>
        <v>6</v>
      </c>
      <c r="AA236">
        <v>94</v>
      </c>
      <c r="AF236">
        <v>94</v>
      </c>
      <c r="AK236">
        <v>97.5</v>
      </c>
      <c r="AL236" t="s">
        <v>85</v>
      </c>
      <c r="AM236">
        <v>34</v>
      </c>
      <c r="AN236">
        <f t="shared" si="138"/>
        <v>116.54132680899107</v>
      </c>
      <c r="AO236">
        <f t="shared" si="140"/>
        <v>2</v>
      </c>
      <c r="AP236">
        <v>97.5</v>
      </c>
    </row>
    <row r="237" spans="1:46" x14ac:dyDescent="0.2">
      <c r="A237">
        <f t="shared" si="126"/>
        <v>116.5</v>
      </c>
      <c r="B237" t="s">
        <v>184</v>
      </c>
      <c r="C237">
        <v>84</v>
      </c>
      <c r="D237">
        <f t="shared" si="145"/>
        <v>2093.100920777717</v>
      </c>
      <c r="E237">
        <f t="shared" si="127"/>
        <v>116.5</v>
      </c>
      <c r="I237">
        <f t="shared" si="128"/>
        <v>116.5</v>
      </c>
      <c r="M237">
        <f t="shared" si="129"/>
        <v>116.5</v>
      </c>
      <c r="N237" t="s">
        <v>181</v>
      </c>
      <c r="O237">
        <v>72</v>
      </c>
      <c r="P237">
        <f t="shared" si="146"/>
        <v>1046.5397252143878</v>
      </c>
      <c r="Q237">
        <f t="shared" si="130"/>
        <v>116.5</v>
      </c>
      <c r="V237">
        <v>96</v>
      </c>
      <c r="W237" t="s">
        <v>323</v>
      </c>
      <c r="X237">
        <v>48</v>
      </c>
      <c r="Y237">
        <f t="shared" si="137"/>
        <v>261.62956379894968</v>
      </c>
      <c r="Z237">
        <f t="shared" si="139"/>
        <v>3</v>
      </c>
      <c r="AA237">
        <v>96</v>
      </c>
      <c r="AB237" t="s">
        <v>448</v>
      </c>
      <c r="AC237">
        <v>43</v>
      </c>
      <c r="AD237">
        <f>16.35117682*1.059464^AC237</f>
        <v>195.99987576438383</v>
      </c>
      <c r="AE237">
        <f>ABS(AC237-X236)</f>
        <v>2</v>
      </c>
      <c r="AF237">
        <v>96</v>
      </c>
      <c r="AG237" t="s">
        <v>484</v>
      </c>
      <c r="AH237">
        <v>39</v>
      </c>
      <c r="AI237">
        <f>16.35117682*1.059464^AH237</f>
        <v>155.56467257275574</v>
      </c>
      <c r="AJ237">
        <f>ABS(AH237-X236)</f>
        <v>6</v>
      </c>
      <c r="AK237">
        <v>98.5</v>
      </c>
      <c r="AL237" t="s">
        <v>85</v>
      </c>
      <c r="AM237">
        <v>34</v>
      </c>
      <c r="AN237">
        <f t="shared" si="138"/>
        <v>116.54132680899107</v>
      </c>
      <c r="AO237">
        <f t="shared" si="140"/>
        <v>0</v>
      </c>
      <c r="AP237">
        <v>98.5</v>
      </c>
    </row>
    <row r="238" spans="1:46" x14ac:dyDescent="0.2">
      <c r="A238">
        <f t="shared" si="126"/>
        <v>117</v>
      </c>
      <c r="B238" t="s">
        <v>185</v>
      </c>
      <c r="C238">
        <v>87</v>
      </c>
      <c r="D238">
        <f t="shared" si="145"/>
        <v>2489.1368906214616</v>
      </c>
      <c r="E238">
        <f t="shared" si="127"/>
        <v>117</v>
      </c>
      <c r="I238">
        <f t="shared" si="128"/>
        <v>117</v>
      </c>
      <c r="M238">
        <f t="shared" si="129"/>
        <v>117</v>
      </c>
      <c r="N238" t="s">
        <v>182</v>
      </c>
      <c r="O238">
        <v>75</v>
      </c>
      <c r="P238">
        <f t="shared" si="146"/>
        <v>1244.5556789321308</v>
      </c>
      <c r="Q238">
        <f t="shared" si="130"/>
        <v>117</v>
      </c>
      <c r="V238">
        <v>97.5</v>
      </c>
      <c r="W238" t="s">
        <v>325</v>
      </c>
      <c r="X238">
        <v>46</v>
      </c>
      <c r="Y238">
        <f t="shared" si="137"/>
        <v>233.08504452861115</v>
      </c>
      <c r="Z238">
        <f t="shared" si="139"/>
        <v>2</v>
      </c>
      <c r="AA238">
        <v>97.5</v>
      </c>
      <c r="AF238">
        <v>97.5</v>
      </c>
      <c r="AK238">
        <v>99.5</v>
      </c>
      <c r="AL238" t="s">
        <v>82</v>
      </c>
      <c r="AM238">
        <v>38</v>
      </c>
      <c r="AN238">
        <f t="shared" si="138"/>
        <v>146.83337288738056</v>
      </c>
      <c r="AO238">
        <f t="shared" si="140"/>
        <v>4</v>
      </c>
      <c r="AP238">
        <v>99.5</v>
      </c>
    </row>
    <row r="239" spans="1:46" x14ac:dyDescent="0.2">
      <c r="A239">
        <f t="shared" si="126"/>
        <v>117.5</v>
      </c>
      <c r="B239" t="s">
        <v>186</v>
      </c>
      <c r="C239">
        <v>90</v>
      </c>
      <c r="D239">
        <f t="shared" si="145"/>
        <v>2960.1068915255901</v>
      </c>
      <c r="E239">
        <f t="shared" si="127"/>
        <v>117.5</v>
      </c>
      <c r="I239">
        <f t="shared" si="128"/>
        <v>117.5</v>
      </c>
      <c r="M239">
        <f t="shared" si="129"/>
        <v>117.5</v>
      </c>
      <c r="N239" t="s">
        <v>310</v>
      </c>
      <c r="O239">
        <v>82</v>
      </c>
      <c r="P239">
        <f t="shared" si="146"/>
        <v>1864.7377392612143</v>
      </c>
      <c r="Q239">
        <f t="shared" si="130"/>
        <v>117.5</v>
      </c>
      <c r="V239">
        <v>98.5</v>
      </c>
      <c r="W239" t="s">
        <v>325</v>
      </c>
      <c r="X239">
        <v>46</v>
      </c>
      <c r="Y239">
        <f t="shared" si="137"/>
        <v>233.08504452861115</v>
      </c>
      <c r="Z239">
        <f t="shared" si="139"/>
        <v>0</v>
      </c>
      <c r="AA239">
        <v>98.5</v>
      </c>
      <c r="AF239">
        <v>98.5</v>
      </c>
      <c r="AK239">
        <v>101</v>
      </c>
      <c r="AL239" t="s">
        <v>484</v>
      </c>
      <c r="AM239">
        <v>39</v>
      </c>
      <c r="AN239">
        <f t="shared" si="138"/>
        <v>155.56467257275574</v>
      </c>
      <c r="AO239">
        <f t="shared" si="140"/>
        <v>1</v>
      </c>
      <c r="AP239">
        <v>101</v>
      </c>
      <c r="AQ239" t="s">
        <v>312</v>
      </c>
      <c r="AR239">
        <v>29</v>
      </c>
      <c r="AS239">
        <f>16.35117682*1.059464^AR239</f>
        <v>87.306974197808145</v>
      </c>
      <c r="AT239">
        <f>ABS(AR239-AM238)</f>
        <v>9</v>
      </c>
    </row>
    <row r="240" spans="1:46" x14ac:dyDescent="0.2">
      <c r="A240">
        <f t="shared" si="126"/>
        <v>118</v>
      </c>
      <c r="B240" t="s">
        <v>187</v>
      </c>
      <c r="C240">
        <v>92</v>
      </c>
      <c r="D240">
        <f t="shared" si="145"/>
        <v>3322.613325082044</v>
      </c>
      <c r="E240">
        <f t="shared" si="127"/>
        <v>118</v>
      </c>
      <c r="I240">
        <f t="shared" si="128"/>
        <v>118</v>
      </c>
      <c r="M240">
        <f t="shared" si="129"/>
        <v>118</v>
      </c>
      <c r="N240" t="s">
        <v>311</v>
      </c>
      <c r="O240">
        <v>84</v>
      </c>
      <c r="P240">
        <f t="shared" si="146"/>
        <v>2093.100920777717</v>
      </c>
      <c r="Q240">
        <f t="shared" si="130"/>
        <v>118</v>
      </c>
      <c r="V240">
        <v>99.5</v>
      </c>
      <c r="W240" t="s">
        <v>223</v>
      </c>
      <c r="X240">
        <v>50</v>
      </c>
      <c r="Y240">
        <f t="shared" ref="Y240:Y259" si="147">16.35117682*1.059464^X240</f>
        <v>293.66975814369101</v>
      </c>
      <c r="Z240">
        <f t="shared" si="139"/>
        <v>4</v>
      </c>
      <c r="AA240">
        <v>99.5</v>
      </c>
      <c r="AF240">
        <v>99.5</v>
      </c>
      <c r="AK240">
        <v>104</v>
      </c>
      <c r="AL240" t="s">
        <v>80</v>
      </c>
      <c r="AM240">
        <v>36</v>
      </c>
      <c r="AN240">
        <f t="shared" ref="AN240:AN257" si="148">16.35117682*1.059464^AM240</f>
        <v>130.81344004395982</v>
      </c>
      <c r="AO240">
        <f t="shared" si="140"/>
        <v>3</v>
      </c>
      <c r="AP240">
        <v>104</v>
      </c>
      <c r="AQ240" t="s">
        <v>316</v>
      </c>
      <c r="AR240">
        <v>24</v>
      </c>
      <c r="AS240">
        <f>16.35117682*1.059464^AR240</f>
        <v>65.406049101104529</v>
      </c>
      <c r="AT240">
        <f>ABS(AR240-AR239)</f>
        <v>5</v>
      </c>
    </row>
    <row r="241" spans="1:46" x14ac:dyDescent="0.2">
      <c r="A241">
        <f t="shared" si="126"/>
        <v>118.5</v>
      </c>
      <c r="E241">
        <f>E240+0.5</f>
        <v>118.5</v>
      </c>
      <c r="I241">
        <f>I240+0.5</f>
        <v>118.5</v>
      </c>
      <c r="M241">
        <f>M240+0.5</f>
        <v>118.5</v>
      </c>
      <c r="Q241">
        <f t="shared" si="130"/>
        <v>118.5</v>
      </c>
      <c r="V241">
        <v>101</v>
      </c>
      <c r="W241" t="s">
        <v>23</v>
      </c>
      <c r="X241">
        <v>55</v>
      </c>
      <c r="Y241">
        <f t="shared" si="147"/>
        <v>392.00377257605692</v>
      </c>
      <c r="Z241">
        <f t="shared" ref="Z241:Z259" si="149">ABS(X241-X240)</f>
        <v>5</v>
      </c>
      <c r="AA241">
        <v>101</v>
      </c>
      <c r="AB241" t="s">
        <v>222</v>
      </c>
      <c r="AC241">
        <v>51</v>
      </c>
      <c r="AD241">
        <f>16.35117682*1.059464^AC241</f>
        <v>311.13253664194741</v>
      </c>
      <c r="AE241">
        <f>ABS(AC241-X240)</f>
        <v>1</v>
      </c>
      <c r="AF241">
        <v>101</v>
      </c>
      <c r="AG241" t="s">
        <v>449</v>
      </c>
      <c r="AH241">
        <v>44</v>
      </c>
      <c r="AI241">
        <f>16.35117682*1.059464^AH241</f>
        <v>207.65481237683719</v>
      </c>
      <c r="AJ241">
        <f>ABS(AH241-X240)</f>
        <v>6</v>
      </c>
      <c r="AK241">
        <v>105.5</v>
      </c>
      <c r="AL241" t="s">
        <v>81</v>
      </c>
      <c r="AM241">
        <v>34</v>
      </c>
      <c r="AN241">
        <f t="shared" si="148"/>
        <v>116.54132680899107</v>
      </c>
      <c r="AO241">
        <f t="shared" ref="AO241:AO257" si="150">ABS(AM241-AM240)</f>
        <v>2</v>
      </c>
      <c r="AP241">
        <v>105.5</v>
      </c>
    </row>
    <row r="242" spans="1:46" x14ac:dyDescent="0.2">
      <c r="A242">
        <f t="shared" si="126"/>
        <v>119</v>
      </c>
      <c r="B242" t="s">
        <v>31</v>
      </c>
      <c r="C242">
        <v>60</v>
      </c>
      <c r="D242">
        <f>16.35117682*1.059464^C242</f>
        <v>523.26449507501752</v>
      </c>
      <c r="E242">
        <f t="shared" si="127"/>
        <v>119</v>
      </c>
      <c r="I242">
        <f t="shared" si="128"/>
        <v>119</v>
      </c>
      <c r="M242">
        <f t="shared" si="129"/>
        <v>119</v>
      </c>
      <c r="N242" t="s">
        <v>366</v>
      </c>
      <c r="O242">
        <v>48</v>
      </c>
      <c r="P242">
        <f>16.35117682*1.059464^O242</f>
        <v>261.62956379894968</v>
      </c>
      <c r="Q242">
        <f t="shared" si="130"/>
        <v>119</v>
      </c>
      <c r="R242" t="s">
        <v>237</v>
      </c>
      <c r="S242">
        <v>36</v>
      </c>
      <c r="T242">
        <f>16.35117682*1.059464^S242</f>
        <v>130.81344004395982</v>
      </c>
      <c r="V242">
        <v>103</v>
      </c>
      <c r="W242" t="s">
        <v>23</v>
      </c>
      <c r="X242">
        <v>55</v>
      </c>
      <c r="Y242">
        <f t="shared" si="147"/>
        <v>392.00377257605692</v>
      </c>
      <c r="Z242">
        <f t="shared" si="149"/>
        <v>0</v>
      </c>
      <c r="AA242">
        <v>103</v>
      </c>
      <c r="AB242" t="s">
        <v>222</v>
      </c>
      <c r="AC242">
        <v>51</v>
      </c>
      <c r="AD242">
        <f>16.35117682*1.059464^AC242</f>
        <v>311.13253664194741</v>
      </c>
      <c r="AE242">
        <f>ABS(AC242-X241)</f>
        <v>4</v>
      </c>
      <c r="AF242">
        <v>103</v>
      </c>
      <c r="AG242" t="s">
        <v>325</v>
      </c>
      <c r="AH242">
        <v>46</v>
      </c>
      <c r="AI242">
        <f>16.35117682*1.059464^AH242</f>
        <v>233.08504452861115</v>
      </c>
      <c r="AJ242">
        <f>ABS(AH242-X241)</f>
        <v>9</v>
      </c>
      <c r="AK242">
        <v>106.5</v>
      </c>
      <c r="AL242" t="s">
        <v>85</v>
      </c>
      <c r="AM242">
        <v>34</v>
      </c>
      <c r="AN242">
        <f t="shared" si="148"/>
        <v>116.54132680899107</v>
      </c>
      <c r="AO242">
        <f t="shared" si="150"/>
        <v>0</v>
      </c>
      <c r="AP242">
        <v>106.5</v>
      </c>
    </row>
    <row r="243" spans="1:46" x14ac:dyDescent="0.2">
      <c r="A243">
        <f t="shared" si="126"/>
        <v>119.5</v>
      </c>
      <c r="E243">
        <f t="shared" si="127"/>
        <v>119.5</v>
      </c>
      <c r="I243">
        <f t="shared" si="128"/>
        <v>119.5</v>
      </c>
      <c r="M243">
        <f t="shared" si="129"/>
        <v>119.5</v>
      </c>
      <c r="Q243">
        <f t="shared" si="130"/>
        <v>119.5</v>
      </c>
      <c r="V243">
        <v>105</v>
      </c>
      <c r="W243" t="s">
        <v>323</v>
      </c>
      <c r="X243">
        <v>48</v>
      </c>
      <c r="Y243">
        <f t="shared" si="147"/>
        <v>261.62956379894968</v>
      </c>
      <c r="Z243">
        <f t="shared" si="149"/>
        <v>7</v>
      </c>
      <c r="AA243">
        <v>105</v>
      </c>
      <c r="AF243">
        <v>105</v>
      </c>
      <c r="AK243">
        <v>107.5</v>
      </c>
      <c r="AL243" t="s">
        <v>485</v>
      </c>
      <c r="AM243">
        <v>39</v>
      </c>
      <c r="AN243">
        <f t="shared" si="148"/>
        <v>155.56467257275574</v>
      </c>
      <c r="AO243">
        <f t="shared" si="150"/>
        <v>5</v>
      </c>
      <c r="AP243">
        <v>107.5</v>
      </c>
    </row>
    <row r="244" spans="1:46" x14ac:dyDescent="0.2">
      <c r="A244">
        <f t="shared" si="126"/>
        <v>120</v>
      </c>
      <c r="B244" t="s">
        <v>31</v>
      </c>
      <c r="C244">
        <v>60</v>
      </c>
      <c r="D244">
        <f>16.35117682*1.059464^C244</f>
        <v>523.26449507501752</v>
      </c>
      <c r="E244">
        <f t="shared" si="127"/>
        <v>120</v>
      </c>
      <c r="I244">
        <f t="shared" si="128"/>
        <v>120</v>
      </c>
      <c r="M244">
        <f t="shared" si="129"/>
        <v>120</v>
      </c>
      <c r="N244" t="s">
        <v>366</v>
      </c>
      <c r="O244">
        <v>48</v>
      </c>
      <c r="P244">
        <f>16.35117682*1.059464^O244</f>
        <v>261.62956379894968</v>
      </c>
      <c r="Q244">
        <f t="shared" si="130"/>
        <v>120</v>
      </c>
      <c r="R244" t="s">
        <v>237</v>
      </c>
      <c r="S244">
        <v>36</v>
      </c>
      <c r="T244">
        <f>16.35117682*1.059464^S244</f>
        <v>130.81344004395982</v>
      </c>
      <c r="V244">
        <v>106</v>
      </c>
      <c r="W244" t="s">
        <v>323</v>
      </c>
      <c r="X244">
        <v>48</v>
      </c>
      <c r="Y244">
        <f t="shared" si="147"/>
        <v>261.62956379894968</v>
      </c>
      <c r="Z244">
        <f t="shared" si="149"/>
        <v>0</v>
      </c>
      <c r="AA244">
        <v>106</v>
      </c>
      <c r="AF244">
        <v>106</v>
      </c>
      <c r="AK244">
        <v>111</v>
      </c>
      <c r="AL244" t="s">
        <v>444</v>
      </c>
      <c r="AM244">
        <v>43</v>
      </c>
      <c r="AN244">
        <f t="shared" si="148"/>
        <v>195.99987576438383</v>
      </c>
      <c r="AO244">
        <f t="shared" si="150"/>
        <v>4</v>
      </c>
      <c r="AP244">
        <v>111</v>
      </c>
    </row>
    <row r="245" spans="1:46" x14ac:dyDescent="0.2">
      <c r="A245">
        <f t="shared" si="126"/>
        <v>120.5</v>
      </c>
      <c r="E245">
        <f t="shared" si="127"/>
        <v>120.5</v>
      </c>
      <c r="I245">
        <f t="shared" si="128"/>
        <v>120.5</v>
      </c>
      <c r="M245">
        <f t="shared" si="129"/>
        <v>120.5</v>
      </c>
      <c r="Q245">
        <f t="shared" si="130"/>
        <v>120.5</v>
      </c>
      <c r="V245">
        <v>107</v>
      </c>
      <c r="W245" t="s">
        <v>323</v>
      </c>
      <c r="X245">
        <v>48</v>
      </c>
      <c r="Y245">
        <f t="shared" si="147"/>
        <v>261.62956379894968</v>
      </c>
      <c r="Z245">
        <f t="shared" si="149"/>
        <v>0</v>
      </c>
      <c r="AA245">
        <v>107</v>
      </c>
      <c r="AF245">
        <v>107</v>
      </c>
      <c r="AK245">
        <v>112</v>
      </c>
      <c r="AL245" t="s">
        <v>80</v>
      </c>
      <c r="AM245">
        <v>36</v>
      </c>
      <c r="AN245">
        <f t="shared" si="148"/>
        <v>130.81344004395982</v>
      </c>
      <c r="AO245">
        <f t="shared" si="150"/>
        <v>7</v>
      </c>
      <c r="AP245">
        <v>112</v>
      </c>
    </row>
    <row r="246" spans="1:46" x14ac:dyDescent="0.2">
      <c r="A246">
        <f t="shared" si="126"/>
        <v>121</v>
      </c>
      <c r="B246" t="s">
        <v>31</v>
      </c>
      <c r="C246">
        <v>60</v>
      </c>
      <c r="D246">
        <f>16.35117682*1.059464^C246</f>
        <v>523.26449507501752</v>
      </c>
      <c r="E246">
        <f t="shared" si="127"/>
        <v>121</v>
      </c>
      <c r="I246">
        <f t="shared" si="128"/>
        <v>121</v>
      </c>
      <c r="M246">
        <f t="shared" si="129"/>
        <v>121</v>
      </c>
      <c r="N246" t="s">
        <v>366</v>
      </c>
      <c r="O246">
        <v>48</v>
      </c>
      <c r="P246">
        <f>16.35117682*1.059464^O246</f>
        <v>261.62956379894968</v>
      </c>
      <c r="Q246">
        <f t="shared" si="130"/>
        <v>121</v>
      </c>
      <c r="R246" t="s">
        <v>237</v>
      </c>
      <c r="S246">
        <v>36</v>
      </c>
      <c r="T246">
        <f>16.35117682*1.059464^S246</f>
        <v>130.81344004395982</v>
      </c>
      <c r="V246">
        <v>108</v>
      </c>
      <c r="W246" t="s">
        <v>212</v>
      </c>
      <c r="X246">
        <v>58</v>
      </c>
      <c r="Y246">
        <f t="shared" si="147"/>
        <v>466.17487092753117</v>
      </c>
      <c r="Z246">
        <f t="shared" si="149"/>
        <v>10</v>
      </c>
      <c r="AA246">
        <v>108</v>
      </c>
      <c r="AF246">
        <v>108</v>
      </c>
      <c r="AK246">
        <v>113</v>
      </c>
      <c r="AL246" t="s">
        <v>325</v>
      </c>
      <c r="AM246">
        <v>46</v>
      </c>
      <c r="AN246">
        <f t="shared" si="148"/>
        <v>233.08504452861115</v>
      </c>
      <c r="AO246">
        <f t="shared" si="150"/>
        <v>10</v>
      </c>
      <c r="AP246">
        <v>113</v>
      </c>
    </row>
    <row r="247" spans="1:46" x14ac:dyDescent="0.2">
      <c r="A247">
        <f t="shared" si="126"/>
        <v>121.5</v>
      </c>
      <c r="B247" t="s">
        <v>212</v>
      </c>
      <c r="C247">
        <v>58</v>
      </c>
      <c r="D247">
        <f>16.35117682*1.059464^C247</f>
        <v>466.17487092753117</v>
      </c>
      <c r="E247">
        <f t="shared" si="127"/>
        <v>121.5</v>
      </c>
      <c r="I247">
        <f t="shared" si="128"/>
        <v>121.5</v>
      </c>
      <c r="M247">
        <f t="shared" si="129"/>
        <v>121.5</v>
      </c>
      <c r="N247" t="s">
        <v>367</v>
      </c>
      <c r="O247">
        <v>46</v>
      </c>
      <c r="P247">
        <f>16.35117682*1.059464^O247</f>
        <v>233.08504452861115</v>
      </c>
      <c r="Q247">
        <f t="shared" si="130"/>
        <v>121.5</v>
      </c>
      <c r="R247" t="s">
        <v>85</v>
      </c>
      <c r="S247">
        <v>34</v>
      </c>
      <c r="T247">
        <f>16.35117682*1.059464^S247</f>
        <v>116.54132680899107</v>
      </c>
      <c r="V247">
        <v>111.5</v>
      </c>
      <c r="W247" t="s">
        <v>212</v>
      </c>
      <c r="X247">
        <v>46</v>
      </c>
      <c r="Y247">
        <f t="shared" si="147"/>
        <v>233.08504452861115</v>
      </c>
      <c r="Z247">
        <f t="shared" si="149"/>
        <v>12</v>
      </c>
      <c r="AA247">
        <v>111.5</v>
      </c>
      <c r="AF247">
        <v>111.5</v>
      </c>
      <c r="AK247">
        <v>114</v>
      </c>
      <c r="AL247" t="s">
        <v>222</v>
      </c>
      <c r="AM247">
        <v>51</v>
      </c>
      <c r="AN247">
        <f t="shared" si="148"/>
        <v>311.13253664194741</v>
      </c>
      <c r="AO247">
        <f t="shared" si="150"/>
        <v>5</v>
      </c>
      <c r="AP247">
        <v>114</v>
      </c>
    </row>
    <row r="248" spans="1:46" x14ac:dyDescent="0.2">
      <c r="A248">
        <f t="shared" si="126"/>
        <v>122</v>
      </c>
      <c r="B248" t="s">
        <v>265</v>
      </c>
      <c r="C248">
        <v>60</v>
      </c>
      <c r="D248">
        <f>16.35117682*1.059464^C248</f>
        <v>523.26449507501752</v>
      </c>
      <c r="E248">
        <f t="shared" si="127"/>
        <v>122</v>
      </c>
      <c r="I248">
        <f t="shared" si="128"/>
        <v>122</v>
      </c>
      <c r="M248">
        <f t="shared" si="129"/>
        <v>122</v>
      </c>
      <c r="N248" t="s">
        <v>366</v>
      </c>
      <c r="O248">
        <v>48</v>
      </c>
      <c r="P248">
        <f>16.35117682*1.059464^O248</f>
        <v>261.62956379894968</v>
      </c>
      <c r="Q248">
        <f t="shared" si="130"/>
        <v>122</v>
      </c>
      <c r="R248" t="s">
        <v>80</v>
      </c>
      <c r="S248">
        <v>36</v>
      </c>
      <c r="T248">
        <f>16.35117682*1.059464^S248</f>
        <v>130.81344004395982</v>
      </c>
      <c r="V248">
        <v>112.5</v>
      </c>
      <c r="W248" t="s">
        <v>213</v>
      </c>
      <c r="X248">
        <v>51</v>
      </c>
      <c r="Y248">
        <f t="shared" si="147"/>
        <v>311.13253664194741</v>
      </c>
      <c r="Z248">
        <f t="shared" si="149"/>
        <v>5</v>
      </c>
      <c r="AA248">
        <v>112.5</v>
      </c>
      <c r="AF248">
        <v>112.5</v>
      </c>
      <c r="AK248">
        <v>115</v>
      </c>
      <c r="AL248" t="s">
        <v>265</v>
      </c>
      <c r="AM248">
        <v>60</v>
      </c>
      <c r="AN248">
        <f t="shared" si="148"/>
        <v>523.26449507501752</v>
      </c>
      <c r="AO248">
        <f t="shared" si="150"/>
        <v>9</v>
      </c>
      <c r="AP248">
        <v>115</v>
      </c>
    </row>
    <row r="249" spans="1:46" x14ac:dyDescent="0.2">
      <c r="A249">
        <f t="shared" si="126"/>
        <v>122.5</v>
      </c>
      <c r="E249">
        <f t="shared" si="127"/>
        <v>122.5</v>
      </c>
      <c r="I249">
        <f t="shared" si="128"/>
        <v>122.5</v>
      </c>
      <c r="M249">
        <f t="shared" si="129"/>
        <v>122.5</v>
      </c>
      <c r="Q249">
        <f t="shared" si="130"/>
        <v>122.5</v>
      </c>
      <c r="V249">
        <v>113.5</v>
      </c>
      <c r="W249" t="s">
        <v>20</v>
      </c>
      <c r="X249">
        <v>60</v>
      </c>
      <c r="Y249">
        <f t="shared" si="147"/>
        <v>523.26449507501752</v>
      </c>
      <c r="Z249">
        <f t="shared" si="149"/>
        <v>9</v>
      </c>
      <c r="AA249">
        <v>113.5</v>
      </c>
      <c r="AF249">
        <v>113.5</v>
      </c>
      <c r="AK249">
        <v>116</v>
      </c>
      <c r="AL249" t="s">
        <v>309</v>
      </c>
      <c r="AM249">
        <v>70</v>
      </c>
      <c r="AN249">
        <f t="shared" si="148"/>
        <v>932.35930569378297</v>
      </c>
      <c r="AO249">
        <f t="shared" si="150"/>
        <v>10</v>
      </c>
      <c r="AP249">
        <v>116</v>
      </c>
    </row>
    <row r="250" spans="1:46" x14ac:dyDescent="0.2">
      <c r="A250">
        <f t="shared" si="126"/>
        <v>123</v>
      </c>
      <c r="B250" t="s">
        <v>32</v>
      </c>
      <c r="C250">
        <v>48</v>
      </c>
      <c r="D250">
        <f>16.35117682*1.059464^C250</f>
        <v>261.62956379894968</v>
      </c>
      <c r="E250">
        <f t="shared" si="127"/>
        <v>123</v>
      </c>
      <c r="F250" t="s">
        <v>444</v>
      </c>
      <c r="G250">
        <v>43</v>
      </c>
      <c r="H250">
        <f>16.35117682*1.059464^G250</f>
        <v>195.99987576438383</v>
      </c>
      <c r="I250">
        <f t="shared" si="128"/>
        <v>123</v>
      </c>
      <c r="J250" t="s">
        <v>488</v>
      </c>
      <c r="K250">
        <v>36</v>
      </c>
      <c r="L250">
        <f>16.35117682*1.059464^K250</f>
        <v>130.81344004395982</v>
      </c>
      <c r="M250">
        <f t="shared" si="129"/>
        <v>123</v>
      </c>
      <c r="N250" t="s">
        <v>454</v>
      </c>
      <c r="O250">
        <v>31</v>
      </c>
      <c r="P250">
        <f>16.35117682*1.059464^O250</f>
        <v>97.998932630681253</v>
      </c>
      <c r="Q250">
        <f t="shared" si="130"/>
        <v>123</v>
      </c>
      <c r="R250" t="s">
        <v>316</v>
      </c>
      <c r="S250">
        <v>24</v>
      </c>
      <c r="T250">
        <f>16.35117682*1.059464^S250</f>
        <v>65.406049101104529</v>
      </c>
      <c r="V250">
        <v>114.5</v>
      </c>
      <c r="W250" t="s">
        <v>309</v>
      </c>
      <c r="X250">
        <v>70</v>
      </c>
      <c r="Y250">
        <f t="shared" si="147"/>
        <v>932.35930569378297</v>
      </c>
      <c r="Z250">
        <f t="shared" si="149"/>
        <v>10</v>
      </c>
      <c r="AA250">
        <v>114.5</v>
      </c>
      <c r="AF250">
        <v>114.5</v>
      </c>
      <c r="AK250">
        <v>117</v>
      </c>
      <c r="AL250" t="s">
        <v>182</v>
      </c>
      <c r="AM250">
        <v>75</v>
      </c>
      <c r="AN250">
        <f t="shared" si="148"/>
        <v>1244.5556789321308</v>
      </c>
      <c r="AO250">
        <f t="shared" si="150"/>
        <v>5</v>
      </c>
      <c r="AP250">
        <v>117</v>
      </c>
    </row>
    <row r="251" spans="1:46" x14ac:dyDescent="0.2">
      <c r="A251">
        <f t="shared" si="126"/>
        <v>123.5</v>
      </c>
      <c r="E251">
        <f t="shared" si="127"/>
        <v>123.5</v>
      </c>
      <c r="I251">
        <f t="shared" si="128"/>
        <v>123.5</v>
      </c>
      <c r="M251">
        <f t="shared" si="129"/>
        <v>123.5</v>
      </c>
      <c r="Q251">
        <f t="shared" si="130"/>
        <v>123.5</v>
      </c>
      <c r="V251">
        <v>115.5</v>
      </c>
      <c r="W251" t="s">
        <v>182</v>
      </c>
      <c r="X251">
        <v>75</v>
      </c>
      <c r="Y251">
        <f t="shared" si="147"/>
        <v>1244.5556789321308</v>
      </c>
      <c r="Z251">
        <f t="shared" si="149"/>
        <v>5</v>
      </c>
      <c r="AA251">
        <v>115.5</v>
      </c>
      <c r="AF251">
        <v>115.5</v>
      </c>
      <c r="AK251">
        <v>118</v>
      </c>
      <c r="AL251" t="s">
        <v>311</v>
      </c>
      <c r="AM251">
        <v>84</v>
      </c>
      <c r="AN251">
        <f t="shared" si="148"/>
        <v>2093.100920777717</v>
      </c>
      <c r="AO251">
        <f t="shared" si="150"/>
        <v>9</v>
      </c>
      <c r="AP251">
        <v>118</v>
      </c>
    </row>
    <row r="252" spans="1:46" x14ac:dyDescent="0.2">
      <c r="A252">
        <f t="shared" si="126"/>
        <v>124</v>
      </c>
      <c r="B252" t="s">
        <v>32</v>
      </c>
      <c r="C252">
        <v>48</v>
      </c>
      <c r="D252">
        <f>16.35117682*1.059464^C252</f>
        <v>261.62956379894968</v>
      </c>
      <c r="E252">
        <f t="shared" si="127"/>
        <v>124</v>
      </c>
      <c r="F252" t="s">
        <v>444</v>
      </c>
      <c r="G252">
        <v>43</v>
      </c>
      <c r="H252">
        <f>16.35117682*1.059464^G252</f>
        <v>195.99987576438383</v>
      </c>
      <c r="I252">
        <f t="shared" si="128"/>
        <v>124</v>
      </c>
      <c r="J252" t="s">
        <v>488</v>
      </c>
      <c r="K252">
        <v>36</v>
      </c>
      <c r="L252">
        <f>16.35117682*1.059464^K252</f>
        <v>130.81344004395982</v>
      </c>
      <c r="M252">
        <f t="shared" si="129"/>
        <v>124</v>
      </c>
      <c r="N252" t="s">
        <v>454</v>
      </c>
      <c r="O252">
        <v>31</v>
      </c>
      <c r="P252">
        <f>16.35117682*1.059464^O252</f>
        <v>97.998932630681253</v>
      </c>
      <c r="Q252">
        <f t="shared" si="130"/>
        <v>124</v>
      </c>
      <c r="R252" t="s">
        <v>316</v>
      </c>
      <c r="S252">
        <v>24</v>
      </c>
      <c r="T252">
        <f>16.35117682*1.059464^S252</f>
        <v>65.406049101104529</v>
      </c>
      <c r="V252">
        <v>116.5</v>
      </c>
      <c r="W252" t="s">
        <v>184</v>
      </c>
      <c r="X252">
        <v>84</v>
      </c>
      <c r="Y252">
        <f t="shared" si="147"/>
        <v>2093.100920777717</v>
      </c>
      <c r="Z252">
        <f t="shared" si="149"/>
        <v>9</v>
      </c>
      <c r="AA252">
        <v>116.5</v>
      </c>
      <c r="AF252">
        <v>116.5</v>
      </c>
      <c r="AK252">
        <v>120</v>
      </c>
      <c r="AL252" t="s">
        <v>323</v>
      </c>
      <c r="AM252">
        <v>48</v>
      </c>
      <c r="AN252">
        <f t="shared" si="148"/>
        <v>261.62956379894968</v>
      </c>
      <c r="AO252">
        <f t="shared" si="150"/>
        <v>36</v>
      </c>
      <c r="AP252">
        <v>120</v>
      </c>
      <c r="AQ252" t="s">
        <v>237</v>
      </c>
      <c r="AR252">
        <v>36</v>
      </c>
      <c r="AS252">
        <f t="shared" ref="AS252:AS257" si="151">16.35117682*1.059464^AR252</f>
        <v>130.81344004395982</v>
      </c>
      <c r="AT252">
        <f>ABS(AR252-AM251)</f>
        <v>48</v>
      </c>
    </row>
    <row r="253" spans="1:46" x14ac:dyDescent="0.2">
      <c r="A253">
        <f t="shared" si="126"/>
        <v>124.5</v>
      </c>
      <c r="E253">
        <f t="shared" si="127"/>
        <v>124.5</v>
      </c>
      <c r="I253">
        <f t="shared" si="128"/>
        <v>124.5</v>
      </c>
      <c r="M253">
        <f t="shared" si="129"/>
        <v>124.5</v>
      </c>
      <c r="Q253">
        <f t="shared" si="130"/>
        <v>124.5</v>
      </c>
      <c r="V253">
        <v>117.5</v>
      </c>
      <c r="W253" t="s">
        <v>186</v>
      </c>
      <c r="X253">
        <v>90</v>
      </c>
      <c r="Y253">
        <f t="shared" si="147"/>
        <v>2960.1068915255901</v>
      </c>
      <c r="Z253">
        <f t="shared" si="149"/>
        <v>6</v>
      </c>
      <c r="AA253">
        <v>117.5</v>
      </c>
      <c r="AF253">
        <v>117.5</v>
      </c>
      <c r="AK253">
        <v>121.5</v>
      </c>
      <c r="AL253" t="s">
        <v>325</v>
      </c>
      <c r="AM253">
        <v>46</v>
      </c>
      <c r="AN253">
        <f t="shared" si="148"/>
        <v>233.08504452861115</v>
      </c>
      <c r="AO253">
        <f t="shared" si="150"/>
        <v>2</v>
      </c>
      <c r="AP253">
        <v>121.5</v>
      </c>
      <c r="AQ253" t="s">
        <v>85</v>
      </c>
      <c r="AR253">
        <v>34</v>
      </c>
      <c r="AS253">
        <f t="shared" si="151"/>
        <v>116.54132680899107</v>
      </c>
      <c r="AT253">
        <f>ABS(AR253-AR252)</f>
        <v>2</v>
      </c>
    </row>
    <row r="254" spans="1:46" x14ac:dyDescent="0.2">
      <c r="A254">
        <f t="shared" si="126"/>
        <v>125</v>
      </c>
      <c r="B254" t="s">
        <v>366</v>
      </c>
      <c r="C254">
        <v>48</v>
      </c>
      <c r="D254">
        <f>16.35117682*1.059464^C254</f>
        <v>261.62956379894968</v>
      </c>
      <c r="E254">
        <f t="shared" si="127"/>
        <v>125</v>
      </c>
      <c r="F254" t="s">
        <v>444</v>
      </c>
      <c r="G254">
        <v>43</v>
      </c>
      <c r="H254">
        <f>16.35117682*1.059464^G254</f>
        <v>195.99987576438383</v>
      </c>
      <c r="I254">
        <f t="shared" si="128"/>
        <v>125</v>
      </c>
      <c r="J254" t="s">
        <v>488</v>
      </c>
      <c r="K254">
        <v>36</v>
      </c>
      <c r="L254">
        <f>16.35117682*1.059464^K254</f>
        <v>130.81344004395982</v>
      </c>
      <c r="M254">
        <f t="shared" si="129"/>
        <v>125</v>
      </c>
      <c r="N254" t="s">
        <v>454</v>
      </c>
      <c r="O254">
        <v>31</v>
      </c>
      <c r="P254">
        <f>16.35117682*1.059464^O254</f>
        <v>97.998932630681253</v>
      </c>
      <c r="Q254">
        <f t="shared" si="130"/>
        <v>125</v>
      </c>
      <c r="R254" t="s">
        <v>316</v>
      </c>
      <c r="S254">
        <v>24</v>
      </c>
      <c r="T254">
        <f>16.35117682*1.059464^S254</f>
        <v>65.406049101104529</v>
      </c>
      <c r="V254">
        <v>119</v>
      </c>
      <c r="W254" t="s">
        <v>31</v>
      </c>
      <c r="X254">
        <v>60</v>
      </c>
      <c r="Y254">
        <f t="shared" si="147"/>
        <v>523.26449507501752</v>
      </c>
      <c r="Z254">
        <f t="shared" si="149"/>
        <v>30</v>
      </c>
      <c r="AA254">
        <v>119</v>
      </c>
      <c r="AF254">
        <v>119</v>
      </c>
      <c r="AK254">
        <v>123</v>
      </c>
      <c r="AL254" t="s">
        <v>454</v>
      </c>
      <c r="AM254">
        <v>31</v>
      </c>
      <c r="AN254">
        <f t="shared" si="148"/>
        <v>97.998932630681253</v>
      </c>
      <c r="AO254">
        <f t="shared" si="150"/>
        <v>15</v>
      </c>
      <c r="AP254">
        <v>123</v>
      </c>
      <c r="AQ254" t="s">
        <v>316</v>
      </c>
      <c r="AR254">
        <v>24</v>
      </c>
      <c r="AS254">
        <f t="shared" si="151"/>
        <v>65.406049101104529</v>
      </c>
      <c r="AT254">
        <f>ABS(AR254-AR253)</f>
        <v>10</v>
      </c>
    </row>
    <row r="255" spans="1:46" x14ac:dyDescent="0.2">
      <c r="A255">
        <f t="shared" si="126"/>
        <v>125.5</v>
      </c>
      <c r="B255" t="s">
        <v>33</v>
      </c>
      <c r="C255">
        <v>46</v>
      </c>
      <c r="D255">
        <f>16.35117682*1.059464^C255</f>
        <v>233.08504452861115</v>
      </c>
      <c r="E255">
        <f t="shared" si="127"/>
        <v>125.5</v>
      </c>
      <c r="F255" t="s">
        <v>444</v>
      </c>
      <c r="G255">
        <v>43</v>
      </c>
      <c r="H255">
        <f>16.35117682*1.059464^G255</f>
        <v>195.99987576438383</v>
      </c>
      <c r="I255">
        <f t="shared" si="128"/>
        <v>125.5</v>
      </c>
      <c r="J255" t="s">
        <v>357</v>
      </c>
      <c r="K255">
        <v>34</v>
      </c>
      <c r="L255">
        <f>16.35117682*1.059464^K255</f>
        <v>116.54132680899107</v>
      </c>
      <c r="M255">
        <f t="shared" si="129"/>
        <v>125.5</v>
      </c>
      <c r="N255" t="s">
        <v>454</v>
      </c>
      <c r="O255">
        <v>31</v>
      </c>
      <c r="P255">
        <f>16.35117682*1.059464^O255</f>
        <v>97.998932630681253</v>
      </c>
      <c r="Q255">
        <f t="shared" si="130"/>
        <v>125.5</v>
      </c>
      <c r="R255" t="s">
        <v>238</v>
      </c>
      <c r="S255">
        <v>22</v>
      </c>
      <c r="T255">
        <f>16.35117682*1.059464^S255</f>
        <v>58.270065682969573</v>
      </c>
      <c r="V255">
        <v>121</v>
      </c>
      <c r="W255" t="s">
        <v>31</v>
      </c>
      <c r="X255">
        <v>60</v>
      </c>
      <c r="Y255">
        <f t="shared" si="147"/>
        <v>523.26449507501752</v>
      </c>
      <c r="Z255">
        <f t="shared" si="149"/>
        <v>0</v>
      </c>
      <c r="AA255">
        <v>121</v>
      </c>
      <c r="AF255">
        <v>121</v>
      </c>
      <c r="AK255">
        <v>125</v>
      </c>
      <c r="AL255" t="s">
        <v>454</v>
      </c>
      <c r="AM255">
        <v>31</v>
      </c>
      <c r="AN255">
        <f t="shared" si="148"/>
        <v>97.998932630681253</v>
      </c>
      <c r="AO255">
        <f t="shared" si="150"/>
        <v>0</v>
      </c>
      <c r="AP255">
        <v>125</v>
      </c>
      <c r="AQ255" t="s">
        <v>316</v>
      </c>
      <c r="AR255">
        <v>24</v>
      </c>
      <c r="AS255">
        <f t="shared" si="151"/>
        <v>65.406049101104529</v>
      </c>
      <c r="AT255">
        <f>ABS(AR255-AR254)</f>
        <v>0</v>
      </c>
    </row>
    <row r="256" spans="1:46" x14ac:dyDescent="0.2">
      <c r="A256">
        <f t="shared" si="126"/>
        <v>126</v>
      </c>
      <c r="B256" t="s">
        <v>366</v>
      </c>
      <c r="C256">
        <v>48</v>
      </c>
      <c r="D256">
        <f>16.35117682*1.059464^C256</f>
        <v>261.62956379894968</v>
      </c>
      <c r="E256">
        <f t="shared" si="127"/>
        <v>126</v>
      </c>
      <c r="F256" t="s">
        <v>444</v>
      </c>
      <c r="G256">
        <v>43</v>
      </c>
      <c r="H256">
        <f>16.35117682*1.059464^G256</f>
        <v>195.99987576438383</v>
      </c>
      <c r="I256">
        <f t="shared" si="128"/>
        <v>126</v>
      </c>
      <c r="J256" t="s">
        <v>80</v>
      </c>
      <c r="K256">
        <v>36</v>
      </c>
      <c r="L256">
        <f>16.35117682*1.059464^K256</f>
        <v>130.81344004395982</v>
      </c>
      <c r="M256">
        <f t="shared" si="129"/>
        <v>126</v>
      </c>
      <c r="N256" t="s">
        <v>454</v>
      </c>
      <c r="O256">
        <v>31</v>
      </c>
      <c r="P256">
        <f>16.35117682*1.059464^O256</f>
        <v>97.998932630681253</v>
      </c>
      <c r="Q256">
        <f t="shared" si="130"/>
        <v>126</v>
      </c>
      <c r="R256" t="s">
        <v>34</v>
      </c>
      <c r="S256">
        <v>24</v>
      </c>
      <c r="T256">
        <f>16.35117682*1.059464^S256</f>
        <v>65.406049101104529</v>
      </c>
      <c r="V256">
        <v>122</v>
      </c>
      <c r="W256" t="s">
        <v>265</v>
      </c>
      <c r="X256">
        <v>60</v>
      </c>
      <c r="Y256">
        <f t="shared" si="147"/>
        <v>523.26449507501752</v>
      </c>
      <c r="Z256">
        <f t="shared" si="149"/>
        <v>0</v>
      </c>
      <c r="AA256">
        <v>122</v>
      </c>
      <c r="AF256">
        <v>122</v>
      </c>
      <c r="AK256">
        <v>126</v>
      </c>
      <c r="AL256" t="s">
        <v>454</v>
      </c>
      <c r="AM256">
        <v>31</v>
      </c>
      <c r="AN256">
        <f t="shared" si="148"/>
        <v>97.998932630681253</v>
      </c>
      <c r="AO256">
        <f t="shared" si="150"/>
        <v>0</v>
      </c>
      <c r="AP256">
        <v>126</v>
      </c>
      <c r="AQ256" t="s">
        <v>34</v>
      </c>
      <c r="AR256">
        <v>24</v>
      </c>
      <c r="AS256">
        <f t="shared" si="151"/>
        <v>65.406049101104529</v>
      </c>
      <c r="AT256">
        <f>ABS(AR256-AR255)</f>
        <v>0</v>
      </c>
    </row>
    <row r="257" spans="1:48" x14ac:dyDescent="0.2">
      <c r="A257">
        <f t="shared" si="126"/>
        <v>126.5</v>
      </c>
      <c r="E257">
        <f t="shared" si="127"/>
        <v>126.5</v>
      </c>
      <c r="I257">
        <f t="shared" si="128"/>
        <v>126.5</v>
      </c>
      <c r="M257">
        <f t="shared" si="129"/>
        <v>126.5</v>
      </c>
      <c r="Q257">
        <f t="shared" si="130"/>
        <v>126.5</v>
      </c>
      <c r="V257">
        <v>124</v>
      </c>
      <c r="W257" t="s">
        <v>32</v>
      </c>
      <c r="X257">
        <v>48</v>
      </c>
      <c r="Y257">
        <f t="shared" si="147"/>
        <v>261.62956379894968</v>
      </c>
      <c r="Z257">
        <f t="shared" si="149"/>
        <v>12</v>
      </c>
      <c r="AA257">
        <v>124</v>
      </c>
      <c r="AB257" t="s">
        <v>444</v>
      </c>
      <c r="AC257">
        <v>43</v>
      </c>
      <c r="AD257">
        <f>16.35117682*1.059464^AC257</f>
        <v>195.99987576438383</v>
      </c>
      <c r="AE257">
        <f>ABS(AC257-X256)</f>
        <v>17</v>
      </c>
      <c r="AF257">
        <v>124</v>
      </c>
      <c r="AG257" t="s">
        <v>488</v>
      </c>
      <c r="AH257">
        <v>36</v>
      </c>
      <c r="AI257">
        <f>16.35117682*1.059464^AH257</f>
        <v>130.81344004395982</v>
      </c>
      <c r="AJ257">
        <f>ABS(AH257-X256)</f>
        <v>24</v>
      </c>
      <c r="AK257">
        <v>128</v>
      </c>
      <c r="AL257" t="s">
        <v>474</v>
      </c>
      <c r="AM257">
        <v>24</v>
      </c>
      <c r="AN257">
        <f t="shared" si="148"/>
        <v>65.406049101104529</v>
      </c>
      <c r="AO257">
        <f t="shared" si="150"/>
        <v>7</v>
      </c>
      <c r="AP257">
        <v>128</v>
      </c>
      <c r="AQ257" t="s">
        <v>358</v>
      </c>
      <c r="AR257">
        <v>12</v>
      </c>
      <c r="AS257">
        <f t="shared" si="151"/>
        <v>32.702689093555627</v>
      </c>
      <c r="AT257">
        <f>ABS(AR257-AR256)</f>
        <v>12</v>
      </c>
    </row>
    <row r="258" spans="1:48" x14ac:dyDescent="0.2">
      <c r="A258">
        <f t="shared" si="126"/>
        <v>127</v>
      </c>
      <c r="B258" t="s">
        <v>181</v>
      </c>
      <c r="C258">
        <v>72</v>
      </c>
      <c r="D258">
        <f>16.35117682*1.059464^C258</f>
        <v>1046.5397252143878</v>
      </c>
      <c r="E258">
        <f t="shared" si="127"/>
        <v>127</v>
      </c>
      <c r="F258" t="s">
        <v>450</v>
      </c>
      <c r="G258">
        <v>67</v>
      </c>
      <c r="H258">
        <f>16.35117682*1.059464^G258</f>
        <v>784.01558732918636</v>
      </c>
      <c r="I258">
        <f t="shared" si="128"/>
        <v>127</v>
      </c>
      <c r="J258" t="s">
        <v>179</v>
      </c>
      <c r="K258">
        <v>60</v>
      </c>
      <c r="L258">
        <f>16.35117682*1.059464^K258</f>
        <v>523.26449507501752</v>
      </c>
      <c r="M258">
        <f t="shared" si="129"/>
        <v>127</v>
      </c>
      <c r="N258" t="s">
        <v>251</v>
      </c>
      <c r="O258">
        <v>55</v>
      </c>
      <c r="P258">
        <f>16.35117682*1.059464^O258</f>
        <v>392.00377257605692</v>
      </c>
      <c r="Q258">
        <f t="shared" si="130"/>
        <v>127</v>
      </c>
      <c r="R258" t="s">
        <v>361</v>
      </c>
      <c r="S258">
        <v>48</v>
      </c>
      <c r="T258">
        <f>16.35117682*1.059464^S258</f>
        <v>261.62956379894968</v>
      </c>
      <c r="V258">
        <v>125.5</v>
      </c>
      <c r="W258" t="s">
        <v>33</v>
      </c>
      <c r="X258">
        <v>46</v>
      </c>
      <c r="Y258">
        <f t="shared" si="147"/>
        <v>233.08504452861115</v>
      </c>
      <c r="Z258">
        <f t="shared" si="149"/>
        <v>2</v>
      </c>
      <c r="AA258">
        <v>125.5</v>
      </c>
      <c r="AB258" t="s">
        <v>444</v>
      </c>
      <c r="AC258">
        <v>43</v>
      </c>
      <c r="AD258">
        <f>16.35117682*1.059464^AC258</f>
        <v>195.99987576438383</v>
      </c>
      <c r="AE258">
        <f>ABS(AC258-AC257)</f>
        <v>0</v>
      </c>
      <c r="AF258">
        <v>125.5</v>
      </c>
      <c r="AG258" t="s">
        <v>81</v>
      </c>
      <c r="AH258">
        <v>34</v>
      </c>
      <c r="AI258">
        <f>16.35117682*1.059464^AH258</f>
        <v>116.54132680899107</v>
      </c>
      <c r="AJ258">
        <f>ABS(AH258-AH257)</f>
        <v>2</v>
      </c>
    </row>
    <row r="259" spans="1:48" x14ac:dyDescent="0.2">
      <c r="A259">
        <f t="shared" si="126"/>
        <v>127.5</v>
      </c>
      <c r="E259">
        <f t="shared" si="127"/>
        <v>127.5</v>
      </c>
      <c r="I259">
        <f t="shared" si="128"/>
        <v>127.5</v>
      </c>
      <c r="M259">
        <f t="shared" si="129"/>
        <v>127.5</v>
      </c>
      <c r="Q259">
        <f t="shared" si="130"/>
        <v>127.5</v>
      </c>
      <c r="V259">
        <v>127</v>
      </c>
      <c r="W259" t="s">
        <v>181</v>
      </c>
      <c r="X259">
        <v>72</v>
      </c>
      <c r="Y259">
        <f t="shared" si="147"/>
        <v>1046.5397252143878</v>
      </c>
      <c r="Z259">
        <f t="shared" si="149"/>
        <v>26</v>
      </c>
      <c r="AA259">
        <v>127</v>
      </c>
      <c r="AB259" t="s">
        <v>450</v>
      </c>
      <c r="AC259">
        <v>67</v>
      </c>
      <c r="AD259">
        <f>16.35117682*1.059464^AC259</f>
        <v>784.01558732918636</v>
      </c>
      <c r="AE259">
        <f>ABS(AC259-AC258)</f>
        <v>24</v>
      </c>
      <c r="AF259">
        <v>127</v>
      </c>
      <c r="AG259" t="s">
        <v>20</v>
      </c>
      <c r="AH259">
        <v>60</v>
      </c>
      <c r="AI259">
        <f>16.35117682*1.059464^AH259</f>
        <v>523.26449507501752</v>
      </c>
      <c r="AJ259">
        <f>ABS(AH259-AH258)</f>
        <v>26</v>
      </c>
    </row>
    <row r="260" spans="1:48" x14ac:dyDescent="0.2">
      <c r="A260">
        <f t="shared" si="126"/>
        <v>128</v>
      </c>
      <c r="B260" t="s">
        <v>237</v>
      </c>
      <c r="C260">
        <v>36</v>
      </c>
      <c r="D260">
        <f>16.35117682*1.059464^C260</f>
        <v>130.81344004395982</v>
      </c>
      <c r="E260">
        <f t="shared" si="127"/>
        <v>128</v>
      </c>
      <c r="I260">
        <f t="shared" si="128"/>
        <v>128</v>
      </c>
      <c r="M260">
        <f t="shared" si="129"/>
        <v>128</v>
      </c>
      <c r="N260" t="s">
        <v>474</v>
      </c>
      <c r="O260">
        <v>24</v>
      </c>
      <c r="P260">
        <f>16.35117682*1.059464^O260</f>
        <v>65.406049101104529</v>
      </c>
      <c r="Q260">
        <f t="shared" si="130"/>
        <v>128</v>
      </c>
      <c r="R260" t="s">
        <v>358</v>
      </c>
      <c r="S260">
        <v>12</v>
      </c>
      <c r="T260">
        <f>16.35117682*1.059464^S260</f>
        <v>32.702689093555627</v>
      </c>
    </row>
    <row r="261" spans="1:48" x14ac:dyDescent="0.2">
      <c r="W261" s="3" t="s">
        <v>406</v>
      </c>
    </row>
    <row r="262" spans="1:48" x14ac:dyDescent="0.2">
      <c r="W262" t="s">
        <v>460</v>
      </c>
      <c r="AB262" t="s">
        <v>464</v>
      </c>
      <c r="AG262" t="s">
        <v>465</v>
      </c>
      <c r="AL262" t="s">
        <v>466</v>
      </c>
      <c r="AQ262" t="s">
        <v>467</v>
      </c>
    </row>
    <row r="263" spans="1:48" x14ac:dyDescent="0.2">
      <c r="V263" t="s">
        <v>461</v>
      </c>
      <c r="W263" t="s">
        <v>462</v>
      </c>
      <c r="X263" t="s">
        <v>473</v>
      </c>
      <c r="Y263" t="s">
        <v>463</v>
      </c>
      <c r="Z263" t="s">
        <v>404</v>
      </c>
      <c r="AA263" t="s">
        <v>461</v>
      </c>
      <c r="AB263" t="s">
        <v>462</v>
      </c>
      <c r="AC263" t="s">
        <v>473</v>
      </c>
      <c r="AD263" t="s">
        <v>463</v>
      </c>
      <c r="AE263" t="s">
        <v>404</v>
      </c>
      <c r="AF263" t="s">
        <v>461</v>
      </c>
      <c r="AG263" t="s">
        <v>462</v>
      </c>
      <c r="AH263" t="s">
        <v>473</v>
      </c>
      <c r="AI263" t="s">
        <v>463</v>
      </c>
      <c r="AJ263" t="s">
        <v>404</v>
      </c>
      <c r="AK263" t="s">
        <v>461</v>
      </c>
      <c r="AL263" t="s">
        <v>462</v>
      </c>
      <c r="AM263" t="s">
        <v>473</v>
      </c>
      <c r="AN263" t="s">
        <v>463</v>
      </c>
      <c r="AO263" t="s">
        <v>404</v>
      </c>
      <c r="AP263" t="s">
        <v>461</v>
      </c>
      <c r="AQ263" t="s">
        <v>462</v>
      </c>
      <c r="AR263" t="s">
        <v>473</v>
      </c>
      <c r="AS263" t="s">
        <v>463</v>
      </c>
      <c r="AT263" t="s">
        <v>404</v>
      </c>
      <c r="AU263" t="s">
        <v>470</v>
      </c>
    </row>
    <row r="264" spans="1:48" x14ac:dyDescent="0.2">
      <c r="V264">
        <v>0</v>
      </c>
      <c r="W264" t="s">
        <v>323</v>
      </c>
      <c r="X264">
        <v>48</v>
      </c>
      <c r="Y264">
        <f t="shared" ref="Y264:Y305" si="152">16.35117682*1.059464^X264</f>
        <v>261.62956379894968</v>
      </c>
      <c r="AA264">
        <v>0</v>
      </c>
      <c r="AF264">
        <v>0</v>
      </c>
      <c r="AK264">
        <v>0</v>
      </c>
      <c r="AL264" t="s">
        <v>80</v>
      </c>
      <c r="AM264">
        <v>36</v>
      </c>
      <c r="AN264">
        <f t="shared" ref="AN264:AN304" si="153">16.35117682*1.059464^AM264</f>
        <v>130.81344004395982</v>
      </c>
      <c r="AP264">
        <v>0</v>
      </c>
    </row>
    <row r="265" spans="1:48" x14ac:dyDescent="0.2">
      <c r="V265">
        <v>3</v>
      </c>
      <c r="W265" t="s">
        <v>23</v>
      </c>
      <c r="X265">
        <v>55</v>
      </c>
      <c r="Y265">
        <f t="shared" si="152"/>
        <v>392.00377257605692</v>
      </c>
      <c r="Z265">
        <f t="shared" ref="Z265:Z305" si="154">ABS(X265-X264)</f>
        <v>7</v>
      </c>
      <c r="AA265">
        <v>3</v>
      </c>
      <c r="AB265" t="s">
        <v>222</v>
      </c>
      <c r="AC265">
        <v>51</v>
      </c>
      <c r="AD265">
        <f>16.35117682*1.059464^AC265</f>
        <v>311.13253664194741</v>
      </c>
      <c r="AE265">
        <f>ABS(AC265-X264)</f>
        <v>3</v>
      </c>
      <c r="AF265">
        <v>3</v>
      </c>
      <c r="AG265" t="s">
        <v>483</v>
      </c>
      <c r="AH265">
        <v>44</v>
      </c>
      <c r="AI265">
        <f>16.35117682*1.059464^AH265</f>
        <v>207.65481237683719</v>
      </c>
      <c r="AJ265">
        <f>ABS(AH265-X264)</f>
        <v>4</v>
      </c>
      <c r="AK265">
        <v>3</v>
      </c>
      <c r="AL265" t="s">
        <v>485</v>
      </c>
      <c r="AM265">
        <v>39</v>
      </c>
      <c r="AN265">
        <f t="shared" si="153"/>
        <v>155.56467257275574</v>
      </c>
      <c r="AO265">
        <f t="shared" ref="AO265:AO304" si="155">ABS(AM265-AM264)</f>
        <v>3</v>
      </c>
      <c r="AP265">
        <v>3</v>
      </c>
      <c r="AQ265" t="s">
        <v>312</v>
      </c>
      <c r="AR265">
        <v>29</v>
      </c>
      <c r="AS265">
        <f>16.35117682*1.059464^AR265</f>
        <v>87.306974197808145</v>
      </c>
      <c r="AT265">
        <f>ABS(AR265-AM264)</f>
        <v>7</v>
      </c>
      <c r="AU265" t="s">
        <v>355</v>
      </c>
      <c r="AV265" t="s">
        <v>396</v>
      </c>
    </row>
    <row r="266" spans="1:48" x14ac:dyDescent="0.2">
      <c r="V266">
        <v>7</v>
      </c>
      <c r="W266" t="s">
        <v>223</v>
      </c>
      <c r="X266">
        <v>50</v>
      </c>
      <c r="Y266">
        <f t="shared" si="152"/>
        <v>293.66975814369101</v>
      </c>
      <c r="Z266">
        <f t="shared" si="154"/>
        <v>5</v>
      </c>
      <c r="AA266">
        <v>7</v>
      </c>
      <c r="AB266" t="s">
        <v>443</v>
      </c>
      <c r="AC266">
        <v>47</v>
      </c>
      <c r="AD266">
        <f>16.35117682*1.059464^AC266</f>
        <v>246.94521361646048</v>
      </c>
      <c r="AE266">
        <f>ABS(AC266-AC265)</f>
        <v>4</v>
      </c>
      <c r="AF266">
        <v>7</v>
      </c>
      <c r="AG266" t="s">
        <v>444</v>
      </c>
      <c r="AH266">
        <v>43</v>
      </c>
      <c r="AI266">
        <f>16.35117682*1.059464^AH266</f>
        <v>195.99987576438383</v>
      </c>
      <c r="AJ266">
        <f>ABS(AH266-AH265)</f>
        <v>1</v>
      </c>
      <c r="AK266">
        <v>7</v>
      </c>
      <c r="AL266" t="s">
        <v>84</v>
      </c>
      <c r="AM266">
        <v>35</v>
      </c>
      <c r="AN266">
        <f t="shared" si="153"/>
        <v>123.4713402663609</v>
      </c>
      <c r="AO266">
        <f t="shared" si="155"/>
        <v>4</v>
      </c>
      <c r="AP266">
        <v>7</v>
      </c>
      <c r="AQ266" t="s">
        <v>315</v>
      </c>
      <c r="AR266">
        <v>31</v>
      </c>
      <c r="AS266">
        <f>16.35117682*1.059464^AR266</f>
        <v>97.998932630681253</v>
      </c>
      <c r="AT266">
        <f>ABS(AR266-AR265)</f>
        <v>2</v>
      </c>
      <c r="AU266">
        <f>SUM(Z265:Z305,AE265:AE266,AE268,AE271,AE274,AE276:AE281,AE289,AE291,AE297,AE305)</f>
        <v>275</v>
      </c>
      <c r="AV266">
        <f>(305-263)+(9)*2+6</f>
        <v>66</v>
      </c>
    </row>
    <row r="267" spans="1:48" x14ac:dyDescent="0.2">
      <c r="V267">
        <v>10</v>
      </c>
      <c r="W267" t="s">
        <v>323</v>
      </c>
      <c r="X267">
        <v>48</v>
      </c>
      <c r="Y267">
        <f t="shared" si="152"/>
        <v>261.62956379894968</v>
      </c>
      <c r="Z267">
        <f t="shared" si="154"/>
        <v>2</v>
      </c>
      <c r="AA267">
        <v>10</v>
      </c>
      <c r="AF267">
        <v>10</v>
      </c>
      <c r="AK267">
        <v>10</v>
      </c>
      <c r="AL267" t="s">
        <v>80</v>
      </c>
      <c r="AM267">
        <v>36</v>
      </c>
      <c r="AN267">
        <f t="shared" si="153"/>
        <v>130.81344004395982</v>
      </c>
      <c r="AO267">
        <f t="shared" si="155"/>
        <v>1</v>
      </c>
      <c r="AP267">
        <v>10</v>
      </c>
    </row>
    <row r="268" spans="1:48" x14ac:dyDescent="0.2">
      <c r="V268">
        <v>14</v>
      </c>
      <c r="W268" t="s">
        <v>222</v>
      </c>
      <c r="X268">
        <v>51</v>
      </c>
      <c r="Y268">
        <f t="shared" si="152"/>
        <v>311.13253664194741</v>
      </c>
      <c r="Z268">
        <f t="shared" si="154"/>
        <v>3</v>
      </c>
      <c r="AA268">
        <v>14</v>
      </c>
      <c r="AB268" t="s">
        <v>446</v>
      </c>
      <c r="AC268">
        <v>48</v>
      </c>
      <c r="AD268">
        <f>16.35117682*1.059464^AC268</f>
        <v>261.62956379894968</v>
      </c>
      <c r="AE268">
        <f>ABS(AC268-X267)</f>
        <v>0</v>
      </c>
      <c r="AF268">
        <v>14</v>
      </c>
      <c r="AG268" t="s">
        <v>469</v>
      </c>
      <c r="AH268">
        <v>44</v>
      </c>
      <c r="AI268">
        <f>16.35117682*1.059464^AH268</f>
        <v>207.65481237683719</v>
      </c>
      <c r="AJ268">
        <f>ABS(AH268-X267)</f>
        <v>4</v>
      </c>
      <c r="AK268">
        <v>14</v>
      </c>
      <c r="AL268" t="s">
        <v>80</v>
      </c>
      <c r="AM268">
        <v>36</v>
      </c>
      <c r="AN268">
        <f t="shared" si="153"/>
        <v>130.81344004395982</v>
      </c>
      <c r="AO268">
        <f t="shared" si="155"/>
        <v>0</v>
      </c>
      <c r="AP268">
        <v>14</v>
      </c>
      <c r="AQ268" t="s">
        <v>314</v>
      </c>
      <c r="AR268">
        <v>32</v>
      </c>
      <c r="AS268">
        <f>16.35117682*1.059464^AR268</f>
        <v>103.82634116063208</v>
      </c>
      <c r="AT268">
        <f>ABS(AR268-AM267)</f>
        <v>4</v>
      </c>
      <c r="AU268" t="s">
        <v>356</v>
      </c>
    </row>
    <row r="269" spans="1:48" x14ac:dyDescent="0.2">
      <c r="V269">
        <v>17.5</v>
      </c>
      <c r="W269" t="s">
        <v>325</v>
      </c>
      <c r="X269">
        <v>46</v>
      </c>
      <c r="Y269">
        <f t="shared" si="152"/>
        <v>233.08504452861115</v>
      </c>
      <c r="Z269">
        <f t="shared" si="154"/>
        <v>5</v>
      </c>
      <c r="AA269">
        <v>17.5</v>
      </c>
      <c r="AF269">
        <v>17.5</v>
      </c>
      <c r="AK269">
        <v>17.5</v>
      </c>
      <c r="AL269" t="s">
        <v>81</v>
      </c>
      <c r="AM269">
        <v>34</v>
      </c>
      <c r="AN269">
        <f t="shared" si="153"/>
        <v>116.54132680899107</v>
      </c>
      <c r="AO269">
        <f t="shared" si="155"/>
        <v>2</v>
      </c>
      <c r="AP269">
        <v>17.5</v>
      </c>
      <c r="AU269">
        <f>AU266/(AV266-1)</f>
        <v>4.2307692307692308</v>
      </c>
    </row>
    <row r="270" spans="1:48" x14ac:dyDescent="0.2">
      <c r="V270">
        <v>19.5</v>
      </c>
      <c r="W270" t="s">
        <v>223</v>
      </c>
      <c r="X270">
        <v>50</v>
      </c>
      <c r="Y270">
        <f t="shared" si="152"/>
        <v>293.66975814369101</v>
      </c>
      <c r="Z270">
        <f t="shared" si="154"/>
        <v>4</v>
      </c>
      <c r="AA270">
        <v>19.5</v>
      </c>
      <c r="AF270">
        <v>19.5</v>
      </c>
      <c r="AK270">
        <v>19.5</v>
      </c>
      <c r="AL270" t="s">
        <v>82</v>
      </c>
      <c r="AM270">
        <v>38</v>
      </c>
      <c r="AN270">
        <f t="shared" si="153"/>
        <v>146.83337288738056</v>
      </c>
      <c r="AO270">
        <f t="shared" si="155"/>
        <v>4</v>
      </c>
      <c r="AP270">
        <v>19.5</v>
      </c>
    </row>
    <row r="271" spans="1:48" x14ac:dyDescent="0.2">
      <c r="V271">
        <v>23</v>
      </c>
      <c r="W271" t="s">
        <v>23</v>
      </c>
      <c r="X271">
        <v>55</v>
      </c>
      <c r="Y271">
        <f t="shared" si="152"/>
        <v>392.00377257605692</v>
      </c>
      <c r="Z271">
        <f t="shared" si="154"/>
        <v>5</v>
      </c>
      <c r="AA271">
        <v>23</v>
      </c>
      <c r="AB271" t="s">
        <v>213</v>
      </c>
      <c r="AC271">
        <v>51</v>
      </c>
      <c r="AD271">
        <f>16.35117682*1.059464^AC271</f>
        <v>311.13253664194741</v>
      </c>
      <c r="AE271">
        <f>ABS(AC271-X270)</f>
        <v>1</v>
      </c>
      <c r="AF271">
        <v>23</v>
      </c>
      <c r="AG271" t="s">
        <v>325</v>
      </c>
      <c r="AH271">
        <v>46</v>
      </c>
      <c r="AI271">
        <f>16.35117682*1.059464^AH271</f>
        <v>233.08504452861115</v>
      </c>
      <c r="AJ271">
        <f>ABS(AH271-X270)</f>
        <v>4</v>
      </c>
      <c r="AK271">
        <v>24</v>
      </c>
      <c r="AL271" t="s">
        <v>488</v>
      </c>
      <c r="AM271">
        <v>36</v>
      </c>
      <c r="AN271">
        <f t="shared" si="153"/>
        <v>130.81344004395982</v>
      </c>
      <c r="AO271">
        <f t="shared" si="155"/>
        <v>2</v>
      </c>
      <c r="AP271">
        <v>24</v>
      </c>
      <c r="AQ271" t="s">
        <v>316</v>
      </c>
      <c r="AR271">
        <v>25</v>
      </c>
      <c r="AS271">
        <f>16.35117682*1.059464^AR271</f>
        <v>69.295354404852617</v>
      </c>
      <c r="AT271">
        <f>ABS(AR271-AM270)</f>
        <v>13</v>
      </c>
    </row>
    <row r="272" spans="1:48" x14ac:dyDescent="0.2">
      <c r="V272">
        <v>26</v>
      </c>
      <c r="W272" t="s">
        <v>323</v>
      </c>
      <c r="X272">
        <v>48</v>
      </c>
      <c r="Y272">
        <f t="shared" si="152"/>
        <v>261.62956379894968</v>
      </c>
      <c r="Z272">
        <f t="shared" si="154"/>
        <v>7</v>
      </c>
      <c r="AA272">
        <v>26</v>
      </c>
      <c r="AF272">
        <v>26</v>
      </c>
      <c r="AK272">
        <v>26.5</v>
      </c>
      <c r="AL272" t="s">
        <v>85</v>
      </c>
      <c r="AM272">
        <v>34</v>
      </c>
      <c r="AN272">
        <f t="shared" si="153"/>
        <v>116.54132680899107</v>
      </c>
      <c r="AO272">
        <f t="shared" si="155"/>
        <v>2</v>
      </c>
      <c r="AP272">
        <v>26.5</v>
      </c>
      <c r="AU272" t="s">
        <v>472</v>
      </c>
    </row>
    <row r="273" spans="22:48" x14ac:dyDescent="0.2">
      <c r="V273">
        <v>28</v>
      </c>
      <c r="W273" t="s">
        <v>222</v>
      </c>
      <c r="X273">
        <v>51</v>
      </c>
      <c r="Y273">
        <f t="shared" si="152"/>
        <v>311.13253664194741</v>
      </c>
      <c r="Z273">
        <f t="shared" si="154"/>
        <v>3</v>
      </c>
      <c r="AA273">
        <v>28</v>
      </c>
      <c r="AF273">
        <v>28</v>
      </c>
      <c r="AK273">
        <v>29</v>
      </c>
      <c r="AL273" t="s">
        <v>484</v>
      </c>
      <c r="AM273">
        <v>39</v>
      </c>
      <c r="AN273">
        <f t="shared" si="153"/>
        <v>155.56467257275574</v>
      </c>
      <c r="AO273">
        <f t="shared" si="155"/>
        <v>5</v>
      </c>
      <c r="AP273">
        <v>29</v>
      </c>
      <c r="AQ273" t="s">
        <v>312</v>
      </c>
      <c r="AR273">
        <v>29</v>
      </c>
      <c r="AS273">
        <f>16.35117682*1.059464^AR273</f>
        <v>87.306974197808145</v>
      </c>
      <c r="AT273">
        <f>ABS(AR273-AM272)</f>
        <v>5</v>
      </c>
    </row>
    <row r="274" spans="22:48" x14ac:dyDescent="0.2">
      <c r="V274">
        <v>32</v>
      </c>
      <c r="W274" t="s">
        <v>323</v>
      </c>
      <c r="X274">
        <v>48</v>
      </c>
      <c r="Y274">
        <f t="shared" si="152"/>
        <v>261.62956379894968</v>
      </c>
      <c r="Z274">
        <f t="shared" si="154"/>
        <v>3</v>
      </c>
      <c r="AA274">
        <v>32</v>
      </c>
      <c r="AB274" t="s">
        <v>448</v>
      </c>
      <c r="AC274">
        <v>43</v>
      </c>
      <c r="AD274">
        <f>16.35117682*1.059464^AC274</f>
        <v>195.99987576438383</v>
      </c>
      <c r="AE274">
        <f>ABS(AC274-X273)</f>
        <v>8</v>
      </c>
      <c r="AF274">
        <v>32</v>
      </c>
      <c r="AG274" t="s">
        <v>485</v>
      </c>
      <c r="AH274">
        <v>39</v>
      </c>
      <c r="AI274">
        <f>16.35117682*1.059464^AH274</f>
        <v>155.56467257275574</v>
      </c>
      <c r="AJ274">
        <f>ABS(AH274-X273)</f>
        <v>12</v>
      </c>
      <c r="AK274">
        <v>33.5</v>
      </c>
      <c r="AL274" t="s">
        <v>325</v>
      </c>
      <c r="AM274">
        <v>34</v>
      </c>
      <c r="AN274">
        <f t="shared" si="153"/>
        <v>116.54132680899107</v>
      </c>
      <c r="AO274">
        <f t="shared" si="155"/>
        <v>5</v>
      </c>
      <c r="AP274">
        <v>33.5</v>
      </c>
      <c r="AU274" t="s">
        <v>235</v>
      </c>
      <c r="AV274" t="s">
        <v>396</v>
      </c>
    </row>
    <row r="275" spans="22:48" x14ac:dyDescent="0.2">
      <c r="V275">
        <v>34.5</v>
      </c>
      <c r="W275" t="s">
        <v>325</v>
      </c>
      <c r="X275">
        <v>46</v>
      </c>
      <c r="Y275">
        <f t="shared" si="152"/>
        <v>233.08504452861115</v>
      </c>
      <c r="Z275">
        <f t="shared" si="154"/>
        <v>2</v>
      </c>
      <c r="AA275">
        <v>34.5</v>
      </c>
      <c r="AF275">
        <v>34.5</v>
      </c>
      <c r="AK275">
        <v>35.5</v>
      </c>
      <c r="AL275" t="s">
        <v>485</v>
      </c>
      <c r="AM275">
        <v>38</v>
      </c>
      <c r="AN275">
        <f t="shared" si="153"/>
        <v>146.83337288738056</v>
      </c>
      <c r="AO275">
        <f t="shared" si="155"/>
        <v>4</v>
      </c>
      <c r="AP275">
        <v>35.5</v>
      </c>
      <c r="AU275">
        <f>SUM(AO265:AO304,AT265:AT266,AT268,AT271,AT273,AT276:AT280,AT288,AT290:AT291,AT293,AT296,AT302:AT304)</f>
        <v>323</v>
      </c>
      <c r="AV275">
        <f>(304-263)+9+5+3</f>
        <v>58</v>
      </c>
    </row>
    <row r="276" spans="22:48" x14ac:dyDescent="0.2">
      <c r="V276">
        <v>39</v>
      </c>
      <c r="W276" t="s">
        <v>371</v>
      </c>
      <c r="X276">
        <v>67</v>
      </c>
      <c r="Y276">
        <f t="shared" si="152"/>
        <v>784.01558732918636</v>
      </c>
      <c r="Z276">
        <f t="shared" si="154"/>
        <v>21</v>
      </c>
      <c r="AA276">
        <v>39</v>
      </c>
      <c r="AB276" t="s">
        <v>23</v>
      </c>
      <c r="AC276">
        <v>55</v>
      </c>
      <c r="AD276">
        <f t="shared" ref="AD276:AD281" si="156">16.35117682*1.059464^AC276</f>
        <v>392.00377257605692</v>
      </c>
      <c r="AE276">
        <f>ABS(AC276-X275)</f>
        <v>9</v>
      </c>
      <c r="AF276">
        <v>39</v>
      </c>
      <c r="AK276">
        <v>41.5</v>
      </c>
      <c r="AL276" t="s">
        <v>209</v>
      </c>
      <c r="AM276">
        <v>53</v>
      </c>
      <c r="AN276">
        <f t="shared" si="153"/>
        <v>349.23506143398839</v>
      </c>
      <c r="AO276">
        <f t="shared" si="155"/>
        <v>15</v>
      </c>
      <c r="AP276">
        <v>41.5</v>
      </c>
      <c r="AQ276" t="s">
        <v>318</v>
      </c>
      <c r="AR276">
        <v>41</v>
      </c>
      <c r="AS276">
        <f>16.35117682*1.059464^AR276</f>
        <v>174.61573954711864</v>
      </c>
      <c r="AT276">
        <f>ABS(AR276-AM275)</f>
        <v>3</v>
      </c>
    </row>
    <row r="277" spans="22:48" x14ac:dyDescent="0.2">
      <c r="V277">
        <v>43.5</v>
      </c>
      <c r="W277" t="s">
        <v>371</v>
      </c>
      <c r="X277">
        <v>67</v>
      </c>
      <c r="Y277">
        <f t="shared" si="152"/>
        <v>784.01558732918636</v>
      </c>
      <c r="Z277">
        <f t="shared" si="154"/>
        <v>0</v>
      </c>
      <c r="AA277">
        <v>43.5</v>
      </c>
      <c r="AB277" t="s">
        <v>23</v>
      </c>
      <c r="AC277">
        <v>55</v>
      </c>
      <c r="AD277">
        <f t="shared" si="156"/>
        <v>392.00377257605692</v>
      </c>
      <c r="AE277">
        <f>ABS(AC277-AC276)</f>
        <v>0</v>
      </c>
      <c r="AF277">
        <v>43.5</v>
      </c>
      <c r="AK277">
        <v>44.5</v>
      </c>
      <c r="AL277" t="s">
        <v>308</v>
      </c>
      <c r="AM277">
        <v>53</v>
      </c>
      <c r="AN277">
        <f t="shared" si="153"/>
        <v>349.23506143398839</v>
      </c>
      <c r="AO277">
        <f t="shared" si="155"/>
        <v>0</v>
      </c>
      <c r="AP277">
        <v>44.5</v>
      </c>
      <c r="AQ277" t="s">
        <v>318</v>
      </c>
      <c r="AR277">
        <v>41</v>
      </c>
      <c r="AS277">
        <f>16.35117682*1.059464^AR277</f>
        <v>174.61573954711864</v>
      </c>
      <c r="AT277">
        <f>ABS(AR277-AR276)</f>
        <v>0</v>
      </c>
      <c r="AU277" t="s">
        <v>236</v>
      </c>
    </row>
    <row r="278" spans="22:48" x14ac:dyDescent="0.2">
      <c r="V278">
        <v>45.5</v>
      </c>
      <c r="W278" t="s">
        <v>260</v>
      </c>
      <c r="X278">
        <v>67</v>
      </c>
      <c r="Y278">
        <f t="shared" si="152"/>
        <v>784.01558732918636</v>
      </c>
      <c r="Z278">
        <f t="shared" si="154"/>
        <v>0</v>
      </c>
      <c r="AA278">
        <v>45.5</v>
      </c>
      <c r="AB278" t="s">
        <v>23</v>
      </c>
      <c r="AC278">
        <v>55</v>
      </c>
      <c r="AD278">
        <f t="shared" si="156"/>
        <v>392.00377257605692</v>
      </c>
      <c r="AE278">
        <f>ABS(AC278-AC277)</f>
        <v>0</v>
      </c>
      <c r="AF278">
        <v>45.5</v>
      </c>
      <c r="AK278">
        <v>47</v>
      </c>
      <c r="AL278" t="s">
        <v>308</v>
      </c>
      <c r="AM278">
        <v>53</v>
      </c>
      <c r="AN278">
        <f t="shared" si="153"/>
        <v>349.23506143398839</v>
      </c>
      <c r="AO278">
        <f t="shared" si="155"/>
        <v>0</v>
      </c>
      <c r="AP278">
        <v>47</v>
      </c>
      <c r="AQ278" t="s">
        <v>318</v>
      </c>
      <c r="AR278">
        <v>41</v>
      </c>
      <c r="AS278">
        <f>16.35117682*1.059464^AR278</f>
        <v>174.61573954711864</v>
      </c>
      <c r="AT278">
        <f>ABS(AR278-AR277)</f>
        <v>0</v>
      </c>
      <c r="AU278">
        <f>AU275/(AV275-1)</f>
        <v>5.666666666666667</v>
      </c>
    </row>
    <row r="279" spans="22:48" x14ac:dyDescent="0.2">
      <c r="V279">
        <v>48.5</v>
      </c>
      <c r="W279" t="s">
        <v>261</v>
      </c>
      <c r="X279">
        <v>63</v>
      </c>
      <c r="Y279">
        <f t="shared" si="152"/>
        <v>622.27145634224212</v>
      </c>
      <c r="Z279">
        <f t="shared" si="154"/>
        <v>4</v>
      </c>
      <c r="AA279">
        <v>48.5</v>
      </c>
      <c r="AB279" t="s">
        <v>222</v>
      </c>
      <c r="AC279">
        <v>51</v>
      </c>
      <c r="AD279">
        <f t="shared" si="156"/>
        <v>311.13253664194741</v>
      </c>
      <c r="AE279">
        <f>ABS(AC279-AC278)</f>
        <v>4</v>
      </c>
      <c r="AF279">
        <v>48.5</v>
      </c>
      <c r="AK279">
        <v>49.5</v>
      </c>
      <c r="AL279" t="s">
        <v>308</v>
      </c>
      <c r="AM279">
        <v>53</v>
      </c>
      <c r="AN279">
        <f t="shared" si="153"/>
        <v>349.23506143398839</v>
      </c>
      <c r="AO279">
        <f t="shared" si="155"/>
        <v>0</v>
      </c>
      <c r="AP279">
        <v>49.5</v>
      </c>
      <c r="AQ279" t="s">
        <v>318</v>
      </c>
      <c r="AR279">
        <v>41</v>
      </c>
      <c r="AS279">
        <f>16.35117682*1.059464^AR279</f>
        <v>174.61573954711864</v>
      </c>
      <c r="AT279">
        <f>ABS(AR279-AR278)</f>
        <v>0</v>
      </c>
    </row>
    <row r="280" spans="22:48" x14ac:dyDescent="0.2">
      <c r="V280">
        <v>50.5</v>
      </c>
      <c r="W280" t="s">
        <v>264</v>
      </c>
      <c r="X280">
        <v>63</v>
      </c>
      <c r="Y280">
        <f t="shared" si="152"/>
        <v>622.27145634224212</v>
      </c>
      <c r="Z280">
        <f t="shared" si="154"/>
        <v>0</v>
      </c>
      <c r="AA280">
        <v>50.5</v>
      </c>
      <c r="AB280" t="s">
        <v>222</v>
      </c>
      <c r="AC280">
        <v>51</v>
      </c>
      <c r="AD280">
        <f t="shared" si="156"/>
        <v>311.13253664194741</v>
      </c>
      <c r="AE280">
        <f>ABS(AC280-AC279)</f>
        <v>0</v>
      </c>
      <c r="AF280">
        <v>50.5</v>
      </c>
      <c r="AK280">
        <v>51.5</v>
      </c>
      <c r="AL280" t="s">
        <v>325</v>
      </c>
      <c r="AM280">
        <v>46</v>
      </c>
      <c r="AN280">
        <f t="shared" si="153"/>
        <v>233.08504452861115</v>
      </c>
      <c r="AO280">
        <f t="shared" si="155"/>
        <v>7</v>
      </c>
      <c r="AP280">
        <v>51.5</v>
      </c>
      <c r="AQ280" t="s">
        <v>85</v>
      </c>
      <c r="AR280">
        <v>34</v>
      </c>
      <c r="AS280">
        <f>16.35117682*1.059464^AR280</f>
        <v>116.54132680899107</v>
      </c>
      <c r="AT280">
        <f>ABS(AR280-AR279)</f>
        <v>7</v>
      </c>
    </row>
    <row r="281" spans="22:48" x14ac:dyDescent="0.2">
      <c r="V281">
        <v>53</v>
      </c>
      <c r="W281" t="s">
        <v>266</v>
      </c>
      <c r="X281">
        <v>56</v>
      </c>
      <c r="Y281">
        <f t="shared" si="152"/>
        <v>415.31388490851958</v>
      </c>
      <c r="Z281">
        <f t="shared" si="154"/>
        <v>7</v>
      </c>
      <c r="AA281">
        <v>53</v>
      </c>
      <c r="AB281" t="s">
        <v>449</v>
      </c>
      <c r="AC281">
        <v>44</v>
      </c>
      <c r="AD281">
        <f t="shared" si="156"/>
        <v>207.65481237683719</v>
      </c>
      <c r="AE281">
        <f>ABS(AC281-AC280)</f>
        <v>7</v>
      </c>
      <c r="AF281">
        <v>53</v>
      </c>
      <c r="AK281">
        <v>55</v>
      </c>
      <c r="AL281" t="s">
        <v>308</v>
      </c>
      <c r="AM281">
        <v>53</v>
      </c>
      <c r="AN281">
        <f t="shared" si="153"/>
        <v>349.23506143398839</v>
      </c>
      <c r="AO281">
        <f t="shared" si="155"/>
        <v>7</v>
      </c>
      <c r="AP281">
        <v>55</v>
      </c>
    </row>
    <row r="282" spans="22:48" x14ac:dyDescent="0.2">
      <c r="V282">
        <v>57.5</v>
      </c>
      <c r="W282" t="s">
        <v>23</v>
      </c>
      <c r="X282">
        <v>55</v>
      </c>
      <c r="Y282">
        <f t="shared" si="152"/>
        <v>392.00377257605692</v>
      </c>
      <c r="Z282">
        <f t="shared" si="154"/>
        <v>1</v>
      </c>
      <c r="AA282">
        <v>57.5</v>
      </c>
      <c r="AF282">
        <v>57.5</v>
      </c>
      <c r="AK282">
        <v>59.5</v>
      </c>
      <c r="AL282" t="s">
        <v>308</v>
      </c>
      <c r="AM282">
        <v>53</v>
      </c>
      <c r="AN282">
        <f t="shared" si="153"/>
        <v>349.23506143398839</v>
      </c>
      <c r="AO282">
        <f t="shared" si="155"/>
        <v>0</v>
      </c>
      <c r="AP282">
        <v>59.5</v>
      </c>
    </row>
    <row r="283" spans="22:48" x14ac:dyDescent="0.2">
      <c r="V283">
        <v>60.5</v>
      </c>
      <c r="W283" t="s">
        <v>23</v>
      </c>
      <c r="X283">
        <v>55</v>
      </c>
      <c r="Y283">
        <f t="shared" si="152"/>
        <v>392.00377257605692</v>
      </c>
      <c r="Z283">
        <f t="shared" si="154"/>
        <v>0</v>
      </c>
      <c r="AA283">
        <v>60.5</v>
      </c>
      <c r="AF283">
        <v>60.5</v>
      </c>
      <c r="AK283">
        <v>61.5</v>
      </c>
      <c r="AL283" t="s">
        <v>308</v>
      </c>
      <c r="AM283">
        <v>53</v>
      </c>
      <c r="AN283">
        <f t="shared" si="153"/>
        <v>349.23506143398839</v>
      </c>
      <c r="AO283">
        <f t="shared" si="155"/>
        <v>0</v>
      </c>
      <c r="AP283">
        <v>61.5</v>
      </c>
    </row>
    <row r="284" spans="22:48" x14ac:dyDescent="0.2">
      <c r="V284">
        <v>63</v>
      </c>
      <c r="W284" t="s">
        <v>23</v>
      </c>
      <c r="X284">
        <v>55</v>
      </c>
      <c r="Y284">
        <f t="shared" si="152"/>
        <v>392.00377257605692</v>
      </c>
      <c r="Z284">
        <f t="shared" si="154"/>
        <v>0</v>
      </c>
      <c r="AA284">
        <v>63</v>
      </c>
      <c r="AF284">
        <v>63</v>
      </c>
      <c r="AK284">
        <v>64.5</v>
      </c>
      <c r="AL284" t="s">
        <v>223</v>
      </c>
      <c r="AM284">
        <v>50</v>
      </c>
      <c r="AN284">
        <f t="shared" si="153"/>
        <v>293.66975814369101</v>
      </c>
      <c r="AO284">
        <f t="shared" si="155"/>
        <v>3</v>
      </c>
      <c r="AP284">
        <v>64.5</v>
      </c>
    </row>
    <row r="285" spans="22:48" x14ac:dyDescent="0.2">
      <c r="V285">
        <v>65.5</v>
      </c>
      <c r="W285" t="s">
        <v>23</v>
      </c>
      <c r="X285">
        <v>55</v>
      </c>
      <c r="Y285">
        <f t="shared" si="152"/>
        <v>392.00377257605692</v>
      </c>
      <c r="Z285">
        <f t="shared" si="154"/>
        <v>0</v>
      </c>
      <c r="AA285">
        <v>65.5</v>
      </c>
      <c r="AF285">
        <v>65.5</v>
      </c>
      <c r="AK285">
        <v>66.5</v>
      </c>
      <c r="AL285" t="s">
        <v>223</v>
      </c>
      <c r="AM285">
        <v>50</v>
      </c>
      <c r="AN285">
        <f t="shared" si="153"/>
        <v>293.66975814369101</v>
      </c>
      <c r="AO285">
        <f t="shared" si="155"/>
        <v>0</v>
      </c>
      <c r="AP285">
        <v>66.5</v>
      </c>
    </row>
    <row r="286" spans="22:48" x14ac:dyDescent="0.2">
      <c r="V286">
        <v>67.5</v>
      </c>
      <c r="W286" t="s">
        <v>323</v>
      </c>
      <c r="X286">
        <v>48</v>
      </c>
      <c r="Y286">
        <f t="shared" si="152"/>
        <v>261.62956379894968</v>
      </c>
      <c r="Z286">
        <f t="shared" si="154"/>
        <v>7</v>
      </c>
      <c r="AA286">
        <v>67.5</v>
      </c>
      <c r="AF286">
        <v>67.5</v>
      </c>
      <c r="AK286">
        <v>69</v>
      </c>
      <c r="AL286" t="s">
        <v>444</v>
      </c>
      <c r="AM286">
        <v>43</v>
      </c>
      <c r="AN286">
        <f t="shared" si="153"/>
        <v>195.99987576438383</v>
      </c>
      <c r="AO286">
        <f t="shared" si="155"/>
        <v>7</v>
      </c>
      <c r="AP286">
        <v>69</v>
      </c>
    </row>
    <row r="287" spans="22:48" x14ac:dyDescent="0.2">
      <c r="V287">
        <v>71</v>
      </c>
      <c r="W287" t="s">
        <v>211</v>
      </c>
      <c r="X287">
        <v>50</v>
      </c>
      <c r="Y287">
        <f t="shared" si="152"/>
        <v>293.66975814369101</v>
      </c>
      <c r="Z287">
        <f t="shared" si="154"/>
        <v>2</v>
      </c>
      <c r="AA287">
        <v>71</v>
      </c>
      <c r="AF287">
        <v>71</v>
      </c>
      <c r="AK287">
        <v>73.5</v>
      </c>
      <c r="AL287" t="s">
        <v>81</v>
      </c>
      <c r="AM287">
        <v>34</v>
      </c>
      <c r="AN287">
        <f t="shared" si="153"/>
        <v>116.54132680899107</v>
      </c>
      <c r="AO287">
        <f t="shared" si="155"/>
        <v>9</v>
      </c>
      <c r="AP287">
        <v>73.5</v>
      </c>
    </row>
    <row r="288" spans="22:48" x14ac:dyDescent="0.2">
      <c r="V288">
        <v>74</v>
      </c>
      <c r="W288" t="s">
        <v>323</v>
      </c>
      <c r="X288">
        <v>48</v>
      </c>
      <c r="Y288">
        <f t="shared" si="152"/>
        <v>261.62956379894968</v>
      </c>
      <c r="Z288">
        <f t="shared" si="154"/>
        <v>2</v>
      </c>
      <c r="AA288">
        <v>74</v>
      </c>
      <c r="AF288">
        <v>74</v>
      </c>
      <c r="AK288">
        <v>77</v>
      </c>
      <c r="AL288" t="s">
        <v>83</v>
      </c>
      <c r="AM288">
        <v>37</v>
      </c>
      <c r="AN288">
        <f t="shared" si="153"/>
        <v>138.5921304427338</v>
      </c>
      <c r="AO288">
        <f t="shared" si="155"/>
        <v>3</v>
      </c>
      <c r="AP288">
        <v>77</v>
      </c>
      <c r="AQ288" t="s">
        <v>313</v>
      </c>
      <c r="AR288">
        <v>27</v>
      </c>
      <c r="AS288">
        <f>16.35117682*1.059464^AR288</f>
        <v>77.781538420453217</v>
      </c>
      <c r="AT288">
        <f>ABS(AR288-AM287)</f>
        <v>7</v>
      </c>
    </row>
    <row r="289" spans="22:46" x14ac:dyDescent="0.2">
      <c r="V289">
        <v>78</v>
      </c>
      <c r="W289" t="s">
        <v>222</v>
      </c>
      <c r="X289">
        <v>51</v>
      </c>
      <c r="Y289">
        <f t="shared" si="152"/>
        <v>311.13253664194741</v>
      </c>
      <c r="Z289">
        <f t="shared" si="154"/>
        <v>3</v>
      </c>
      <c r="AA289">
        <v>78</v>
      </c>
      <c r="AB289" t="s">
        <v>323</v>
      </c>
      <c r="AC289">
        <v>48</v>
      </c>
      <c r="AD289">
        <f>16.35117682*1.059464^AC289</f>
        <v>261.62956379894968</v>
      </c>
      <c r="AE289">
        <f>ABS(AC289-X288)</f>
        <v>0</v>
      </c>
      <c r="AF289">
        <v>78</v>
      </c>
      <c r="AG289" t="s">
        <v>449</v>
      </c>
      <c r="AH289">
        <v>44</v>
      </c>
      <c r="AI289">
        <f>16.35117682*1.059464^AH289</f>
        <v>207.65481237683719</v>
      </c>
      <c r="AJ289">
        <f>ABS(AH289-X288)</f>
        <v>4</v>
      </c>
      <c r="AK289">
        <v>81</v>
      </c>
      <c r="AL289" t="s">
        <v>80</v>
      </c>
      <c r="AM289">
        <v>36</v>
      </c>
      <c r="AN289">
        <f t="shared" si="153"/>
        <v>130.81344004395982</v>
      </c>
      <c r="AO289">
        <f t="shared" si="155"/>
        <v>1</v>
      </c>
      <c r="AP289">
        <v>81</v>
      </c>
    </row>
    <row r="290" spans="22:46" x14ac:dyDescent="0.2">
      <c r="V290">
        <v>81.5</v>
      </c>
      <c r="W290" t="s">
        <v>325</v>
      </c>
      <c r="X290">
        <v>46</v>
      </c>
      <c r="Y290">
        <f t="shared" si="152"/>
        <v>233.08504452861115</v>
      </c>
      <c r="Z290">
        <f t="shared" si="154"/>
        <v>5</v>
      </c>
      <c r="AA290">
        <v>81.5</v>
      </c>
      <c r="AF290">
        <v>81.5</v>
      </c>
      <c r="AK290">
        <v>84</v>
      </c>
      <c r="AL290" t="s">
        <v>82</v>
      </c>
      <c r="AM290">
        <v>38</v>
      </c>
      <c r="AN290">
        <f t="shared" si="153"/>
        <v>146.83337288738056</v>
      </c>
      <c r="AO290">
        <f t="shared" si="155"/>
        <v>2</v>
      </c>
      <c r="AP290">
        <v>84</v>
      </c>
      <c r="AQ290" t="s">
        <v>85</v>
      </c>
      <c r="AR290">
        <v>34</v>
      </c>
      <c r="AS290">
        <f>16.35117682*1.059464^AR290</f>
        <v>116.54132680899107</v>
      </c>
      <c r="AT290">
        <f>ABS(AR290-AM289)</f>
        <v>2</v>
      </c>
    </row>
    <row r="291" spans="22:46" x14ac:dyDescent="0.2">
      <c r="V291">
        <v>85</v>
      </c>
      <c r="W291" t="s">
        <v>308</v>
      </c>
      <c r="X291">
        <v>53</v>
      </c>
      <c r="Y291">
        <f t="shared" si="152"/>
        <v>349.23506143398839</v>
      </c>
      <c r="Z291">
        <f t="shared" si="154"/>
        <v>7</v>
      </c>
      <c r="AA291">
        <v>85</v>
      </c>
      <c r="AB291" t="s">
        <v>224</v>
      </c>
      <c r="AC291">
        <v>49</v>
      </c>
      <c r="AD291">
        <f>16.35117682*1.059464^AC291</f>
        <v>277.18710418069043</v>
      </c>
      <c r="AE291">
        <f>ABS(AC291-X290)</f>
        <v>3</v>
      </c>
      <c r="AF291">
        <v>85</v>
      </c>
      <c r="AG291" t="s">
        <v>483</v>
      </c>
      <c r="AH291">
        <v>43</v>
      </c>
      <c r="AI291">
        <f>16.35117682*1.059464^AH291</f>
        <v>195.99987576438383</v>
      </c>
      <c r="AJ291">
        <f>ABS(AH291-X290)</f>
        <v>3</v>
      </c>
      <c r="AK291">
        <v>88</v>
      </c>
      <c r="AL291" t="s">
        <v>488</v>
      </c>
      <c r="AM291">
        <v>36</v>
      </c>
      <c r="AN291">
        <f t="shared" si="153"/>
        <v>130.81344004395982</v>
      </c>
      <c r="AO291">
        <f t="shared" si="155"/>
        <v>2</v>
      </c>
      <c r="AP291">
        <v>88</v>
      </c>
      <c r="AQ291" t="s">
        <v>34</v>
      </c>
      <c r="AR291">
        <v>24</v>
      </c>
      <c r="AS291">
        <f>16.35117682*1.059464^AR291</f>
        <v>65.406049101104529</v>
      </c>
      <c r="AT291">
        <f>ABS(AR291-AR290)</f>
        <v>10</v>
      </c>
    </row>
    <row r="292" spans="22:46" x14ac:dyDescent="0.2">
      <c r="V292">
        <v>89</v>
      </c>
      <c r="W292" t="s">
        <v>323</v>
      </c>
      <c r="X292">
        <v>48</v>
      </c>
      <c r="Y292">
        <f t="shared" si="152"/>
        <v>261.62956379894968</v>
      </c>
      <c r="Z292">
        <f t="shared" si="154"/>
        <v>5</v>
      </c>
      <c r="AA292">
        <v>89</v>
      </c>
      <c r="AF292">
        <v>89</v>
      </c>
      <c r="AK292">
        <v>90.5</v>
      </c>
      <c r="AL292" t="s">
        <v>85</v>
      </c>
      <c r="AM292">
        <v>34</v>
      </c>
      <c r="AN292">
        <f t="shared" si="153"/>
        <v>116.54132680899107</v>
      </c>
      <c r="AO292">
        <f t="shared" si="155"/>
        <v>2</v>
      </c>
      <c r="AP292">
        <v>90.5</v>
      </c>
    </row>
    <row r="293" spans="22:46" x14ac:dyDescent="0.2">
      <c r="V293">
        <v>91</v>
      </c>
      <c r="W293" t="s">
        <v>323</v>
      </c>
      <c r="X293">
        <v>48</v>
      </c>
      <c r="Y293">
        <f t="shared" si="152"/>
        <v>261.62956379894968</v>
      </c>
      <c r="Z293">
        <f t="shared" si="154"/>
        <v>0</v>
      </c>
      <c r="AA293">
        <v>91</v>
      </c>
      <c r="AF293">
        <v>91</v>
      </c>
      <c r="AK293">
        <v>93</v>
      </c>
      <c r="AL293" t="s">
        <v>485</v>
      </c>
      <c r="AM293">
        <v>39</v>
      </c>
      <c r="AN293">
        <f t="shared" si="153"/>
        <v>155.56467257275574</v>
      </c>
      <c r="AO293">
        <f t="shared" si="155"/>
        <v>5</v>
      </c>
      <c r="AP293">
        <v>93</v>
      </c>
      <c r="AQ293" t="s">
        <v>312</v>
      </c>
      <c r="AR293">
        <v>29</v>
      </c>
      <c r="AS293">
        <f>16.35117682*1.059464^AR293</f>
        <v>87.306974197808145</v>
      </c>
      <c r="AT293">
        <f>ABS(AR293-AM292)</f>
        <v>5</v>
      </c>
    </row>
    <row r="294" spans="22:46" x14ac:dyDescent="0.2">
      <c r="V294">
        <v>94</v>
      </c>
      <c r="W294" t="s">
        <v>486</v>
      </c>
      <c r="X294">
        <v>45</v>
      </c>
      <c r="Y294">
        <f t="shared" si="152"/>
        <v>220.00279814001337</v>
      </c>
      <c r="Z294">
        <f t="shared" si="154"/>
        <v>3</v>
      </c>
      <c r="AA294">
        <v>94</v>
      </c>
      <c r="AF294">
        <v>94</v>
      </c>
      <c r="AK294">
        <v>97.5</v>
      </c>
      <c r="AL294" t="s">
        <v>85</v>
      </c>
      <c r="AM294">
        <v>34</v>
      </c>
      <c r="AN294">
        <f t="shared" si="153"/>
        <v>116.54132680899107</v>
      </c>
      <c r="AO294">
        <f t="shared" si="155"/>
        <v>5</v>
      </c>
      <c r="AP294">
        <v>97.5</v>
      </c>
    </row>
    <row r="295" spans="22:46" x14ac:dyDescent="0.2">
      <c r="V295">
        <v>97.5</v>
      </c>
      <c r="W295" t="s">
        <v>325</v>
      </c>
      <c r="X295">
        <v>46</v>
      </c>
      <c r="Y295">
        <f t="shared" si="152"/>
        <v>233.08504452861115</v>
      </c>
      <c r="Z295">
        <f t="shared" si="154"/>
        <v>1</v>
      </c>
      <c r="AA295">
        <v>97.5</v>
      </c>
      <c r="AF295">
        <v>97.5</v>
      </c>
      <c r="AK295">
        <v>99.5</v>
      </c>
      <c r="AL295" t="s">
        <v>82</v>
      </c>
      <c r="AM295">
        <v>38</v>
      </c>
      <c r="AN295">
        <f t="shared" si="153"/>
        <v>146.83337288738056</v>
      </c>
      <c r="AO295">
        <f t="shared" si="155"/>
        <v>4</v>
      </c>
      <c r="AP295">
        <v>99.5</v>
      </c>
    </row>
    <row r="296" spans="22:46" x14ac:dyDescent="0.2">
      <c r="V296">
        <v>99.5</v>
      </c>
      <c r="W296" t="s">
        <v>223</v>
      </c>
      <c r="X296">
        <v>50</v>
      </c>
      <c r="Y296">
        <f t="shared" si="152"/>
        <v>293.66975814369101</v>
      </c>
      <c r="Z296">
        <f t="shared" si="154"/>
        <v>4</v>
      </c>
      <c r="AA296">
        <v>99.5</v>
      </c>
      <c r="AF296">
        <v>99.5</v>
      </c>
      <c r="AK296">
        <v>104</v>
      </c>
      <c r="AL296" t="s">
        <v>80</v>
      </c>
      <c r="AM296">
        <v>36</v>
      </c>
      <c r="AN296">
        <f t="shared" si="153"/>
        <v>130.81344004395982</v>
      </c>
      <c r="AO296">
        <f t="shared" si="155"/>
        <v>2</v>
      </c>
      <c r="AP296">
        <v>104</v>
      </c>
      <c r="AQ296" t="s">
        <v>316</v>
      </c>
      <c r="AR296">
        <v>24</v>
      </c>
      <c r="AS296">
        <f>16.35117682*1.059464^AR296</f>
        <v>65.406049101104529</v>
      </c>
      <c r="AT296">
        <f>ABS(AR296-AM295)</f>
        <v>14</v>
      </c>
    </row>
    <row r="297" spans="22:46" x14ac:dyDescent="0.2">
      <c r="V297">
        <v>103</v>
      </c>
      <c r="W297" t="s">
        <v>23</v>
      </c>
      <c r="X297">
        <v>55</v>
      </c>
      <c r="Y297">
        <f t="shared" si="152"/>
        <v>392.00377257605692</v>
      </c>
      <c r="Z297">
        <f t="shared" si="154"/>
        <v>5</v>
      </c>
      <c r="AA297">
        <v>103</v>
      </c>
      <c r="AB297" t="s">
        <v>222</v>
      </c>
      <c r="AC297">
        <v>51</v>
      </c>
      <c r="AD297">
        <f>16.35117682*1.059464^AC297</f>
        <v>311.13253664194741</v>
      </c>
      <c r="AE297">
        <f>ABS(AC297-X296)</f>
        <v>1</v>
      </c>
      <c r="AF297">
        <v>103</v>
      </c>
      <c r="AG297" t="s">
        <v>325</v>
      </c>
      <c r="AH297">
        <v>46</v>
      </c>
      <c r="AI297">
        <f>16.35117682*1.059464^AH297</f>
        <v>233.08504452861115</v>
      </c>
      <c r="AJ297">
        <f>ABS(AH297-X296)</f>
        <v>4</v>
      </c>
      <c r="AK297">
        <v>106.5</v>
      </c>
      <c r="AL297" t="s">
        <v>85</v>
      </c>
      <c r="AM297">
        <v>34</v>
      </c>
      <c r="AN297">
        <f t="shared" si="153"/>
        <v>116.54132680899107</v>
      </c>
      <c r="AO297">
        <f t="shared" si="155"/>
        <v>2</v>
      </c>
      <c r="AP297">
        <v>106.5</v>
      </c>
    </row>
    <row r="298" spans="22:46" x14ac:dyDescent="0.2">
      <c r="V298">
        <v>106</v>
      </c>
      <c r="W298" t="s">
        <v>323</v>
      </c>
      <c r="X298">
        <v>48</v>
      </c>
      <c r="Y298">
        <f t="shared" si="152"/>
        <v>261.62956379894968</v>
      </c>
      <c r="Z298">
        <f t="shared" si="154"/>
        <v>7</v>
      </c>
      <c r="AA298">
        <v>106</v>
      </c>
      <c r="AF298">
        <v>106</v>
      </c>
      <c r="AK298">
        <v>111</v>
      </c>
      <c r="AL298" t="s">
        <v>444</v>
      </c>
      <c r="AM298">
        <v>43</v>
      </c>
      <c r="AN298">
        <f t="shared" si="153"/>
        <v>195.99987576438383</v>
      </c>
      <c r="AO298">
        <f t="shared" si="155"/>
        <v>9</v>
      </c>
      <c r="AP298">
        <v>111</v>
      </c>
    </row>
    <row r="299" spans="22:46" x14ac:dyDescent="0.2">
      <c r="V299">
        <v>108</v>
      </c>
      <c r="W299" t="s">
        <v>212</v>
      </c>
      <c r="X299">
        <v>58</v>
      </c>
      <c r="Y299">
        <f t="shared" si="152"/>
        <v>466.17487092753117</v>
      </c>
      <c r="Z299">
        <f t="shared" si="154"/>
        <v>10</v>
      </c>
      <c r="AA299">
        <v>108</v>
      </c>
      <c r="AF299">
        <v>108</v>
      </c>
      <c r="AK299">
        <v>113</v>
      </c>
      <c r="AL299" t="s">
        <v>325</v>
      </c>
      <c r="AM299">
        <v>46</v>
      </c>
      <c r="AN299">
        <f t="shared" si="153"/>
        <v>233.08504452861115</v>
      </c>
      <c r="AO299">
        <f t="shared" si="155"/>
        <v>3</v>
      </c>
      <c r="AP299">
        <v>113</v>
      </c>
    </row>
    <row r="300" spans="22:46" x14ac:dyDescent="0.2">
      <c r="V300">
        <v>112.5</v>
      </c>
      <c r="W300" t="s">
        <v>213</v>
      </c>
      <c r="X300">
        <v>51</v>
      </c>
      <c r="Y300">
        <f t="shared" si="152"/>
        <v>311.13253664194741</v>
      </c>
      <c r="Z300">
        <f t="shared" si="154"/>
        <v>7</v>
      </c>
      <c r="AA300">
        <v>112.5</v>
      </c>
      <c r="AF300">
        <v>112.5</v>
      </c>
      <c r="AK300">
        <v>115</v>
      </c>
      <c r="AL300" t="s">
        <v>265</v>
      </c>
      <c r="AM300">
        <v>60</v>
      </c>
      <c r="AN300">
        <f t="shared" si="153"/>
        <v>523.26449507501752</v>
      </c>
      <c r="AO300">
        <f t="shared" si="155"/>
        <v>14</v>
      </c>
      <c r="AP300">
        <v>115</v>
      </c>
    </row>
    <row r="301" spans="22:46" x14ac:dyDescent="0.2">
      <c r="V301">
        <v>114.5</v>
      </c>
      <c r="W301" t="s">
        <v>309</v>
      </c>
      <c r="X301">
        <v>70</v>
      </c>
      <c r="Y301">
        <f t="shared" si="152"/>
        <v>932.35930569378297</v>
      </c>
      <c r="Z301">
        <f t="shared" si="154"/>
        <v>19</v>
      </c>
      <c r="AA301">
        <v>114.5</v>
      </c>
      <c r="AF301">
        <v>114.5</v>
      </c>
      <c r="AK301">
        <v>117</v>
      </c>
      <c r="AL301" t="s">
        <v>182</v>
      </c>
      <c r="AM301">
        <v>75</v>
      </c>
      <c r="AN301">
        <f t="shared" si="153"/>
        <v>1244.5556789321308</v>
      </c>
      <c r="AO301">
        <f t="shared" si="155"/>
        <v>15</v>
      </c>
      <c r="AP301">
        <v>117</v>
      </c>
    </row>
    <row r="302" spans="22:46" x14ac:dyDescent="0.2">
      <c r="V302">
        <v>116.5</v>
      </c>
      <c r="W302" t="s">
        <v>184</v>
      </c>
      <c r="X302">
        <v>84</v>
      </c>
      <c r="Y302">
        <f t="shared" si="152"/>
        <v>2093.100920777717</v>
      </c>
      <c r="Z302">
        <f t="shared" si="154"/>
        <v>14</v>
      </c>
      <c r="AA302">
        <v>116.5</v>
      </c>
      <c r="AF302">
        <v>116.5</v>
      </c>
      <c r="AK302">
        <v>120</v>
      </c>
      <c r="AL302" t="s">
        <v>323</v>
      </c>
      <c r="AM302">
        <v>48</v>
      </c>
      <c r="AN302">
        <f t="shared" si="153"/>
        <v>261.62956379894968</v>
      </c>
      <c r="AO302">
        <f t="shared" si="155"/>
        <v>27</v>
      </c>
      <c r="AP302">
        <v>120</v>
      </c>
      <c r="AQ302" t="s">
        <v>237</v>
      </c>
      <c r="AR302">
        <v>36</v>
      </c>
      <c r="AS302">
        <f>16.35117682*1.059464^AR302</f>
        <v>130.81344004395982</v>
      </c>
      <c r="AT302">
        <f>ABS(AR302-AM301)</f>
        <v>39</v>
      </c>
    </row>
    <row r="303" spans="22:46" x14ac:dyDescent="0.2">
      <c r="V303">
        <v>119</v>
      </c>
      <c r="W303" t="s">
        <v>31</v>
      </c>
      <c r="X303">
        <v>60</v>
      </c>
      <c r="Y303">
        <f t="shared" si="152"/>
        <v>523.26449507501752</v>
      </c>
      <c r="Z303">
        <f t="shared" si="154"/>
        <v>24</v>
      </c>
      <c r="AA303">
        <v>119</v>
      </c>
      <c r="AF303">
        <v>119</v>
      </c>
      <c r="AK303">
        <v>123</v>
      </c>
      <c r="AL303" t="s">
        <v>454</v>
      </c>
      <c r="AM303">
        <v>31</v>
      </c>
      <c r="AN303">
        <f t="shared" si="153"/>
        <v>97.998932630681253</v>
      </c>
      <c r="AO303">
        <f t="shared" si="155"/>
        <v>17</v>
      </c>
      <c r="AP303">
        <v>123</v>
      </c>
      <c r="AQ303" t="s">
        <v>316</v>
      </c>
      <c r="AR303">
        <v>24</v>
      </c>
      <c r="AS303">
        <f>16.35117682*1.059464^AR303</f>
        <v>65.406049101104529</v>
      </c>
      <c r="AT303">
        <f>ABS(AR303-AR302)</f>
        <v>12</v>
      </c>
    </row>
    <row r="304" spans="22:46" x14ac:dyDescent="0.2">
      <c r="V304">
        <v>122</v>
      </c>
      <c r="W304" t="s">
        <v>265</v>
      </c>
      <c r="X304">
        <v>60</v>
      </c>
      <c r="Y304">
        <f t="shared" si="152"/>
        <v>523.26449507501752</v>
      </c>
      <c r="Z304">
        <f t="shared" si="154"/>
        <v>0</v>
      </c>
      <c r="AA304">
        <v>122</v>
      </c>
      <c r="AF304">
        <v>122</v>
      </c>
      <c r="AK304">
        <v>126</v>
      </c>
      <c r="AL304" t="s">
        <v>454</v>
      </c>
      <c r="AM304">
        <v>31</v>
      </c>
      <c r="AN304">
        <f t="shared" si="153"/>
        <v>97.998932630681253</v>
      </c>
      <c r="AO304">
        <f t="shared" si="155"/>
        <v>0</v>
      </c>
      <c r="AP304">
        <v>126</v>
      </c>
      <c r="AQ304" t="s">
        <v>34</v>
      </c>
      <c r="AR304">
        <v>24</v>
      </c>
      <c r="AS304">
        <f>16.35117682*1.059464^AR304</f>
        <v>65.406049101104529</v>
      </c>
      <c r="AT304">
        <f>ABS(AR304-AR303)</f>
        <v>0</v>
      </c>
    </row>
    <row r="305" spans="22:48" x14ac:dyDescent="0.2">
      <c r="V305">
        <v>125.5</v>
      </c>
      <c r="W305" t="s">
        <v>33</v>
      </c>
      <c r="X305">
        <v>46</v>
      </c>
      <c r="Y305">
        <f t="shared" si="152"/>
        <v>233.08504452861115</v>
      </c>
      <c r="Z305">
        <f t="shared" si="154"/>
        <v>14</v>
      </c>
      <c r="AA305">
        <v>125.5</v>
      </c>
      <c r="AB305" t="s">
        <v>444</v>
      </c>
      <c r="AC305">
        <v>43</v>
      </c>
      <c r="AD305">
        <f>16.35117682*1.059464^AC305</f>
        <v>195.99987576438383</v>
      </c>
      <c r="AE305">
        <f>ABS(AC305-X304)</f>
        <v>17</v>
      </c>
      <c r="AF305">
        <v>125.5</v>
      </c>
      <c r="AG305" t="s">
        <v>81</v>
      </c>
      <c r="AH305">
        <v>34</v>
      </c>
      <c r="AI305">
        <f>16.35117682*1.059464^AH305</f>
        <v>116.54132680899107</v>
      </c>
      <c r="AJ305">
        <f>ABS(AH305-X304)</f>
        <v>26</v>
      </c>
    </row>
    <row r="307" spans="22:48" x14ac:dyDescent="0.2">
      <c r="W307" s="3" t="s">
        <v>380</v>
      </c>
    </row>
    <row r="308" spans="22:48" x14ac:dyDescent="0.2">
      <c r="W308" t="s">
        <v>460</v>
      </c>
      <c r="AB308" t="s">
        <v>464</v>
      </c>
      <c r="AG308" t="s">
        <v>465</v>
      </c>
      <c r="AL308" t="s">
        <v>466</v>
      </c>
      <c r="AQ308" t="s">
        <v>467</v>
      </c>
    </row>
    <row r="309" spans="22:48" x14ac:dyDescent="0.2">
      <c r="V309" t="s">
        <v>461</v>
      </c>
      <c r="W309" t="s">
        <v>462</v>
      </c>
      <c r="X309" t="s">
        <v>473</v>
      </c>
      <c r="Y309" t="s">
        <v>463</v>
      </c>
      <c r="Z309" t="s">
        <v>404</v>
      </c>
      <c r="AA309" t="s">
        <v>461</v>
      </c>
      <c r="AB309" t="s">
        <v>462</v>
      </c>
      <c r="AC309" t="s">
        <v>473</v>
      </c>
      <c r="AD309" t="s">
        <v>463</v>
      </c>
      <c r="AE309" t="s">
        <v>404</v>
      </c>
      <c r="AF309" t="s">
        <v>461</v>
      </c>
      <c r="AG309" t="s">
        <v>462</v>
      </c>
      <c r="AH309" t="s">
        <v>473</v>
      </c>
      <c r="AI309" t="s">
        <v>463</v>
      </c>
      <c r="AJ309" t="s">
        <v>404</v>
      </c>
      <c r="AK309" t="s">
        <v>461</v>
      </c>
      <c r="AL309" t="s">
        <v>462</v>
      </c>
      <c r="AM309" t="s">
        <v>473</v>
      </c>
      <c r="AN309" t="s">
        <v>463</v>
      </c>
      <c r="AO309" t="s">
        <v>404</v>
      </c>
      <c r="AP309" t="s">
        <v>461</v>
      </c>
      <c r="AQ309" t="s">
        <v>462</v>
      </c>
      <c r="AR309" t="s">
        <v>473</v>
      </c>
      <c r="AS309" t="s">
        <v>463</v>
      </c>
      <c r="AT309" t="s">
        <v>404</v>
      </c>
      <c r="AU309" t="s">
        <v>470</v>
      </c>
    </row>
    <row r="310" spans="22:48" x14ac:dyDescent="0.2">
      <c r="V310">
        <v>0</v>
      </c>
      <c r="W310" t="s">
        <v>323</v>
      </c>
      <c r="X310">
        <v>48</v>
      </c>
      <c r="Y310">
        <f t="shared" ref="Y310:Y330" si="157">16.35117682*1.059464^X310</f>
        <v>261.62956379894968</v>
      </c>
      <c r="AA310">
        <v>0</v>
      </c>
      <c r="AF310">
        <v>0</v>
      </c>
      <c r="AK310">
        <v>0</v>
      </c>
      <c r="AL310" t="s">
        <v>80</v>
      </c>
      <c r="AM310">
        <v>36</v>
      </c>
      <c r="AN310">
        <f t="shared" ref="AN310:AN330" si="158">16.35117682*1.059464^AM310</f>
        <v>130.81344004395982</v>
      </c>
      <c r="AP310">
        <v>0</v>
      </c>
    </row>
    <row r="311" spans="22:48" x14ac:dyDescent="0.2">
      <c r="V311">
        <v>7</v>
      </c>
      <c r="W311" t="s">
        <v>223</v>
      </c>
      <c r="X311">
        <v>50</v>
      </c>
      <c r="Y311">
        <f t="shared" si="157"/>
        <v>293.66975814369101</v>
      </c>
      <c r="Z311">
        <f t="shared" ref="Z311:Z330" si="159">ABS(X311-X310)</f>
        <v>2</v>
      </c>
      <c r="AA311">
        <v>7</v>
      </c>
      <c r="AB311" t="s">
        <v>443</v>
      </c>
      <c r="AC311">
        <v>47</v>
      </c>
      <c r="AD311">
        <f>16.35117682*1.059464^AC311</f>
        <v>246.94521361646048</v>
      </c>
      <c r="AE311">
        <f>ABS(AC311-X310)</f>
        <v>1</v>
      </c>
      <c r="AF311">
        <v>7</v>
      </c>
      <c r="AG311" t="s">
        <v>444</v>
      </c>
      <c r="AH311">
        <v>43</v>
      </c>
      <c r="AI311">
        <f>16.35117682*1.059464^AH311</f>
        <v>195.99987576438383</v>
      </c>
      <c r="AJ311">
        <f>ABS(AH311-X310)</f>
        <v>5</v>
      </c>
      <c r="AK311">
        <v>7</v>
      </c>
      <c r="AL311" t="s">
        <v>84</v>
      </c>
      <c r="AM311">
        <v>35</v>
      </c>
      <c r="AN311">
        <f t="shared" si="158"/>
        <v>123.4713402663609</v>
      </c>
      <c r="AO311">
        <f t="shared" ref="AO311:AO330" si="160">ABS(AM311-AM310)</f>
        <v>1</v>
      </c>
      <c r="AP311">
        <v>7</v>
      </c>
      <c r="AQ311" t="s">
        <v>315</v>
      </c>
      <c r="AR311">
        <v>31</v>
      </c>
      <c r="AS311">
        <f>16.35117682*1.059464^AR311</f>
        <v>97.998932630681253</v>
      </c>
      <c r="AT311">
        <f>ABS(AR311-AM310)</f>
        <v>5</v>
      </c>
      <c r="AU311" t="s">
        <v>355</v>
      </c>
      <c r="AV311" t="s">
        <v>396</v>
      </c>
    </row>
    <row r="312" spans="22:48" x14ac:dyDescent="0.2">
      <c r="V312">
        <v>14</v>
      </c>
      <c r="W312" t="s">
        <v>222</v>
      </c>
      <c r="X312">
        <v>51</v>
      </c>
      <c r="Y312">
        <f t="shared" si="157"/>
        <v>311.13253664194741</v>
      </c>
      <c r="Z312">
        <f t="shared" si="159"/>
        <v>1</v>
      </c>
      <c r="AA312">
        <v>14</v>
      </c>
      <c r="AB312" t="s">
        <v>446</v>
      </c>
      <c r="AC312">
        <v>48</v>
      </c>
      <c r="AD312">
        <f>16.35117682*1.059464^AC312</f>
        <v>261.62956379894968</v>
      </c>
      <c r="AE312">
        <f>ABS(AC312-X311)</f>
        <v>2</v>
      </c>
      <c r="AF312">
        <v>14</v>
      </c>
      <c r="AG312" t="s">
        <v>469</v>
      </c>
      <c r="AH312">
        <v>44</v>
      </c>
      <c r="AI312">
        <f>16.35117682*1.059464^AH312</f>
        <v>207.65481237683719</v>
      </c>
      <c r="AJ312">
        <f>ABS(AH312-X311)</f>
        <v>6</v>
      </c>
      <c r="AK312">
        <v>14</v>
      </c>
      <c r="AL312" t="s">
        <v>80</v>
      </c>
      <c r="AM312">
        <v>36</v>
      </c>
      <c r="AN312">
        <f t="shared" si="158"/>
        <v>130.81344004395982</v>
      </c>
      <c r="AO312">
        <f t="shared" si="160"/>
        <v>1</v>
      </c>
      <c r="AP312">
        <v>14</v>
      </c>
      <c r="AQ312" t="s">
        <v>314</v>
      </c>
      <c r="AR312">
        <v>32</v>
      </c>
      <c r="AS312">
        <f>16.35117682*1.059464^AR312</f>
        <v>103.82634116063208</v>
      </c>
      <c r="AT312">
        <f>ABS(AR312-AM311)</f>
        <v>3</v>
      </c>
      <c r="AU312">
        <f>SUM(Z311:Z330,AE311:AE312,AE315:AE318)</f>
        <v>137</v>
      </c>
      <c r="AV312">
        <f>(330-309)+(3)*2+3</f>
        <v>30</v>
      </c>
    </row>
    <row r="313" spans="22:48" x14ac:dyDescent="0.2">
      <c r="V313">
        <v>19.5</v>
      </c>
      <c r="W313" t="s">
        <v>223</v>
      </c>
      <c r="X313">
        <v>50</v>
      </c>
      <c r="Y313">
        <f t="shared" si="157"/>
        <v>293.66975814369101</v>
      </c>
      <c r="Z313">
        <f t="shared" si="159"/>
        <v>1</v>
      </c>
      <c r="AA313">
        <v>19.5</v>
      </c>
      <c r="AF313">
        <v>19.5</v>
      </c>
      <c r="AK313">
        <v>19.5</v>
      </c>
      <c r="AL313" t="s">
        <v>82</v>
      </c>
      <c r="AM313">
        <v>38</v>
      </c>
      <c r="AN313">
        <f t="shared" si="158"/>
        <v>146.83337288738056</v>
      </c>
      <c r="AO313">
        <f t="shared" si="160"/>
        <v>2</v>
      </c>
      <c r="AP313">
        <v>19.5</v>
      </c>
    </row>
    <row r="314" spans="22:48" x14ac:dyDescent="0.2">
      <c r="V314">
        <v>26</v>
      </c>
      <c r="W314" t="s">
        <v>323</v>
      </c>
      <c r="X314">
        <v>48</v>
      </c>
      <c r="Y314">
        <f t="shared" si="157"/>
        <v>261.62956379894968</v>
      </c>
      <c r="Z314">
        <f t="shared" si="159"/>
        <v>2</v>
      </c>
      <c r="AA314">
        <v>26</v>
      </c>
      <c r="AF314">
        <v>26</v>
      </c>
      <c r="AK314">
        <v>26.5</v>
      </c>
      <c r="AL314" t="s">
        <v>85</v>
      </c>
      <c r="AM314">
        <v>34</v>
      </c>
      <c r="AN314">
        <f t="shared" si="158"/>
        <v>116.54132680899107</v>
      </c>
      <c r="AO314">
        <f t="shared" si="160"/>
        <v>4</v>
      </c>
      <c r="AP314">
        <v>26.5</v>
      </c>
      <c r="AU314" t="s">
        <v>356</v>
      </c>
    </row>
    <row r="315" spans="22:48" x14ac:dyDescent="0.2">
      <c r="V315">
        <v>32</v>
      </c>
      <c r="W315" t="s">
        <v>323</v>
      </c>
      <c r="X315">
        <v>48</v>
      </c>
      <c r="Y315">
        <f t="shared" si="157"/>
        <v>261.62956379894968</v>
      </c>
      <c r="Z315">
        <f t="shared" si="159"/>
        <v>0</v>
      </c>
      <c r="AA315">
        <v>32</v>
      </c>
      <c r="AB315" t="s">
        <v>448</v>
      </c>
      <c r="AC315">
        <v>43</v>
      </c>
      <c r="AD315">
        <f>16.35117682*1.059464^AC315</f>
        <v>195.99987576438383</v>
      </c>
      <c r="AE315">
        <f>ABS(AC315-X314)</f>
        <v>5</v>
      </c>
      <c r="AF315">
        <v>32</v>
      </c>
      <c r="AG315" t="s">
        <v>485</v>
      </c>
      <c r="AH315">
        <v>39</v>
      </c>
      <c r="AI315">
        <f>16.35117682*1.059464^AH315</f>
        <v>155.56467257275574</v>
      </c>
      <c r="AJ315">
        <f>ABS(AH315-X314)</f>
        <v>9</v>
      </c>
      <c r="AK315">
        <v>33.5</v>
      </c>
      <c r="AL315" t="s">
        <v>325</v>
      </c>
      <c r="AM315">
        <v>34</v>
      </c>
      <c r="AN315">
        <f t="shared" si="158"/>
        <v>116.54132680899107</v>
      </c>
      <c r="AO315">
        <f t="shared" si="160"/>
        <v>0</v>
      </c>
      <c r="AP315">
        <v>33.5</v>
      </c>
      <c r="AU315">
        <f>AU312/(AV312-1)</f>
        <v>4.7241379310344831</v>
      </c>
    </row>
    <row r="316" spans="22:48" x14ac:dyDescent="0.2">
      <c r="V316">
        <v>39</v>
      </c>
      <c r="W316" t="s">
        <v>371</v>
      </c>
      <c r="X316">
        <v>67</v>
      </c>
      <c r="Y316">
        <f t="shared" si="157"/>
        <v>784.01558732918636</v>
      </c>
      <c r="Z316">
        <f t="shared" si="159"/>
        <v>19</v>
      </c>
      <c r="AA316">
        <v>39</v>
      </c>
      <c r="AB316" t="s">
        <v>23</v>
      </c>
      <c r="AC316">
        <v>55</v>
      </c>
      <c r="AD316">
        <f>16.35117682*1.059464^AC316</f>
        <v>392.00377257605692</v>
      </c>
      <c r="AE316">
        <f>ABS(AC316-X315)</f>
        <v>7</v>
      </c>
      <c r="AF316">
        <v>39</v>
      </c>
      <c r="AK316">
        <v>41.5</v>
      </c>
      <c r="AL316" t="s">
        <v>209</v>
      </c>
      <c r="AM316">
        <v>53</v>
      </c>
      <c r="AN316">
        <f t="shared" si="158"/>
        <v>349.23506143398839</v>
      </c>
      <c r="AO316">
        <f t="shared" si="160"/>
        <v>19</v>
      </c>
      <c r="AP316">
        <v>41.5</v>
      </c>
      <c r="AQ316" t="s">
        <v>318</v>
      </c>
      <c r="AR316">
        <v>41</v>
      </c>
      <c r="AS316">
        <f>16.35117682*1.059464^AR316</f>
        <v>174.61573954711864</v>
      </c>
      <c r="AT316">
        <f>ABS(AR316-AM315)</f>
        <v>7</v>
      </c>
    </row>
    <row r="317" spans="22:48" x14ac:dyDescent="0.2">
      <c r="V317">
        <v>45.5</v>
      </c>
      <c r="W317" t="s">
        <v>260</v>
      </c>
      <c r="X317">
        <v>67</v>
      </c>
      <c r="Y317">
        <f t="shared" si="157"/>
        <v>784.01558732918636</v>
      </c>
      <c r="Z317">
        <f t="shared" si="159"/>
        <v>0</v>
      </c>
      <c r="AA317">
        <v>45.5</v>
      </c>
      <c r="AB317" t="s">
        <v>23</v>
      </c>
      <c r="AC317">
        <v>55</v>
      </c>
      <c r="AD317">
        <f>16.35117682*1.059464^AC317</f>
        <v>392.00377257605692</v>
      </c>
      <c r="AE317">
        <f>ABS(AC317-AC316)</f>
        <v>0</v>
      </c>
      <c r="AF317">
        <v>45.5</v>
      </c>
      <c r="AK317">
        <v>47</v>
      </c>
      <c r="AL317" t="s">
        <v>308</v>
      </c>
      <c r="AM317">
        <v>53</v>
      </c>
      <c r="AN317">
        <f t="shared" si="158"/>
        <v>349.23506143398839</v>
      </c>
      <c r="AO317">
        <f t="shared" si="160"/>
        <v>0</v>
      </c>
      <c r="AP317">
        <v>47</v>
      </c>
      <c r="AQ317" t="s">
        <v>318</v>
      </c>
      <c r="AR317">
        <v>41</v>
      </c>
      <c r="AS317">
        <f>16.35117682*1.059464^AR317</f>
        <v>174.61573954711864</v>
      </c>
      <c r="AT317">
        <f>ABS(AR317-AR316)</f>
        <v>0</v>
      </c>
    </row>
    <row r="318" spans="22:48" x14ac:dyDescent="0.2">
      <c r="V318">
        <v>50.5</v>
      </c>
      <c r="W318" t="s">
        <v>264</v>
      </c>
      <c r="X318">
        <v>63</v>
      </c>
      <c r="Y318">
        <f t="shared" si="157"/>
        <v>622.27145634224212</v>
      </c>
      <c r="Z318">
        <f t="shared" si="159"/>
        <v>4</v>
      </c>
      <c r="AA318">
        <v>50.5</v>
      </c>
      <c r="AB318" t="s">
        <v>222</v>
      </c>
      <c r="AC318">
        <v>51</v>
      </c>
      <c r="AD318">
        <f>16.35117682*1.059464^AC318</f>
        <v>311.13253664194741</v>
      </c>
      <c r="AE318">
        <f>ABS(AC318-AC317)</f>
        <v>4</v>
      </c>
      <c r="AF318">
        <v>50.5</v>
      </c>
      <c r="AK318">
        <v>51.5</v>
      </c>
      <c r="AL318" t="s">
        <v>325</v>
      </c>
      <c r="AM318">
        <v>46</v>
      </c>
      <c r="AN318">
        <f t="shared" si="158"/>
        <v>233.08504452861115</v>
      </c>
      <c r="AO318">
        <f t="shared" si="160"/>
        <v>7</v>
      </c>
      <c r="AP318">
        <v>51.5</v>
      </c>
      <c r="AQ318" t="s">
        <v>85</v>
      </c>
      <c r="AR318">
        <v>34</v>
      </c>
      <c r="AS318">
        <f>16.35117682*1.059464^AR318</f>
        <v>116.54132680899107</v>
      </c>
      <c r="AT318">
        <f>ABS(AR318-AR317)</f>
        <v>7</v>
      </c>
      <c r="AU318" t="s">
        <v>472</v>
      </c>
    </row>
    <row r="319" spans="22:48" x14ac:dyDescent="0.2">
      <c r="V319">
        <v>57.5</v>
      </c>
      <c r="W319" t="s">
        <v>23</v>
      </c>
      <c r="X319">
        <v>55</v>
      </c>
      <c r="Y319">
        <f t="shared" si="157"/>
        <v>392.00377257605692</v>
      </c>
      <c r="Z319">
        <f t="shared" si="159"/>
        <v>8</v>
      </c>
      <c r="AA319">
        <v>57.5</v>
      </c>
      <c r="AF319">
        <v>57.5</v>
      </c>
      <c r="AK319">
        <v>59.5</v>
      </c>
      <c r="AL319" t="s">
        <v>308</v>
      </c>
      <c r="AM319">
        <v>53</v>
      </c>
      <c r="AN319">
        <f t="shared" si="158"/>
        <v>349.23506143398839</v>
      </c>
      <c r="AO319">
        <f t="shared" si="160"/>
        <v>7</v>
      </c>
      <c r="AP319">
        <v>59.5</v>
      </c>
    </row>
    <row r="320" spans="22:48" x14ac:dyDescent="0.2">
      <c r="V320">
        <v>63</v>
      </c>
      <c r="W320" t="s">
        <v>23</v>
      </c>
      <c r="X320">
        <v>55</v>
      </c>
      <c r="Y320">
        <f t="shared" si="157"/>
        <v>392.00377257605692</v>
      </c>
      <c r="Z320">
        <f t="shared" si="159"/>
        <v>0</v>
      </c>
      <c r="AA320">
        <v>63</v>
      </c>
      <c r="AF320">
        <v>63</v>
      </c>
      <c r="AK320">
        <v>64.5</v>
      </c>
      <c r="AL320" t="s">
        <v>223</v>
      </c>
      <c r="AM320">
        <v>50</v>
      </c>
      <c r="AN320">
        <f t="shared" si="158"/>
        <v>293.66975814369101</v>
      </c>
      <c r="AO320">
        <f t="shared" si="160"/>
        <v>3</v>
      </c>
      <c r="AP320">
        <v>64.5</v>
      </c>
      <c r="AU320" t="s">
        <v>235</v>
      </c>
      <c r="AV320" t="s">
        <v>396</v>
      </c>
    </row>
    <row r="321" spans="22:48" x14ac:dyDescent="0.2">
      <c r="V321">
        <v>67.5</v>
      </c>
      <c r="W321" t="s">
        <v>323</v>
      </c>
      <c r="X321">
        <v>48</v>
      </c>
      <c r="Y321">
        <f t="shared" si="157"/>
        <v>261.62956379894968</v>
      </c>
      <c r="Z321">
        <f t="shared" si="159"/>
        <v>7</v>
      </c>
      <c r="AA321">
        <v>67.5</v>
      </c>
      <c r="AF321">
        <v>67.5</v>
      </c>
      <c r="AK321">
        <v>69</v>
      </c>
      <c r="AL321" t="s">
        <v>444</v>
      </c>
      <c r="AM321">
        <v>43</v>
      </c>
      <c r="AN321">
        <f t="shared" si="158"/>
        <v>195.99987576438383</v>
      </c>
      <c r="AO321">
        <f t="shared" si="160"/>
        <v>7</v>
      </c>
      <c r="AP321">
        <v>69</v>
      </c>
      <c r="AU321">
        <f>SUM(AO311:AO330,AT311:AT312,AT316:AT318,AT322:AT323,AT326,AT329:AT330)</f>
        <v>204</v>
      </c>
      <c r="AV321">
        <f>(330-309)+10</f>
        <v>31</v>
      </c>
    </row>
    <row r="322" spans="22:48" x14ac:dyDescent="0.2">
      <c r="V322">
        <v>74</v>
      </c>
      <c r="W322" t="s">
        <v>323</v>
      </c>
      <c r="X322">
        <v>48</v>
      </c>
      <c r="Y322">
        <f t="shared" si="157"/>
        <v>261.62956379894968</v>
      </c>
      <c r="Z322">
        <f t="shared" si="159"/>
        <v>0</v>
      </c>
      <c r="AA322">
        <v>74</v>
      </c>
      <c r="AF322">
        <v>74</v>
      </c>
      <c r="AK322">
        <v>77</v>
      </c>
      <c r="AL322" t="s">
        <v>83</v>
      </c>
      <c r="AM322">
        <v>37</v>
      </c>
      <c r="AN322">
        <f t="shared" si="158"/>
        <v>138.5921304427338</v>
      </c>
      <c r="AO322">
        <f t="shared" si="160"/>
        <v>6</v>
      </c>
      <c r="AP322">
        <v>77</v>
      </c>
      <c r="AQ322" t="s">
        <v>313</v>
      </c>
      <c r="AR322">
        <v>27</v>
      </c>
      <c r="AS322">
        <f>16.35117682*1.059464^AR322</f>
        <v>77.781538420453217</v>
      </c>
      <c r="AT322">
        <f>ABS(AR322-AM321)</f>
        <v>16</v>
      </c>
    </row>
    <row r="323" spans="22:48" x14ac:dyDescent="0.2">
      <c r="V323">
        <v>81.5</v>
      </c>
      <c r="W323" t="s">
        <v>325</v>
      </c>
      <c r="X323">
        <v>46</v>
      </c>
      <c r="Y323">
        <f t="shared" si="157"/>
        <v>233.08504452861115</v>
      </c>
      <c r="Z323">
        <f t="shared" si="159"/>
        <v>2</v>
      </c>
      <c r="AA323">
        <v>81.5</v>
      </c>
      <c r="AF323">
        <v>81.5</v>
      </c>
      <c r="AK323">
        <v>84</v>
      </c>
      <c r="AL323" t="s">
        <v>82</v>
      </c>
      <c r="AM323">
        <v>38</v>
      </c>
      <c r="AN323">
        <f t="shared" si="158"/>
        <v>146.83337288738056</v>
      </c>
      <c r="AO323">
        <f t="shared" si="160"/>
        <v>1</v>
      </c>
      <c r="AP323">
        <v>84</v>
      </c>
      <c r="AQ323" t="s">
        <v>85</v>
      </c>
      <c r="AR323">
        <v>34</v>
      </c>
      <c r="AS323">
        <f>16.35117682*1.059464^AR323</f>
        <v>116.54132680899107</v>
      </c>
      <c r="AT323">
        <f>ABS(AR323-AM322)</f>
        <v>3</v>
      </c>
      <c r="AU323" t="s">
        <v>236</v>
      </c>
    </row>
    <row r="324" spans="22:48" x14ac:dyDescent="0.2">
      <c r="V324">
        <v>89</v>
      </c>
      <c r="W324" t="s">
        <v>323</v>
      </c>
      <c r="X324">
        <v>48</v>
      </c>
      <c r="Y324">
        <f t="shared" si="157"/>
        <v>261.62956379894968</v>
      </c>
      <c r="Z324">
        <f t="shared" si="159"/>
        <v>2</v>
      </c>
      <c r="AA324">
        <v>89</v>
      </c>
      <c r="AF324">
        <v>89</v>
      </c>
      <c r="AK324">
        <v>90.5</v>
      </c>
      <c r="AL324" t="s">
        <v>85</v>
      </c>
      <c r="AM324">
        <v>34</v>
      </c>
      <c r="AN324">
        <f t="shared" si="158"/>
        <v>116.54132680899107</v>
      </c>
      <c r="AO324">
        <f t="shared" si="160"/>
        <v>4</v>
      </c>
      <c r="AP324">
        <v>90.5</v>
      </c>
      <c r="AU324">
        <f>AU321/(AV321-1)</f>
        <v>6.8</v>
      </c>
    </row>
    <row r="325" spans="22:48" x14ac:dyDescent="0.2">
      <c r="V325">
        <v>94</v>
      </c>
      <c r="W325" t="s">
        <v>486</v>
      </c>
      <c r="X325">
        <v>45</v>
      </c>
      <c r="Y325">
        <f t="shared" si="157"/>
        <v>220.00279814001337</v>
      </c>
      <c r="Z325">
        <f t="shared" si="159"/>
        <v>3</v>
      </c>
      <c r="AA325">
        <v>94</v>
      </c>
      <c r="AF325">
        <v>94</v>
      </c>
      <c r="AK325">
        <v>97.5</v>
      </c>
      <c r="AL325" t="s">
        <v>85</v>
      </c>
      <c r="AM325">
        <v>34</v>
      </c>
      <c r="AN325">
        <f t="shared" si="158"/>
        <v>116.54132680899107</v>
      </c>
      <c r="AO325">
        <f t="shared" si="160"/>
        <v>0</v>
      </c>
      <c r="AP325">
        <v>97.5</v>
      </c>
    </row>
    <row r="326" spans="22:48" x14ac:dyDescent="0.2">
      <c r="V326">
        <v>99.5</v>
      </c>
      <c r="W326" t="s">
        <v>223</v>
      </c>
      <c r="X326">
        <v>50</v>
      </c>
      <c r="Y326">
        <f t="shared" si="157"/>
        <v>293.66975814369101</v>
      </c>
      <c r="Z326">
        <f t="shared" si="159"/>
        <v>5</v>
      </c>
      <c r="AA326">
        <v>99.5</v>
      </c>
      <c r="AF326">
        <v>99.5</v>
      </c>
      <c r="AK326">
        <v>104</v>
      </c>
      <c r="AL326" t="s">
        <v>80</v>
      </c>
      <c r="AM326">
        <v>36</v>
      </c>
      <c r="AN326">
        <f t="shared" si="158"/>
        <v>130.81344004395982</v>
      </c>
      <c r="AO326">
        <f t="shared" si="160"/>
        <v>2</v>
      </c>
      <c r="AP326">
        <v>104</v>
      </c>
      <c r="AQ326" t="s">
        <v>316</v>
      </c>
      <c r="AR326">
        <v>24</v>
      </c>
      <c r="AS326">
        <f>16.35117682*1.059464^AR326</f>
        <v>65.406049101104529</v>
      </c>
      <c r="AT326">
        <f>ABS(AR326-AM325)</f>
        <v>10</v>
      </c>
    </row>
    <row r="327" spans="22:48" x14ac:dyDescent="0.2">
      <c r="V327">
        <v>106</v>
      </c>
      <c r="W327" t="s">
        <v>323</v>
      </c>
      <c r="X327">
        <v>48</v>
      </c>
      <c r="Y327">
        <f t="shared" si="157"/>
        <v>261.62956379894968</v>
      </c>
      <c r="Z327">
        <f t="shared" si="159"/>
        <v>2</v>
      </c>
      <c r="AA327">
        <v>106</v>
      </c>
      <c r="AF327">
        <v>106</v>
      </c>
      <c r="AK327">
        <v>111</v>
      </c>
      <c r="AL327" t="s">
        <v>444</v>
      </c>
      <c r="AM327">
        <v>43</v>
      </c>
      <c r="AN327">
        <f t="shared" si="158"/>
        <v>195.99987576438383</v>
      </c>
      <c r="AO327">
        <f t="shared" si="160"/>
        <v>7</v>
      </c>
      <c r="AP327">
        <v>111</v>
      </c>
    </row>
    <row r="328" spans="22:48" x14ac:dyDescent="0.2">
      <c r="V328">
        <v>112.5</v>
      </c>
      <c r="W328" t="s">
        <v>213</v>
      </c>
      <c r="X328">
        <v>51</v>
      </c>
      <c r="Y328">
        <f t="shared" si="157"/>
        <v>311.13253664194741</v>
      </c>
      <c r="Z328">
        <f t="shared" si="159"/>
        <v>3</v>
      </c>
      <c r="AA328">
        <v>112.5</v>
      </c>
      <c r="AF328">
        <v>112.5</v>
      </c>
      <c r="AK328">
        <v>115</v>
      </c>
      <c r="AL328" t="s">
        <v>265</v>
      </c>
      <c r="AM328">
        <v>60</v>
      </c>
      <c r="AN328">
        <f t="shared" si="158"/>
        <v>523.26449507501752</v>
      </c>
      <c r="AO328">
        <f t="shared" si="160"/>
        <v>17</v>
      </c>
      <c r="AP328">
        <v>115</v>
      </c>
    </row>
    <row r="329" spans="22:48" x14ac:dyDescent="0.2">
      <c r="V329">
        <v>116.5</v>
      </c>
      <c r="W329" t="s">
        <v>184</v>
      </c>
      <c r="X329">
        <v>84</v>
      </c>
      <c r="Y329">
        <f t="shared" si="157"/>
        <v>2093.100920777717</v>
      </c>
      <c r="Z329">
        <f t="shared" si="159"/>
        <v>33</v>
      </c>
      <c r="AA329">
        <v>116.5</v>
      </c>
      <c r="AF329">
        <v>116.5</v>
      </c>
      <c r="AK329">
        <v>120</v>
      </c>
      <c r="AL329" t="s">
        <v>323</v>
      </c>
      <c r="AM329">
        <v>48</v>
      </c>
      <c r="AN329">
        <f t="shared" si="158"/>
        <v>261.62956379894968</v>
      </c>
      <c r="AO329">
        <f t="shared" si="160"/>
        <v>12</v>
      </c>
      <c r="AP329">
        <v>120</v>
      </c>
      <c r="AQ329" t="s">
        <v>237</v>
      </c>
      <c r="AR329">
        <v>36</v>
      </c>
      <c r="AS329">
        <f>16.35117682*1.059464^AR329</f>
        <v>130.81344004395982</v>
      </c>
      <c r="AT329">
        <f>ABS(AR329-AM328)</f>
        <v>24</v>
      </c>
    </row>
    <row r="330" spans="22:48" x14ac:dyDescent="0.2">
      <c r="V330">
        <v>122</v>
      </c>
      <c r="W330" t="s">
        <v>265</v>
      </c>
      <c r="X330">
        <v>60</v>
      </c>
      <c r="Y330">
        <f t="shared" si="157"/>
        <v>523.26449507501752</v>
      </c>
      <c r="Z330">
        <f t="shared" si="159"/>
        <v>24</v>
      </c>
      <c r="AA330">
        <v>122</v>
      </c>
      <c r="AF330">
        <v>122</v>
      </c>
      <c r="AK330">
        <v>126</v>
      </c>
      <c r="AL330" t="s">
        <v>454</v>
      </c>
      <c r="AM330">
        <v>31</v>
      </c>
      <c r="AN330">
        <f t="shared" si="158"/>
        <v>97.998932630681253</v>
      </c>
      <c r="AO330">
        <f t="shared" si="160"/>
        <v>17</v>
      </c>
      <c r="AP330">
        <v>126</v>
      </c>
      <c r="AQ330" t="s">
        <v>34</v>
      </c>
      <c r="AR330">
        <v>24</v>
      </c>
      <c r="AS330">
        <f>16.35117682*1.059464^AR330</f>
        <v>65.406049101104529</v>
      </c>
      <c r="AT330">
        <f>ABS(AR330-AR329)</f>
        <v>12</v>
      </c>
    </row>
    <row r="332" spans="22:48" x14ac:dyDescent="0.2">
      <c r="V332" t="s">
        <v>395</v>
      </c>
    </row>
    <row r="334" spans="22:48" x14ac:dyDescent="0.2">
      <c r="V334" t="s">
        <v>395</v>
      </c>
    </row>
  </sheetData>
  <sortState ref="V310:AT351">
    <sortCondition ref="V311:V351"/>
  </sortState>
  <phoneticPr fontId="1" type="noConversion"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7395"/>
  <sheetViews>
    <sheetView workbookViewId="0">
      <selection activeCell="K1528" sqref="K1528"/>
    </sheetView>
  </sheetViews>
  <sheetFormatPr defaultColWidth="8.85546875" defaultRowHeight="12.75" x14ac:dyDescent="0.2"/>
  <cols>
    <col min="3" max="3" width="14.7109375" customWidth="1"/>
    <col min="5" max="5" width="8.85546875" style="4"/>
    <col min="11" max="11" width="21.42578125" customWidth="1"/>
    <col min="12" max="12" width="17.7109375" customWidth="1"/>
    <col min="17" max="17" width="15.28515625" customWidth="1"/>
    <col min="19" max="19" width="16.140625" customWidth="1"/>
    <col min="22" max="22" width="15.85546875" customWidth="1"/>
  </cols>
  <sheetData>
    <row r="1" spans="1:12" x14ac:dyDescent="0.2">
      <c r="B1" t="s">
        <v>352</v>
      </c>
      <c r="I1" s="5"/>
    </row>
    <row r="2" spans="1:12" x14ac:dyDescent="0.2">
      <c r="B2" t="s">
        <v>221</v>
      </c>
      <c r="G2" s="4" t="s">
        <v>336</v>
      </c>
      <c r="I2" s="5"/>
    </row>
    <row r="3" spans="1:12" x14ac:dyDescent="0.2">
      <c r="A3" t="s">
        <v>353</v>
      </c>
      <c r="B3" t="s">
        <v>214</v>
      </c>
      <c r="C3" t="s">
        <v>215</v>
      </c>
      <c r="D3" t="s">
        <v>216</v>
      </c>
      <c r="F3" s="4" t="s">
        <v>353</v>
      </c>
      <c r="G3" s="5" t="s">
        <v>98</v>
      </c>
      <c r="H3" s="5" t="s">
        <v>99</v>
      </c>
      <c r="I3" s="5" t="s">
        <v>216</v>
      </c>
      <c r="K3" s="5" t="s">
        <v>402</v>
      </c>
      <c r="L3" s="5"/>
    </row>
    <row r="4" spans="1:12" x14ac:dyDescent="0.2">
      <c r="A4">
        <v>4</v>
      </c>
      <c r="B4" t="s">
        <v>217</v>
      </c>
      <c r="C4">
        <v>50</v>
      </c>
      <c r="D4" s="5">
        <f t="shared" ref="D4:D67" si="0">16.35117682*1.059464^C4</f>
        <v>293.66975814369101</v>
      </c>
      <c r="F4" s="4">
        <v>4</v>
      </c>
      <c r="G4" s="4" t="s">
        <v>335</v>
      </c>
      <c r="H4">
        <v>45</v>
      </c>
      <c r="I4" s="5">
        <f t="shared" ref="I4:I67" si="1">16.35117682*1.059464^H4</f>
        <v>220.00279814001337</v>
      </c>
      <c r="K4" s="5"/>
      <c r="L4" s="5"/>
    </row>
    <row r="5" spans="1:12" x14ac:dyDescent="0.2">
      <c r="A5">
        <v>4.25</v>
      </c>
      <c r="B5" t="s">
        <v>218</v>
      </c>
      <c r="C5" s="5">
        <v>53</v>
      </c>
      <c r="D5" s="5">
        <f t="shared" si="0"/>
        <v>349.23506143398839</v>
      </c>
      <c r="E5" s="5">
        <f t="shared" ref="E5:E68" si="2">ABS( C5-C4)</f>
        <v>3</v>
      </c>
      <c r="F5" s="4">
        <v>4.25</v>
      </c>
      <c r="G5" s="4" t="s">
        <v>202</v>
      </c>
      <c r="H5">
        <v>53</v>
      </c>
      <c r="I5" s="5">
        <f t="shared" si="1"/>
        <v>349.23506143398839</v>
      </c>
      <c r="J5" s="5">
        <f t="shared" ref="J5:J68" si="3">ABS( H5-H4)</f>
        <v>8</v>
      </c>
      <c r="K5" s="5" t="s">
        <v>355</v>
      </c>
      <c r="L5" s="5" t="s">
        <v>396</v>
      </c>
    </row>
    <row r="6" spans="1:12" x14ac:dyDescent="0.2">
      <c r="A6">
        <v>4.5</v>
      </c>
      <c r="B6" t="s">
        <v>219</v>
      </c>
      <c r="C6" s="5">
        <v>55</v>
      </c>
      <c r="D6" s="5">
        <f t="shared" si="0"/>
        <v>392.00377257605692</v>
      </c>
      <c r="E6" s="5">
        <f t="shared" si="2"/>
        <v>2</v>
      </c>
      <c r="F6" s="4">
        <v>4.5</v>
      </c>
      <c r="G6" s="4" t="s">
        <v>37</v>
      </c>
      <c r="H6">
        <v>55</v>
      </c>
      <c r="I6" s="5">
        <f t="shared" si="1"/>
        <v>392.00377257605692</v>
      </c>
      <c r="J6" s="5">
        <f t="shared" si="3"/>
        <v>2</v>
      </c>
      <c r="K6" s="5">
        <f>SUM(E5:E849)</f>
        <v>3257</v>
      </c>
      <c r="L6" s="5">
        <f>849-3</f>
        <v>846</v>
      </c>
    </row>
    <row r="7" spans="1:12" x14ac:dyDescent="0.2">
      <c r="A7">
        <v>4.75</v>
      </c>
      <c r="B7" t="s">
        <v>219</v>
      </c>
      <c r="C7" s="5">
        <v>55</v>
      </c>
      <c r="D7" s="5">
        <f t="shared" si="0"/>
        <v>392.00377257605692</v>
      </c>
      <c r="E7" s="5">
        <f t="shared" si="2"/>
        <v>0</v>
      </c>
      <c r="F7" s="4">
        <v>4.75</v>
      </c>
      <c r="G7" s="4" t="s">
        <v>247</v>
      </c>
      <c r="H7">
        <v>50</v>
      </c>
      <c r="I7" s="5">
        <f t="shared" si="1"/>
        <v>293.66975814369101</v>
      </c>
      <c r="J7" s="5">
        <f t="shared" si="3"/>
        <v>5</v>
      </c>
      <c r="K7" s="5"/>
      <c r="L7" s="5"/>
    </row>
    <row r="8" spans="1:12" x14ac:dyDescent="0.2">
      <c r="A8">
        <v>5</v>
      </c>
      <c r="B8" t="s">
        <v>220</v>
      </c>
      <c r="C8" s="5">
        <v>55</v>
      </c>
      <c r="D8" s="5">
        <f t="shared" si="0"/>
        <v>392.00377257605692</v>
      </c>
      <c r="E8" s="5">
        <f t="shared" si="2"/>
        <v>0</v>
      </c>
      <c r="F8" s="4">
        <v>5</v>
      </c>
      <c r="G8" s="4" t="s">
        <v>37</v>
      </c>
      <c r="H8">
        <v>55</v>
      </c>
      <c r="I8" s="5">
        <f t="shared" si="1"/>
        <v>392.00377257605692</v>
      </c>
      <c r="J8" s="5">
        <f t="shared" si="3"/>
        <v>5</v>
      </c>
      <c r="K8" s="5" t="s">
        <v>356</v>
      </c>
      <c r="L8" s="5"/>
    </row>
    <row r="9" spans="1:12" x14ac:dyDescent="0.2">
      <c r="A9">
        <v>5.5</v>
      </c>
      <c r="B9" t="s">
        <v>219</v>
      </c>
      <c r="C9" s="5">
        <v>55</v>
      </c>
      <c r="D9" s="5">
        <f t="shared" si="0"/>
        <v>392.00377257605692</v>
      </c>
      <c r="E9" s="5">
        <f t="shared" si="2"/>
        <v>0</v>
      </c>
      <c r="F9" s="4">
        <v>5.5</v>
      </c>
      <c r="G9" s="4" t="s">
        <v>207</v>
      </c>
      <c r="H9">
        <v>50</v>
      </c>
      <c r="I9" s="5">
        <f t="shared" si="1"/>
        <v>293.66975814369101</v>
      </c>
      <c r="J9" s="5">
        <f t="shared" si="3"/>
        <v>5</v>
      </c>
      <c r="K9" s="5">
        <f>K6/(L6-1)</f>
        <v>3.854437869822485</v>
      </c>
      <c r="L9" s="5"/>
    </row>
    <row r="10" spans="1:12" x14ac:dyDescent="0.2">
      <c r="A10">
        <v>6</v>
      </c>
      <c r="B10" t="s">
        <v>219</v>
      </c>
      <c r="C10" s="5">
        <v>55</v>
      </c>
      <c r="D10" s="5">
        <f t="shared" si="0"/>
        <v>392.00377257605692</v>
      </c>
      <c r="E10" s="5">
        <f t="shared" si="2"/>
        <v>0</v>
      </c>
      <c r="F10" s="4">
        <v>6</v>
      </c>
      <c r="G10" s="4" t="s">
        <v>37</v>
      </c>
      <c r="H10">
        <v>55</v>
      </c>
      <c r="I10" s="5">
        <f t="shared" si="1"/>
        <v>392.00377257605692</v>
      </c>
      <c r="J10" s="5">
        <f t="shared" si="3"/>
        <v>5</v>
      </c>
      <c r="K10" s="5"/>
      <c r="L10" s="5"/>
    </row>
    <row r="11" spans="1:12" x14ac:dyDescent="0.2">
      <c r="A11">
        <v>6.5</v>
      </c>
      <c r="B11" t="s">
        <v>219</v>
      </c>
      <c r="C11" s="5">
        <v>55</v>
      </c>
      <c r="D11" s="5">
        <f t="shared" si="0"/>
        <v>392.00377257605692</v>
      </c>
      <c r="E11" s="5">
        <f t="shared" si="2"/>
        <v>0</v>
      </c>
      <c r="F11" s="4">
        <v>6.5</v>
      </c>
      <c r="G11" s="4" t="s">
        <v>37</v>
      </c>
      <c r="H11">
        <v>55</v>
      </c>
      <c r="I11" s="5">
        <f t="shared" si="1"/>
        <v>392.00377257605692</v>
      </c>
      <c r="J11" s="5">
        <f t="shared" si="3"/>
        <v>0</v>
      </c>
      <c r="K11" s="5"/>
      <c r="L11" s="5"/>
    </row>
    <row r="12" spans="1:12" x14ac:dyDescent="0.2">
      <c r="A12">
        <v>7</v>
      </c>
      <c r="B12" t="s">
        <v>219</v>
      </c>
      <c r="C12" s="5">
        <v>55</v>
      </c>
      <c r="D12" s="5">
        <f t="shared" si="0"/>
        <v>392.00377257605692</v>
      </c>
      <c r="E12" s="5">
        <f t="shared" si="2"/>
        <v>0</v>
      </c>
      <c r="F12" s="4">
        <v>7</v>
      </c>
      <c r="G12" s="4" t="s">
        <v>37</v>
      </c>
      <c r="H12">
        <v>55</v>
      </c>
      <c r="I12" s="5">
        <f t="shared" si="1"/>
        <v>392.00377257605692</v>
      </c>
      <c r="J12" s="5">
        <f t="shared" si="3"/>
        <v>0</v>
      </c>
      <c r="K12" s="5" t="s">
        <v>401</v>
      </c>
      <c r="L12" s="5"/>
    </row>
    <row r="13" spans="1:12" x14ac:dyDescent="0.2">
      <c r="A13">
        <v>7.5</v>
      </c>
      <c r="B13" t="s">
        <v>219</v>
      </c>
      <c r="C13" s="5">
        <v>55</v>
      </c>
      <c r="D13" s="5">
        <f t="shared" si="0"/>
        <v>392.00377257605692</v>
      </c>
      <c r="E13" s="5">
        <f t="shared" si="2"/>
        <v>0</v>
      </c>
      <c r="F13" s="4">
        <v>7.5</v>
      </c>
      <c r="G13" s="4" t="s">
        <v>207</v>
      </c>
      <c r="H13">
        <v>50</v>
      </c>
      <c r="I13" s="5">
        <f t="shared" si="1"/>
        <v>293.66975814369101</v>
      </c>
      <c r="J13" s="5">
        <f t="shared" si="3"/>
        <v>5</v>
      </c>
      <c r="K13" s="5"/>
      <c r="L13" s="5"/>
    </row>
    <row r="14" spans="1:12" x14ac:dyDescent="0.2">
      <c r="A14">
        <v>8</v>
      </c>
      <c r="B14" t="s">
        <v>217</v>
      </c>
      <c r="C14" s="5">
        <v>50</v>
      </c>
      <c r="D14" s="5">
        <f t="shared" si="0"/>
        <v>293.66975814369101</v>
      </c>
      <c r="E14" s="5">
        <f t="shared" si="2"/>
        <v>5</v>
      </c>
      <c r="F14" s="4">
        <v>8</v>
      </c>
      <c r="G14" s="4" t="s">
        <v>335</v>
      </c>
      <c r="H14">
        <v>45</v>
      </c>
      <c r="I14" s="5">
        <f t="shared" si="1"/>
        <v>220.00279814001337</v>
      </c>
      <c r="J14" s="5">
        <f t="shared" si="3"/>
        <v>5</v>
      </c>
      <c r="K14" s="5" t="s">
        <v>100</v>
      </c>
      <c r="L14" s="5" t="s">
        <v>396</v>
      </c>
    </row>
    <row r="15" spans="1:12" x14ac:dyDescent="0.2">
      <c r="A15">
        <v>8.25</v>
      </c>
      <c r="B15" t="s">
        <v>218</v>
      </c>
      <c r="C15" s="5">
        <v>53</v>
      </c>
      <c r="D15" s="5">
        <f t="shared" si="0"/>
        <v>349.23506143398839</v>
      </c>
      <c r="E15" s="5">
        <f t="shared" si="2"/>
        <v>3</v>
      </c>
      <c r="F15" s="4">
        <v>8.25</v>
      </c>
      <c r="G15" s="4" t="s">
        <v>202</v>
      </c>
      <c r="H15">
        <v>53</v>
      </c>
      <c r="I15" s="5">
        <f t="shared" si="1"/>
        <v>349.23506143398839</v>
      </c>
      <c r="J15" s="5">
        <f t="shared" si="3"/>
        <v>8</v>
      </c>
      <c r="K15" s="5">
        <f>SUM(J5:J865)</f>
        <v>4208</v>
      </c>
      <c r="L15" s="5">
        <f>865-3</f>
        <v>862</v>
      </c>
    </row>
    <row r="16" spans="1:12" x14ac:dyDescent="0.2">
      <c r="A16">
        <v>8.5</v>
      </c>
      <c r="B16" t="s">
        <v>219</v>
      </c>
      <c r="C16" s="5">
        <v>55</v>
      </c>
      <c r="D16" s="5">
        <f t="shared" si="0"/>
        <v>392.00377257605692</v>
      </c>
      <c r="E16" s="5">
        <f t="shared" si="2"/>
        <v>2</v>
      </c>
      <c r="F16" s="4">
        <v>8.5</v>
      </c>
      <c r="G16" s="4" t="s">
        <v>37</v>
      </c>
      <c r="H16">
        <v>55</v>
      </c>
      <c r="I16" s="5">
        <f t="shared" si="1"/>
        <v>392.00377257605692</v>
      </c>
      <c r="J16" s="5">
        <f t="shared" si="3"/>
        <v>2</v>
      </c>
      <c r="K16" s="5"/>
      <c r="L16" s="5"/>
    </row>
    <row r="17" spans="1:12" x14ac:dyDescent="0.2">
      <c r="A17">
        <v>8.75</v>
      </c>
      <c r="B17" t="s">
        <v>219</v>
      </c>
      <c r="C17" s="5">
        <v>55</v>
      </c>
      <c r="D17" s="5">
        <f t="shared" si="0"/>
        <v>392.00377257605692</v>
      </c>
      <c r="E17" s="5">
        <f t="shared" si="2"/>
        <v>0</v>
      </c>
      <c r="F17" s="4">
        <v>8.75</v>
      </c>
      <c r="G17" s="4" t="s">
        <v>247</v>
      </c>
      <c r="H17">
        <v>50</v>
      </c>
      <c r="I17" s="5">
        <f t="shared" si="1"/>
        <v>293.66975814369101</v>
      </c>
      <c r="J17" s="5">
        <f t="shared" si="3"/>
        <v>5</v>
      </c>
      <c r="K17" s="5" t="s">
        <v>236</v>
      </c>
      <c r="L17" s="5"/>
    </row>
    <row r="18" spans="1:12" x14ac:dyDescent="0.2">
      <c r="A18">
        <v>9</v>
      </c>
      <c r="B18" t="s">
        <v>220</v>
      </c>
      <c r="C18" s="5">
        <v>55</v>
      </c>
      <c r="D18" s="5">
        <f t="shared" si="0"/>
        <v>392.00377257605692</v>
      </c>
      <c r="E18" s="5">
        <f t="shared" si="2"/>
        <v>0</v>
      </c>
      <c r="F18" s="4">
        <v>9</v>
      </c>
      <c r="G18" s="4" t="s">
        <v>37</v>
      </c>
      <c r="H18">
        <v>55</v>
      </c>
      <c r="I18" s="5">
        <f t="shared" si="1"/>
        <v>392.00377257605692</v>
      </c>
      <c r="J18" s="5">
        <f t="shared" si="3"/>
        <v>5</v>
      </c>
      <c r="K18" s="5">
        <f>K15/(L15-1)</f>
        <v>4.8873403019744481</v>
      </c>
      <c r="L18" s="5"/>
    </row>
    <row r="19" spans="1:12" x14ac:dyDescent="0.2">
      <c r="A19">
        <v>9.5</v>
      </c>
      <c r="B19" t="s">
        <v>219</v>
      </c>
      <c r="C19" s="5">
        <v>55</v>
      </c>
      <c r="D19" s="5">
        <f t="shared" si="0"/>
        <v>392.00377257605692</v>
      </c>
      <c r="E19" s="5">
        <f t="shared" si="2"/>
        <v>0</v>
      </c>
      <c r="F19" s="4">
        <v>9.5</v>
      </c>
      <c r="G19" s="4" t="s">
        <v>207</v>
      </c>
      <c r="H19">
        <v>50</v>
      </c>
      <c r="I19" s="5">
        <f t="shared" si="1"/>
        <v>293.66975814369101</v>
      </c>
      <c r="J19" s="5">
        <f t="shared" si="3"/>
        <v>5</v>
      </c>
    </row>
    <row r="20" spans="1:12" x14ac:dyDescent="0.2">
      <c r="A20">
        <v>10</v>
      </c>
      <c r="B20" t="s">
        <v>219</v>
      </c>
      <c r="C20" s="5">
        <v>55</v>
      </c>
      <c r="D20" s="5">
        <f t="shared" si="0"/>
        <v>392.00377257605692</v>
      </c>
      <c r="E20" s="5">
        <f t="shared" si="2"/>
        <v>0</v>
      </c>
      <c r="F20" s="4">
        <v>10</v>
      </c>
      <c r="G20" s="4" t="s">
        <v>37</v>
      </c>
      <c r="H20">
        <v>55</v>
      </c>
      <c r="I20" s="5">
        <f t="shared" si="1"/>
        <v>392.00377257605692</v>
      </c>
      <c r="J20" s="5">
        <f t="shared" si="3"/>
        <v>5</v>
      </c>
    </row>
    <row r="21" spans="1:12" x14ac:dyDescent="0.2">
      <c r="A21">
        <v>10.5</v>
      </c>
      <c r="B21" t="s">
        <v>219</v>
      </c>
      <c r="C21" s="5">
        <v>55</v>
      </c>
      <c r="D21" s="5">
        <f t="shared" si="0"/>
        <v>392.00377257605692</v>
      </c>
      <c r="E21" s="5">
        <f t="shared" si="2"/>
        <v>0</v>
      </c>
      <c r="F21" s="4">
        <v>10.5</v>
      </c>
      <c r="G21" s="4" t="s">
        <v>37</v>
      </c>
      <c r="H21">
        <v>55</v>
      </c>
      <c r="I21" s="5">
        <f t="shared" si="1"/>
        <v>392.00377257605692</v>
      </c>
      <c r="J21" s="5">
        <f t="shared" si="3"/>
        <v>0</v>
      </c>
    </row>
    <row r="22" spans="1:12" x14ac:dyDescent="0.2">
      <c r="A22">
        <v>11</v>
      </c>
      <c r="B22" t="s">
        <v>219</v>
      </c>
      <c r="C22" s="5">
        <v>55</v>
      </c>
      <c r="D22" s="5">
        <f t="shared" si="0"/>
        <v>392.00377257605692</v>
      </c>
      <c r="E22" s="5">
        <f t="shared" si="2"/>
        <v>0</v>
      </c>
      <c r="F22" s="4">
        <v>11</v>
      </c>
      <c r="G22" s="4" t="s">
        <v>37</v>
      </c>
      <c r="H22">
        <v>55</v>
      </c>
      <c r="I22" s="5">
        <f t="shared" si="1"/>
        <v>392.00377257605692</v>
      </c>
      <c r="J22" s="5">
        <f t="shared" si="3"/>
        <v>0</v>
      </c>
    </row>
    <row r="23" spans="1:12" x14ac:dyDescent="0.2">
      <c r="A23">
        <v>11.5</v>
      </c>
      <c r="B23" t="s">
        <v>219</v>
      </c>
      <c r="C23" s="5">
        <v>55</v>
      </c>
      <c r="D23" s="5">
        <f t="shared" si="0"/>
        <v>392.00377257605692</v>
      </c>
      <c r="E23" s="5">
        <f t="shared" si="2"/>
        <v>0</v>
      </c>
      <c r="F23" s="4">
        <v>11.5</v>
      </c>
      <c r="G23" s="4" t="s">
        <v>207</v>
      </c>
      <c r="H23">
        <v>50</v>
      </c>
      <c r="I23" s="5">
        <f t="shared" si="1"/>
        <v>293.66975814369101</v>
      </c>
      <c r="J23" s="5">
        <f t="shared" si="3"/>
        <v>5</v>
      </c>
    </row>
    <row r="24" spans="1:12" x14ac:dyDescent="0.2">
      <c r="A24">
        <v>12</v>
      </c>
      <c r="B24" t="s">
        <v>217</v>
      </c>
      <c r="C24" s="5">
        <v>50</v>
      </c>
      <c r="D24" s="5">
        <f t="shared" si="0"/>
        <v>293.66975814369101</v>
      </c>
      <c r="E24" s="5">
        <f t="shared" si="2"/>
        <v>5</v>
      </c>
      <c r="F24" s="4">
        <v>12</v>
      </c>
      <c r="G24" s="4" t="s">
        <v>335</v>
      </c>
      <c r="H24">
        <v>45</v>
      </c>
      <c r="I24" s="5">
        <f t="shared" si="1"/>
        <v>220.00279814001337</v>
      </c>
      <c r="J24" s="5">
        <f t="shared" si="3"/>
        <v>5</v>
      </c>
    </row>
    <row r="25" spans="1:12" x14ac:dyDescent="0.2">
      <c r="A25">
        <v>12.25</v>
      </c>
      <c r="B25" t="s">
        <v>218</v>
      </c>
      <c r="C25" s="5">
        <v>53</v>
      </c>
      <c r="D25" s="5">
        <f t="shared" si="0"/>
        <v>349.23506143398839</v>
      </c>
      <c r="E25" s="5">
        <f t="shared" si="2"/>
        <v>3</v>
      </c>
      <c r="F25" s="4">
        <v>12.25</v>
      </c>
      <c r="G25" s="4" t="s">
        <v>202</v>
      </c>
      <c r="H25">
        <v>53</v>
      </c>
      <c r="I25" s="5">
        <f t="shared" si="1"/>
        <v>349.23506143398839</v>
      </c>
      <c r="J25" s="5">
        <f t="shared" si="3"/>
        <v>8</v>
      </c>
    </row>
    <row r="26" spans="1:12" x14ac:dyDescent="0.2">
      <c r="A26">
        <v>12.5</v>
      </c>
      <c r="B26" t="s">
        <v>219</v>
      </c>
      <c r="C26" s="5">
        <v>55</v>
      </c>
      <c r="D26" s="5">
        <f t="shared" si="0"/>
        <v>392.00377257605692</v>
      </c>
      <c r="E26" s="5">
        <f t="shared" si="2"/>
        <v>2</v>
      </c>
      <c r="F26" s="4">
        <v>12.5</v>
      </c>
      <c r="G26" s="4" t="s">
        <v>37</v>
      </c>
      <c r="H26">
        <v>55</v>
      </c>
      <c r="I26" s="5">
        <f t="shared" si="1"/>
        <v>392.00377257605692</v>
      </c>
      <c r="J26" s="5">
        <f t="shared" si="3"/>
        <v>2</v>
      </c>
    </row>
    <row r="27" spans="1:12" x14ac:dyDescent="0.2">
      <c r="A27">
        <v>12.75</v>
      </c>
      <c r="B27" t="s">
        <v>219</v>
      </c>
      <c r="C27" s="5">
        <v>55</v>
      </c>
      <c r="D27" s="5">
        <f t="shared" si="0"/>
        <v>392.00377257605692</v>
      </c>
      <c r="E27" s="5">
        <f t="shared" si="2"/>
        <v>0</v>
      </c>
      <c r="F27" s="4">
        <v>12.75</v>
      </c>
      <c r="G27" s="4" t="s">
        <v>247</v>
      </c>
      <c r="H27">
        <v>50</v>
      </c>
      <c r="I27" s="5">
        <f t="shared" si="1"/>
        <v>293.66975814369101</v>
      </c>
      <c r="J27" s="5">
        <f t="shared" si="3"/>
        <v>5</v>
      </c>
    </row>
    <row r="28" spans="1:12" x14ac:dyDescent="0.2">
      <c r="A28">
        <v>13</v>
      </c>
      <c r="B28" t="s">
        <v>220</v>
      </c>
      <c r="C28" s="5">
        <v>55</v>
      </c>
      <c r="D28" s="5">
        <f t="shared" si="0"/>
        <v>392.00377257605692</v>
      </c>
      <c r="E28" s="5">
        <f t="shared" si="2"/>
        <v>0</v>
      </c>
      <c r="F28" s="4">
        <v>13</v>
      </c>
      <c r="G28" s="4" t="s">
        <v>37</v>
      </c>
      <c r="H28">
        <v>55</v>
      </c>
      <c r="I28" s="5">
        <f t="shared" si="1"/>
        <v>392.00377257605692</v>
      </c>
      <c r="J28" s="5">
        <f t="shared" si="3"/>
        <v>5</v>
      </c>
    </row>
    <row r="29" spans="1:12" x14ac:dyDescent="0.2">
      <c r="A29">
        <v>13.5</v>
      </c>
      <c r="B29" t="s">
        <v>219</v>
      </c>
      <c r="C29" s="5">
        <v>55</v>
      </c>
      <c r="D29" s="5">
        <f t="shared" si="0"/>
        <v>392.00377257605692</v>
      </c>
      <c r="E29" s="5">
        <f t="shared" si="2"/>
        <v>0</v>
      </c>
      <c r="F29" s="4">
        <v>13.5</v>
      </c>
      <c r="G29" s="4" t="s">
        <v>207</v>
      </c>
      <c r="H29">
        <v>50</v>
      </c>
      <c r="I29" s="5">
        <f t="shared" si="1"/>
        <v>293.66975814369101</v>
      </c>
      <c r="J29" s="5">
        <f t="shared" si="3"/>
        <v>5</v>
      </c>
    </row>
    <row r="30" spans="1:12" x14ac:dyDescent="0.2">
      <c r="A30">
        <v>14</v>
      </c>
      <c r="B30" t="s">
        <v>219</v>
      </c>
      <c r="C30" s="5">
        <v>55</v>
      </c>
      <c r="D30" s="5">
        <f t="shared" si="0"/>
        <v>392.00377257605692</v>
      </c>
      <c r="E30" s="5">
        <f t="shared" si="2"/>
        <v>0</v>
      </c>
      <c r="F30" s="4">
        <v>14</v>
      </c>
      <c r="G30" s="4" t="s">
        <v>37</v>
      </c>
      <c r="H30">
        <v>55</v>
      </c>
      <c r="I30" s="5">
        <f t="shared" si="1"/>
        <v>392.00377257605692</v>
      </c>
      <c r="J30" s="5">
        <f t="shared" si="3"/>
        <v>5</v>
      </c>
    </row>
    <row r="31" spans="1:12" x14ac:dyDescent="0.2">
      <c r="A31">
        <v>14.5</v>
      </c>
      <c r="B31" t="s">
        <v>219</v>
      </c>
      <c r="C31" s="5">
        <v>55</v>
      </c>
      <c r="D31" s="5">
        <f t="shared" si="0"/>
        <v>392.00377257605692</v>
      </c>
      <c r="E31" s="5">
        <f t="shared" si="2"/>
        <v>0</v>
      </c>
      <c r="F31" s="4">
        <v>14.5</v>
      </c>
      <c r="G31" s="4" t="s">
        <v>37</v>
      </c>
      <c r="H31">
        <v>55</v>
      </c>
      <c r="I31" s="5">
        <f t="shared" si="1"/>
        <v>392.00377257605692</v>
      </c>
      <c r="J31" s="5">
        <f t="shared" si="3"/>
        <v>0</v>
      </c>
    </row>
    <row r="32" spans="1:12" x14ac:dyDescent="0.2">
      <c r="A32">
        <v>15</v>
      </c>
      <c r="B32" t="s">
        <v>219</v>
      </c>
      <c r="C32" s="5">
        <v>55</v>
      </c>
      <c r="D32" s="5">
        <f t="shared" si="0"/>
        <v>392.00377257605692</v>
      </c>
      <c r="E32" s="5">
        <f t="shared" si="2"/>
        <v>0</v>
      </c>
      <c r="F32" s="4">
        <v>15</v>
      </c>
      <c r="G32" s="4" t="s">
        <v>37</v>
      </c>
      <c r="H32">
        <v>55</v>
      </c>
      <c r="I32" s="5">
        <f t="shared" si="1"/>
        <v>392.00377257605692</v>
      </c>
      <c r="J32" s="5">
        <f t="shared" si="3"/>
        <v>0</v>
      </c>
    </row>
    <row r="33" spans="1:10" x14ac:dyDescent="0.2">
      <c r="A33">
        <v>15.5</v>
      </c>
      <c r="B33" t="s">
        <v>219</v>
      </c>
      <c r="C33" s="5">
        <v>55</v>
      </c>
      <c r="D33" s="5">
        <f t="shared" si="0"/>
        <v>392.00377257605692</v>
      </c>
      <c r="E33" s="5">
        <f t="shared" si="2"/>
        <v>0</v>
      </c>
      <c r="F33" s="4">
        <v>15.5</v>
      </c>
      <c r="G33" s="4" t="s">
        <v>207</v>
      </c>
      <c r="H33" s="5">
        <v>50</v>
      </c>
      <c r="I33" s="5">
        <f t="shared" si="1"/>
        <v>293.66975814369101</v>
      </c>
      <c r="J33" s="5">
        <f t="shared" si="3"/>
        <v>5</v>
      </c>
    </row>
    <row r="34" spans="1:10" x14ac:dyDescent="0.2">
      <c r="A34">
        <v>16</v>
      </c>
      <c r="B34" t="s">
        <v>217</v>
      </c>
      <c r="C34" s="5">
        <v>50</v>
      </c>
      <c r="D34" s="5">
        <f t="shared" si="0"/>
        <v>293.66975814369101</v>
      </c>
      <c r="E34" s="5">
        <f t="shared" si="2"/>
        <v>5</v>
      </c>
      <c r="F34" s="4">
        <v>16</v>
      </c>
      <c r="G34" s="4" t="s">
        <v>335</v>
      </c>
      <c r="H34" s="5">
        <v>45</v>
      </c>
      <c r="I34" s="5">
        <f t="shared" si="1"/>
        <v>220.00279814001337</v>
      </c>
      <c r="J34" s="5">
        <f t="shared" si="3"/>
        <v>5</v>
      </c>
    </row>
    <row r="35" spans="1:10" x14ac:dyDescent="0.2">
      <c r="A35">
        <v>16.25</v>
      </c>
      <c r="B35" t="s">
        <v>218</v>
      </c>
      <c r="C35" s="5">
        <v>53</v>
      </c>
      <c r="D35" s="5">
        <f t="shared" si="0"/>
        <v>349.23506143398839</v>
      </c>
      <c r="E35" s="5">
        <f t="shared" si="2"/>
        <v>3</v>
      </c>
      <c r="F35" s="4">
        <v>16.25</v>
      </c>
      <c r="G35" s="4" t="s">
        <v>202</v>
      </c>
      <c r="H35" s="5">
        <v>53</v>
      </c>
      <c r="I35" s="5">
        <f t="shared" si="1"/>
        <v>349.23506143398839</v>
      </c>
      <c r="J35" s="5">
        <f t="shared" si="3"/>
        <v>8</v>
      </c>
    </row>
    <row r="36" spans="1:10" x14ac:dyDescent="0.2">
      <c r="A36">
        <v>16.5</v>
      </c>
      <c r="B36" t="s">
        <v>219</v>
      </c>
      <c r="C36" s="5">
        <v>55</v>
      </c>
      <c r="D36" s="5">
        <f t="shared" si="0"/>
        <v>392.00377257605692</v>
      </c>
      <c r="E36" s="5">
        <f t="shared" si="2"/>
        <v>2</v>
      </c>
      <c r="F36" s="4">
        <v>16.5</v>
      </c>
      <c r="G36" s="4" t="s">
        <v>37</v>
      </c>
      <c r="H36" s="5">
        <v>55</v>
      </c>
      <c r="I36" s="5">
        <f t="shared" si="1"/>
        <v>392.00377257605692</v>
      </c>
      <c r="J36" s="5">
        <f t="shared" si="3"/>
        <v>2</v>
      </c>
    </row>
    <row r="37" spans="1:10" x14ac:dyDescent="0.2">
      <c r="A37">
        <v>16.75</v>
      </c>
      <c r="B37" t="s">
        <v>219</v>
      </c>
      <c r="C37" s="5">
        <v>55</v>
      </c>
      <c r="D37" s="5">
        <f t="shared" si="0"/>
        <v>392.00377257605692</v>
      </c>
      <c r="E37" s="5">
        <f t="shared" si="2"/>
        <v>0</v>
      </c>
      <c r="F37" s="4">
        <v>16.75</v>
      </c>
      <c r="G37" s="4" t="s">
        <v>247</v>
      </c>
      <c r="H37" s="5">
        <v>50</v>
      </c>
      <c r="I37" s="5">
        <f t="shared" si="1"/>
        <v>293.66975814369101</v>
      </c>
      <c r="J37" s="5">
        <f t="shared" si="3"/>
        <v>5</v>
      </c>
    </row>
    <row r="38" spans="1:10" x14ac:dyDescent="0.2">
      <c r="A38">
        <v>17</v>
      </c>
      <c r="B38" t="s">
        <v>220</v>
      </c>
      <c r="C38" s="5">
        <v>55</v>
      </c>
      <c r="D38" s="5">
        <f t="shared" si="0"/>
        <v>392.00377257605692</v>
      </c>
      <c r="E38" s="5">
        <f t="shared" si="2"/>
        <v>0</v>
      </c>
      <c r="F38" s="4">
        <v>17</v>
      </c>
      <c r="G38" s="4" t="s">
        <v>37</v>
      </c>
      <c r="H38" s="5">
        <v>55</v>
      </c>
      <c r="I38" s="5">
        <f t="shared" si="1"/>
        <v>392.00377257605692</v>
      </c>
      <c r="J38" s="5">
        <f t="shared" si="3"/>
        <v>5</v>
      </c>
    </row>
    <row r="39" spans="1:10" x14ac:dyDescent="0.2">
      <c r="A39">
        <v>17.5</v>
      </c>
      <c r="B39" t="s">
        <v>219</v>
      </c>
      <c r="C39" s="5">
        <v>55</v>
      </c>
      <c r="D39" s="5">
        <f t="shared" si="0"/>
        <v>392.00377257605692</v>
      </c>
      <c r="E39" s="5">
        <f t="shared" si="2"/>
        <v>0</v>
      </c>
      <c r="F39" s="4">
        <v>17.5</v>
      </c>
      <c r="G39" s="4" t="s">
        <v>207</v>
      </c>
      <c r="H39" s="5">
        <v>50</v>
      </c>
      <c r="I39" s="5">
        <f t="shared" si="1"/>
        <v>293.66975814369101</v>
      </c>
      <c r="J39" s="5">
        <f t="shared" si="3"/>
        <v>5</v>
      </c>
    </row>
    <row r="40" spans="1:10" x14ac:dyDescent="0.2">
      <c r="A40">
        <v>18</v>
      </c>
      <c r="B40" t="s">
        <v>219</v>
      </c>
      <c r="C40" s="5">
        <v>55</v>
      </c>
      <c r="D40" s="5">
        <f t="shared" si="0"/>
        <v>392.00377257605692</v>
      </c>
      <c r="E40" s="5">
        <f t="shared" si="2"/>
        <v>0</v>
      </c>
      <c r="F40" s="4">
        <v>18</v>
      </c>
      <c r="G40" s="4" t="s">
        <v>37</v>
      </c>
      <c r="H40" s="5">
        <v>55</v>
      </c>
      <c r="I40" s="5">
        <f t="shared" si="1"/>
        <v>392.00377257605692</v>
      </c>
      <c r="J40" s="5">
        <f t="shared" si="3"/>
        <v>5</v>
      </c>
    </row>
    <row r="41" spans="1:10" x14ac:dyDescent="0.2">
      <c r="A41">
        <v>18.5</v>
      </c>
      <c r="B41" t="s">
        <v>219</v>
      </c>
      <c r="C41" s="5">
        <v>55</v>
      </c>
      <c r="D41" s="5">
        <f t="shared" si="0"/>
        <v>392.00377257605692</v>
      </c>
      <c r="E41" s="5">
        <f t="shared" si="2"/>
        <v>0</v>
      </c>
      <c r="F41" s="4">
        <v>18.5</v>
      </c>
      <c r="G41" s="4" t="s">
        <v>37</v>
      </c>
      <c r="H41" s="5">
        <v>55</v>
      </c>
      <c r="I41" s="5">
        <f t="shared" si="1"/>
        <v>392.00377257605692</v>
      </c>
      <c r="J41" s="5">
        <f t="shared" si="3"/>
        <v>0</v>
      </c>
    </row>
    <row r="42" spans="1:10" x14ac:dyDescent="0.2">
      <c r="A42">
        <v>19</v>
      </c>
      <c r="B42" t="s">
        <v>219</v>
      </c>
      <c r="C42" s="5">
        <v>55</v>
      </c>
      <c r="D42" s="5">
        <f t="shared" si="0"/>
        <v>392.00377257605692</v>
      </c>
      <c r="E42" s="5">
        <f t="shared" si="2"/>
        <v>0</v>
      </c>
      <c r="F42" s="4">
        <v>19</v>
      </c>
      <c r="G42" s="4" t="s">
        <v>37</v>
      </c>
      <c r="H42" s="5">
        <v>55</v>
      </c>
      <c r="I42" s="5">
        <f t="shared" si="1"/>
        <v>392.00377257605692</v>
      </c>
      <c r="J42" s="5">
        <f t="shared" si="3"/>
        <v>0</v>
      </c>
    </row>
    <row r="43" spans="1:10" x14ac:dyDescent="0.2">
      <c r="A43">
        <v>19.5</v>
      </c>
      <c r="B43" t="s">
        <v>219</v>
      </c>
      <c r="C43" s="5">
        <v>55</v>
      </c>
      <c r="D43" s="5">
        <f t="shared" si="0"/>
        <v>392.00377257605692</v>
      </c>
      <c r="E43" s="5">
        <f t="shared" si="2"/>
        <v>0</v>
      </c>
      <c r="F43" s="4">
        <v>19.5</v>
      </c>
      <c r="G43" s="4" t="s">
        <v>207</v>
      </c>
      <c r="H43" s="5">
        <v>50</v>
      </c>
      <c r="I43" s="5">
        <f t="shared" si="1"/>
        <v>293.66975814369101</v>
      </c>
      <c r="J43" s="5">
        <f t="shared" si="3"/>
        <v>5</v>
      </c>
    </row>
    <row r="44" spans="1:10" x14ac:dyDescent="0.2">
      <c r="A44">
        <v>20</v>
      </c>
      <c r="B44" t="s">
        <v>281</v>
      </c>
      <c r="C44" s="5">
        <v>50</v>
      </c>
      <c r="D44" s="5">
        <f t="shared" si="0"/>
        <v>293.66975814369101</v>
      </c>
      <c r="E44" s="5">
        <f t="shared" si="2"/>
        <v>5</v>
      </c>
      <c r="F44" s="4">
        <v>20</v>
      </c>
      <c r="G44" s="4" t="s">
        <v>337</v>
      </c>
      <c r="H44" s="5">
        <v>45</v>
      </c>
      <c r="I44" s="5">
        <f t="shared" si="1"/>
        <v>220.00279814001337</v>
      </c>
      <c r="J44" s="5">
        <f t="shared" si="3"/>
        <v>5</v>
      </c>
    </row>
    <row r="45" spans="1:10" x14ac:dyDescent="0.2">
      <c r="A45">
        <v>20.25</v>
      </c>
      <c r="B45" t="s">
        <v>282</v>
      </c>
      <c r="C45" s="5">
        <v>57</v>
      </c>
      <c r="D45" s="5">
        <f t="shared" si="0"/>
        <v>440.01010976071973</v>
      </c>
      <c r="E45" s="5">
        <f t="shared" si="2"/>
        <v>7</v>
      </c>
      <c r="F45" s="4">
        <v>20.25</v>
      </c>
      <c r="G45" s="4" t="s">
        <v>202</v>
      </c>
      <c r="H45" s="5">
        <v>53</v>
      </c>
      <c r="I45" s="5">
        <f t="shared" si="1"/>
        <v>349.23506143398839</v>
      </c>
      <c r="J45" s="5">
        <f t="shared" si="3"/>
        <v>8</v>
      </c>
    </row>
    <row r="46" spans="1:10" x14ac:dyDescent="0.2">
      <c r="A46">
        <v>20.5</v>
      </c>
      <c r="B46" t="s">
        <v>283</v>
      </c>
      <c r="C46" s="5">
        <v>59</v>
      </c>
      <c r="D46" s="5">
        <f t="shared" si="0"/>
        <v>493.89549345236594</v>
      </c>
      <c r="E46" s="5">
        <f t="shared" si="2"/>
        <v>2</v>
      </c>
      <c r="F46" s="4">
        <v>20.5</v>
      </c>
      <c r="G46" s="4" t="s">
        <v>338</v>
      </c>
      <c r="H46" s="5">
        <v>55</v>
      </c>
      <c r="I46" s="5">
        <f t="shared" si="1"/>
        <v>392.00377257605692</v>
      </c>
      <c r="J46" s="5">
        <f t="shared" si="3"/>
        <v>2</v>
      </c>
    </row>
    <row r="47" spans="1:10" x14ac:dyDescent="0.2">
      <c r="A47">
        <v>20.75</v>
      </c>
      <c r="B47" t="s">
        <v>219</v>
      </c>
      <c r="C47" s="5">
        <v>55</v>
      </c>
      <c r="D47" s="5">
        <f t="shared" si="0"/>
        <v>392.00377257605692</v>
      </c>
      <c r="E47" s="5">
        <f t="shared" si="2"/>
        <v>4</v>
      </c>
      <c r="F47" s="4">
        <v>20.75</v>
      </c>
      <c r="G47" s="4" t="s">
        <v>247</v>
      </c>
      <c r="H47" s="5">
        <v>50</v>
      </c>
      <c r="I47" s="5">
        <f t="shared" si="1"/>
        <v>293.66975814369101</v>
      </c>
      <c r="J47" s="5">
        <f t="shared" si="3"/>
        <v>5</v>
      </c>
    </row>
    <row r="48" spans="1:10" x14ac:dyDescent="0.2">
      <c r="A48">
        <v>21</v>
      </c>
      <c r="B48" t="s">
        <v>284</v>
      </c>
      <c r="C48" s="5">
        <v>59</v>
      </c>
      <c r="D48" s="5">
        <f t="shared" si="0"/>
        <v>493.89549345236594</v>
      </c>
      <c r="E48" s="5">
        <f t="shared" si="2"/>
        <v>4</v>
      </c>
      <c r="F48" s="4">
        <v>21</v>
      </c>
      <c r="G48" s="4" t="s">
        <v>37</v>
      </c>
      <c r="H48" s="5">
        <v>55</v>
      </c>
      <c r="I48" s="5">
        <f t="shared" si="1"/>
        <v>392.00377257605692</v>
      </c>
      <c r="J48" s="5">
        <f t="shared" si="3"/>
        <v>5</v>
      </c>
    </row>
    <row r="49" spans="1:10" x14ac:dyDescent="0.2">
      <c r="A49">
        <v>21.5</v>
      </c>
      <c r="B49" t="s">
        <v>219</v>
      </c>
      <c r="C49" s="5">
        <v>55</v>
      </c>
      <c r="D49" s="5">
        <f t="shared" si="0"/>
        <v>392.00377257605692</v>
      </c>
      <c r="E49" s="5">
        <f t="shared" si="2"/>
        <v>4</v>
      </c>
      <c r="F49" s="4">
        <v>21.5</v>
      </c>
      <c r="G49" s="4" t="s">
        <v>339</v>
      </c>
      <c r="H49" s="5">
        <v>59</v>
      </c>
      <c r="I49" s="5">
        <f t="shared" si="1"/>
        <v>493.89549345236594</v>
      </c>
      <c r="J49" s="5">
        <f t="shared" si="3"/>
        <v>4</v>
      </c>
    </row>
    <row r="50" spans="1:10" x14ac:dyDescent="0.2">
      <c r="A50">
        <v>21.75</v>
      </c>
      <c r="B50" t="s">
        <v>281</v>
      </c>
      <c r="C50" s="5">
        <v>50</v>
      </c>
      <c r="D50" s="5">
        <f t="shared" si="0"/>
        <v>293.66975814369101</v>
      </c>
      <c r="E50" s="5">
        <f t="shared" si="2"/>
        <v>5</v>
      </c>
      <c r="F50" s="4">
        <v>21.75</v>
      </c>
      <c r="G50" s="4" t="s">
        <v>340</v>
      </c>
      <c r="H50" s="5">
        <v>50</v>
      </c>
      <c r="I50" s="5">
        <f t="shared" si="1"/>
        <v>293.66975814369101</v>
      </c>
      <c r="J50" s="5">
        <f t="shared" si="3"/>
        <v>9</v>
      </c>
    </row>
    <row r="51" spans="1:10" x14ac:dyDescent="0.2">
      <c r="A51">
        <v>22</v>
      </c>
      <c r="B51" t="s">
        <v>284</v>
      </c>
      <c r="C51" s="5">
        <v>59</v>
      </c>
      <c r="D51" s="5">
        <f t="shared" si="0"/>
        <v>493.89549345236594</v>
      </c>
      <c r="E51" s="5">
        <f t="shared" si="2"/>
        <v>9</v>
      </c>
      <c r="F51" s="4">
        <v>22</v>
      </c>
      <c r="G51" s="4" t="s">
        <v>37</v>
      </c>
      <c r="H51" s="5">
        <v>55</v>
      </c>
      <c r="I51" s="5">
        <f t="shared" si="1"/>
        <v>392.00377257605692</v>
      </c>
      <c r="J51" s="5">
        <f t="shared" si="3"/>
        <v>5</v>
      </c>
    </row>
    <row r="52" spans="1:10" x14ac:dyDescent="0.2">
      <c r="A52">
        <v>22.5</v>
      </c>
      <c r="B52" t="s">
        <v>286</v>
      </c>
      <c r="C52" s="5">
        <v>55</v>
      </c>
      <c r="D52" s="5">
        <f t="shared" si="0"/>
        <v>392.00377257605692</v>
      </c>
      <c r="E52" s="5">
        <f t="shared" si="2"/>
        <v>4</v>
      </c>
      <c r="F52" s="4">
        <v>22.5</v>
      </c>
      <c r="G52" s="4" t="s">
        <v>37</v>
      </c>
      <c r="H52" s="5">
        <v>55</v>
      </c>
      <c r="I52" s="5">
        <f t="shared" si="1"/>
        <v>392.00377257605692</v>
      </c>
      <c r="J52" s="5">
        <f t="shared" si="3"/>
        <v>0</v>
      </c>
    </row>
    <row r="53" spans="1:10" x14ac:dyDescent="0.2">
      <c r="A53">
        <v>23</v>
      </c>
      <c r="B53" t="s">
        <v>287</v>
      </c>
      <c r="C53" s="5">
        <v>62</v>
      </c>
      <c r="D53" s="5">
        <f t="shared" si="0"/>
        <v>587.34554108704231</v>
      </c>
      <c r="E53" s="5">
        <f t="shared" si="2"/>
        <v>7</v>
      </c>
      <c r="F53" s="4">
        <v>23</v>
      </c>
      <c r="G53" s="4" t="s">
        <v>341</v>
      </c>
      <c r="H53" s="5">
        <v>59</v>
      </c>
      <c r="I53" s="5">
        <f t="shared" si="1"/>
        <v>493.89549345236594</v>
      </c>
      <c r="J53" s="5">
        <f t="shared" si="3"/>
        <v>4</v>
      </c>
    </row>
    <row r="54" spans="1:10" x14ac:dyDescent="0.2">
      <c r="A54">
        <v>23.5</v>
      </c>
      <c r="B54" t="s">
        <v>219</v>
      </c>
      <c r="C54" s="5">
        <v>55</v>
      </c>
      <c r="D54" s="5">
        <f t="shared" si="0"/>
        <v>392.00377257605692</v>
      </c>
      <c r="E54" s="5">
        <f t="shared" si="2"/>
        <v>7</v>
      </c>
      <c r="F54" s="4">
        <v>23.5</v>
      </c>
      <c r="G54" s="4" t="s">
        <v>207</v>
      </c>
      <c r="H54" s="5">
        <v>50</v>
      </c>
      <c r="I54" s="5">
        <f t="shared" si="1"/>
        <v>293.66975814369101</v>
      </c>
      <c r="J54" s="5">
        <f t="shared" si="3"/>
        <v>9</v>
      </c>
    </row>
    <row r="55" spans="1:10" x14ac:dyDescent="0.2">
      <c r="A55">
        <v>24</v>
      </c>
      <c r="B55" t="s">
        <v>288</v>
      </c>
      <c r="C55" s="5">
        <v>50</v>
      </c>
      <c r="D55" s="5">
        <f t="shared" si="0"/>
        <v>293.66975814369101</v>
      </c>
      <c r="E55" s="5">
        <f t="shared" si="2"/>
        <v>5</v>
      </c>
      <c r="F55" s="4">
        <v>24</v>
      </c>
      <c r="G55" s="4" t="s">
        <v>337</v>
      </c>
      <c r="H55" s="5">
        <v>45</v>
      </c>
      <c r="I55" s="5">
        <f t="shared" si="1"/>
        <v>220.00279814001337</v>
      </c>
      <c r="J55" s="5">
        <f t="shared" si="3"/>
        <v>5</v>
      </c>
    </row>
    <row r="56" spans="1:10" x14ac:dyDescent="0.2">
      <c r="A56">
        <v>24.25</v>
      </c>
      <c r="B56" t="s">
        <v>289</v>
      </c>
      <c r="C56" s="5">
        <v>57</v>
      </c>
      <c r="D56" s="5">
        <f t="shared" si="0"/>
        <v>440.01010976071973</v>
      </c>
      <c r="E56" s="5">
        <f t="shared" si="2"/>
        <v>7</v>
      </c>
      <c r="F56" s="4">
        <v>24.25</v>
      </c>
      <c r="G56" s="4" t="s">
        <v>202</v>
      </c>
      <c r="H56" s="5">
        <v>53</v>
      </c>
      <c r="I56" s="5">
        <f t="shared" si="1"/>
        <v>349.23506143398839</v>
      </c>
      <c r="J56" s="5">
        <f t="shared" si="3"/>
        <v>8</v>
      </c>
    </row>
    <row r="57" spans="1:10" x14ac:dyDescent="0.2">
      <c r="A57">
        <v>24.5</v>
      </c>
      <c r="B57" t="s">
        <v>284</v>
      </c>
      <c r="C57" s="5">
        <v>59</v>
      </c>
      <c r="D57" s="5">
        <f t="shared" si="0"/>
        <v>493.89549345236594</v>
      </c>
      <c r="E57" s="5">
        <f t="shared" si="2"/>
        <v>2</v>
      </c>
      <c r="F57" s="4">
        <v>24.5</v>
      </c>
      <c r="G57" s="4" t="s">
        <v>37</v>
      </c>
      <c r="H57" s="5">
        <v>55</v>
      </c>
      <c r="I57" s="5">
        <f t="shared" si="1"/>
        <v>392.00377257605692</v>
      </c>
      <c r="J57" s="5">
        <f t="shared" si="3"/>
        <v>2</v>
      </c>
    </row>
    <row r="58" spans="1:10" x14ac:dyDescent="0.2">
      <c r="A58">
        <v>24.75</v>
      </c>
      <c r="B58" t="s">
        <v>219</v>
      </c>
      <c r="C58" s="5">
        <v>55</v>
      </c>
      <c r="D58" s="5">
        <f t="shared" si="0"/>
        <v>392.00377257605692</v>
      </c>
      <c r="E58" s="5">
        <f t="shared" si="2"/>
        <v>4</v>
      </c>
      <c r="F58" s="4">
        <v>24.75</v>
      </c>
      <c r="G58" s="4" t="s">
        <v>247</v>
      </c>
      <c r="H58" s="5">
        <v>50</v>
      </c>
      <c r="I58" s="5">
        <f t="shared" si="1"/>
        <v>293.66975814369101</v>
      </c>
      <c r="J58" s="5">
        <f t="shared" si="3"/>
        <v>5</v>
      </c>
    </row>
    <row r="59" spans="1:10" x14ac:dyDescent="0.2">
      <c r="A59">
        <v>25</v>
      </c>
      <c r="B59" t="s">
        <v>284</v>
      </c>
      <c r="C59" s="5">
        <v>59</v>
      </c>
      <c r="D59" s="5">
        <f t="shared" si="0"/>
        <v>493.89549345236594</v>
      </c>
      <c r="E59" s="5">
        <f t="shared" si="2"/>
        <v>4</v>
      </c>
      <c r="F59" s="4">
        <v>25</v>
      </c>
      <c r="G59" s="4" t="s">
        <v>37</v>
      </c>
      <c r="H59" s="5">
        <v>55</v>
      </c>
      <c r="I59" s="5">
        <f t="shared" si="1"/>
        <v>392.00377257605692</v>
      </c>
      <c r="J59" s="5">
        <f t="shared" si="3"/>
        <v>5</v>
      </c>
    </row>
    <row r="60" spans="1:10" x14ac:dyDescent="0.2">
      <c r="A60">
        <v>25.5</v>
      </c>
      <c r="B60" t="s">
        <v>219</v>
      </c>
      <c r="C60">
        <v>55</v>
      </c>
      <c r="D60" s="5">
        <f t="shared" si="0"/>
        <v>392.00377257605692</v>
      </c>
      <c r="E60" s="5">
        <f t="shared" si="2"/>
        <v>4</v>
      </c>
      <c r="F60" s="4">
        <v>25.5</v>
      </c>
      <c r="G60" s="4" t="s">
        <v>341</v>
      </c>
      <c r="H60" s="5">
        <v>59</v>
      </c>
      <c r="I60" s="5">
        <f t="shared" si="1"/>
        <v>493.89549345236594</v>
      </c>
      <c r="J60" s="5">
        <f t="shared" si="3"/>
        <v>4</v>
      </c>
    </row>
    <row r="61" spans="1:10" x14ac:dyDescent="0.2">
      <c r="A61">
        <v>25.75</v>
      </c>
      <c r="B61" t="s">
        <v>373</v>
      </c>
      <c r="C61" s="5">
        <v>50</v>
      </c>
      <c r="D61" s="5">
        <f t="shared" si="0"/>
        <v>293.66975814369101</v>
      </c>
      <c r="E61" s="5">
        <f t="shared" si="2"/>
        <v>5</v>
      </c>
      <c r="F61" s="4">
        <v>25.75</v>
      </c>
      <c r="G61" s="4" t="s">
        <v>247</v>
      </c>
      <c r="H61" s="5">
        <v>50</v>
      </c>
      <c r="I61" s="5">
        <f t="shared" si="1"/>
        <v>293.66975814369101</v>
      </c>
      <c r="J61" s="5">
        <f t="shared" si="3"/>
        <v>9</v>
      </c>
    </row>
    <row r="62" spans="1:10" x14ac:dyDescent="0.2">
      <c r="A62">
        <v>26</v>
      </c>
      <c r="B62" t="s">
        <v>283</v>
      </c>
      <c r="C62" s="5">
        <v>59</v>
      </c>
      <c r="D62" s="5">
        <f t="shared" si="0"/>
        <v>493.89549345236594</v>
      </c>
      <c r="E62" s="5">
        <f t="shared" si="2"/>
        <v>9</v>
      </c>
      <c r="F62" s="4">
        <v>26</v>
      </c>
      <c r="G62" s="4" t="s">
        <v>37</v>
      </c>
      <c r="H62" s="5">
        <v>55</v>
      </c>
      <c r="I62" s="5">
        <f t="shared" si="1"/>
        <v>392.00377257605692</v>
      </c>
      <c r="J62" s="5">
        <f t="shared" si="3"/>
        <v>5</v>
      </c>
    </row>
    <row r="63" spans="1:10" x14ac:dyDescent="0.2">
      <c r="A63">
        <v>26.5</v>
      </c>
      <c r="B63" t="s">
        <v>219</v>
      </c>
      <c r="C63" s="5">
        <v>55</v>
      </c>
      <c r="D63" s="5">
        <f t="shared" si="0"/>
        <v>392.00377257605692</v>
      </c>
      <c r="E63" s="5">
        <f t="shared" si="2"/>
        <v>4</v>
      </c>
      <c r="F63" s="4">
        <v>26.5</v>
      </c>
      <c r="G63" s="4" t="s">
        <v>37</v>
      </c>
      <c r="H63" s="5">
        <v>55</v>
      </c>
      <c r="I63" s="5">
        <f t="shared" si="1"/>
        <v>392.00377257605692</v>
      </c>
      <c r="J63" s="5">
        <f t="shared" si="3"/>
        <v>0</v>
      </c>
    </row>
    <row r="64" spans="1:10" x14ac:dyDescent="0.2">
      <c r="A64">
        <v>27</v>
      </c>
      <c r="B64" t="s">
        <v>285</v>
      </c>
      <c r="C64">
        <v>62</v>
      </c>
      <c r="D64" s="5">
        <f t="shared" si="0"/>
        <v>587.34554108704231</v>
      </c>
      <c r="E64" s="5">
        <f t="shared" si="2"/>
        <v>7</v>
      </c>
      <c r="F64" s="4">
        <v>27</v>
      </c>
      <c r="G64" s="4" t="s">
        <v>249</v>
      </c>
      <c r="H64" s="5">
        <v>59</v>
      </c>
      <c r="I64" s="5">
        <f t="shared" si="1"/>
        <v>493.89549345236594</v>
      </c>
      <c r="J64" s="5">
        <f t="shared" si="3"/>
        <v>4</v>
      </c>
    </row>
    <row r="65" spans="1:10" x14ac:dyDescent="0.2">
      <c r="A65">
        <v>27.5</v>
      </c>
      <c r="B65" t="s">
        <v>219</v>
      </c>
      <c r="C65">
        <v>55</v>
      </c>
      <c r="D65" s="5">
        <f t="shared" si="0"/>
        <v>392.00377257605692</v>
      </c>
      <c r="E65" s="5">
        <f t="shared" si="2"/>
        <v>7</v>
      </c>
      <c r="F65" s="4">
        <v>27.5</v>
      </c>
      <c r="G65" s="4" t="s">
        <v>207</v>
      </c>
      <c r="H65" s="5">
        <v>50</v>
      </c>
      <c r="I65" s="5">
        <f t="shared" si="1"/>
        <v>293.66975814369101</v>
      </c>
      <c r="J65" s="5">
        <f t="shared" si="3"/>
        <v>9</v>
      </c>
    </row>
    <row r="66" spans="1:10" x14ac:dyDescent="0.2">
      <c r="A66">
        <v>28</v>
      </c>
      <c r="B66" t="s">
        <v>375</v>
      </c>
      <c r="C66">
        <v>50</v>
      </c>
      <c r="D66" s="5">
        <f t="shared" si="0"/>
        <v>293.66975814369101</v>
      </c>
      <c r="E66" s="5">
        <f t="shared" si="2"/>
        <v>5</v>
      </c>
      <c r="F66" s="4">
        <v>28</v>
      </c>
      <c r="G66" s="4" t="s">
        <v>337</v>
      </c>
      <c r="H66" s="5">
        <v>45</v>
      </c>
      <c r="I66" s="5">
        <f t="shared" si="1"/>
        <v>220.00279814001337</v>
      </c>
      <c r="J66" s="5">
        <f t="shared" si="3"/>
        <v>5</v>
      </c>
    </row>
    <row r="67" spans="1:10" x14ac:dyDescent="0.2">
      <c r="A67">
        <v>28.25</v>
      </c>
      <c r="B67" t="s">
        <v>374</v>
      </c>
      <c r="C67">
        <v>55</v>
      </c>
      <c r="D67" s="5">
        <f t="shared" si="0"/>
        <v>392.00377257605692</v>
      </c>
      <c r="E67" s="5">
        <f t="shared" si="2"/>
        <v>5</v>
      </c>
      <c r="F67" s="4">
        <v>28.25</v>
      </c>
      <c r="G67" s="4" t="s">
        <v>38</v>
      </c>
      <c r="H67" s="5">
        <v>52</v>
      </c>
      <c r="I67" s="5">
        <f t="shared" si="1"/>
        <v>329.63372180082422</v>
      </c>
      <c r="J67" s="5">
        <f t="shared" si="3"/>
        <v>7</v>
      </c>
    </row>
    <row r="68" spans="1:10" x14ac:dyDescent="0.2">
      <c r="A68">
        <v>28.5</v>
      </c>
      <c r="B68" t="s">
        <v>381</v>
      </c>
      <c r="C68">
        <v>57</v>
      </c>
      <c r="D68" s="5">
        <f t="shared" ref="D68:D131" si="4">16.35117682*1.059464^C68</f>
        <v>440.01010976071973</v>
      </c>
      <c r="E68" s="5">
        <f t="shared" si="2"/>
        <v>2</v>
      </c>
      <c r="F68" s="4">
        <v>28.5</v>
      </c>
      <c r="G68" s="4" t="s">
        <v>202</v>
      </c>
      <c r="H68" s="5">
        <v>53</v>
      </c>
      <c r="I68" s="5">
        <f t="shared" ref="I68:I131" si="5">16.35117682*1.059464^H68</f>
        <v>349.23506143398839</v>
      </c>
      <c r="J68" s="5">
        <f t="shared" si="3"/>
        <v>1</v>
      </c>
    </row>
    <row r="69" spans="1:10" x14ac:dyDescent="0.2">
      <c r="A69">
        <v>28.75</v>
      </c>
      <c r="B69" t="s">
        <v>374</v>
      </c>
      <c r="C69">
        <v>55</v>
      </c>
      <c r="D69" s="5">
        <f t="shared" si="4"/>
        <v>392.00377257605692</v>
      </c>
      <c r="E69" s="5">
        <f t="shared" ref="E69:E132" si="6">ABS( C69-C68)</f>
        <v>2</v>
      </c>
      <c r="F69" s="4">
        <v>28.75</v>
      </c>
      <c r="G69" s="4" t="s">
        <v>247</v>
      </c>
      <c r="H69" s="5">
        <v>50</v>
      </c>
      <c r="I69" s="5">
        <f t="shared" si="5"/>
        <v>293.66975814369101</v>
      </c>
      <c r="J69" s="5">
        <f t="shared" ref="J69:J132" si="7">ABS( H69-H68)</f>
        <v>3</v>
      </c>
    </row>
    <row r="70" spans="1:10" x14ac:dyDescent="0.2">
      <c r="A70">
        <v>29</v>
      </c>
      <c r="B70" t="s">
        <v>282</v>
      </c>
      <c r="C70">
        <v>57</v>
      </c>
      <c r="D70" s="5">
        <f t="shared" si="4"/>
        <v>440.01010976071973</v>
      </c>
      <c r="E70" s="5">
        <f t="shared" si="6"/>
        <v>2</v>
      </c>
      <c r="F70" s="4">
        <v>29</v>
      </c>
      <c r="G70" s="4" t="s">
        <v>202</v>
      </c>
      <c r="H70" s="5">
        <v>53</v>
      </c>
      <c r="I70" s="5">
        <f t="shared" si="5"/>
        <v>349.23506143398839</v>
      </c>
      <c r="J70" s="5">
        <f t="shared" si="7"/>
        <v>3</v>
      </c>
    </row>
    <row r="71" spans="1:10" x14ac:dyDescent="0.2">
      <c r="A71">
        <v>29.5</v>
      </c>
      <c r="B71" t="s">
        <v>382</v>
      </c>
      <c r="C71" s="5">
        <v>55</v>
      </c>
      <c r="D71" s="5">
        <f t="shared" si="4"/>
        <v>392.00377257605692</v>
      </c>
      <c r="E71" s="5">
        <f t="shared" si="6"/>
        <v>2</v>
      </c>
      <c r="F71" s="4">
        <v>29.5</v>
      </c>
      <c r="G71" s="4" t="s">
        <v>118</v>
      </c>
      <c r="H71" s="5">
        <v>57</v>
      </c>
      <c r="I71" s="5">
        <f t="shared" si="5"/>
        <v>440.01010976071973</v>
      </c>
      <c r="J71" s="5">
        <f t="shared" si="7"/>
        <v>4</v>
      </c>
    </row>
    <row r="72" spans="1:10" x14ac:dyDescent="0.2">
      <c r="A72">
        <v>29.75</v>
      </c>
      <c r="B72" t="s">
        <v>281</v>
      </c>
      <c r="C72" s="5">
        <v>50</v>
      </c>
      <c r="D72" s="5">
        <f t="shared" si="4"/>
        <v>293.66975814369101</v>
      </c>
      <c r="E72" s="5">
        <f t="shared" si="6"/>
        <v>5</v>
      </c>
      <c r="F72" s="4">
        <v>29.75</v>
      </c>
      <c r="G72" s="4" t="s">
        <v>247</v>
      </c>
      <c r="H72" s="5">
        <v>50</v>
      </c>
      <c r="I72" s="5">
        <f t="shared" si="5"/>
        <v>293.66975814369101</v>
      </c>
      <c r="J72" s="5">
        <f t="shared" si="7"/>
        <v>7</v>
      </c>
    </row>
    <row r="73" spans="1:10" x14ac:dyDescent="0.2">
      <c r="A73">
        <v>30</v>
      </c>
      <c r="B73" t="s">
        <v>282</v>
      </c>
      <c r="C73" s="5">
        <v>57</v>
      </c>
      <c r="D73" s="5">
        <f t="shared" si="4"/>
        <v>440.01010976071973</v>
      </c>
      <c r="E73" s="5">
        <f t="shared" si="6"/>
        <v>7</v>
      </c>
      <c r="F73" s="4">
        <v>30</v>
      </c>
      <c r="G73" s="4" t="s">
        <v>202</v>
      </c>
      <c r="H73" s="5">
        <v>53</v>
      </c>
      <c r="I73" s="5">
        <f t="shared" si="5"/>
        <v>349.23506143398839</v>
      </c>
      <c r="J73" s="5">
        <f t="shared" si="7"/>
        <v>3</v>
      </c>
    </row>
    <row r="74" spans="1:10" x14ac:dyDescent="0.2">
      <c r="A74">
        <v>30.5</v>
      </c>
      <c r="B74" t="s">
        <v>286</v>
      </c>
      <c r="C74" s="5">
        <v>55</v>
      </c>
      <c r="D74" s="5">
        <f t="shared" si="4"/>
        <v>392.00377257605692</v>
      </c>
      <c r="E74" s="5">
        <f t="shared" si="6"/>
        <v>2</v>
      </c>
      <c r="F74" s="4">
        <v>30.5</v>
      </c>
      <c r="G74" s="4" t="s">
        <v>250</v>
      </c>
      <c r="H74">
        <v>55</v>
      </c>
      <c r="I74" s="5">
        <f t="shared" si="5"/>
        <v>392.00377257605692</v>
      </c>
      <c r="J74" s="5">
        <f t="shared" si="7"/>
        <v>2</v>
      </c>
    </row>
    <row r="75" spans="1:10" x14ac:dyDescent="0.2">
      <c r="A75">
        <v>31</v>
      </c>
      <c r="B75" t="s">
        <v>383</v>
      </c>
      <c r="C75" s="5">
        <v>60</v>
      </c>
      <c r="D75" s="5">
        <f t="shared" si="4"/>
        <v>523.26449507501752</v>
      </c>
      <c r="E75" s="5">
        <f t="shared" si="6"/>
        <v>5</v>
      </c>
      <c r="F75" s="4">
        <v>31</v>
      </c>
      <c r="G75" s="4" t="s">
        <v>248</v>
      </c>
      <c r="H75">
        <v>57</v>
      </c>
      <c r="I75" s="5">
        <f t="shared" si="5"/>
        <v>440.01010976071973</v>
      </c>
      <c r="J75" s="5">
        <f t="shared" si="7"/>
        <v>2</v>
      </c>
    </row>
    <row r="76" spans="1:10" x14ac:dyDescent="0.2">
      <c r="A76">
        <v>31.5</v>
      </c>
      <c r="B76" t="s">
        <v>219</v>
      </c>
      <c r="C76" s="5">
        <v>55</v>
      </c>
      <c r="D76" s="5">
        <f t="shared" si="4"/>
        <v>392.00377257605692</v>
      </c>
      <c r="E76" s="5">
        <f t="shared" si="6"/>
        <v>5</v>
      </c>
      <c r="F76" s="4">
        <v>31.5</v>
      </c>
      <c r="G76" s="4" t="s">
        <v>247</v>
      </c>
      <c r="H76">
        <v>50</v>
      </c>
      <c r="I76" s="5">
        <f t="shared" si="5"/>
        <v>293.66975814369101</v>
      </c>
      <c r="J76" s="5">
        <f t="shared" si="7"/>
        <v>7</v>
      </c>
    </row>
    <row r="77" spans="1:10" x14ac:dyDescent="0.2">
      <c r="A77">
        <v>32</v>
      </c>
      <c r="B77" t="s">
        <v>281</v>
      </c>
      <c r="C77" s="5">
        <v>50</v>
      </c>
      <c r="D77" s="5">
        <f t="shared" si="4"/>
        <v>293.66975814369101</v>
      </c>
      <c r="E77" s="5">
        <f t="shared" si="6"/>
        <v>5</v>
      </c>
      <c r="F77" s="4">
        <v>32</v>
      </c>
      <c r="G77" s="4" t="s">
        <v>342</v>
      </c>
      <c r="H77">
        <v>45</v>
      </c>
      <c r="I77" s="5">
        <f t="shared" si="5"/>
        <v>220.00279814001337</v>
      </c>
      <c r="J77" s="5">
        <f t="shared" si="7"/>
        <v>5</v>
      </c>
    </row>
    <row r="78" spans="1:10" x14ac:dyDescent="0.2">
      <c r="A78">
        <v>32.25</v>
      </c>
      <c r="B78" t="s">
        <v>423</v>
      </c>
      <c r="C78" s="5">
        <v>52</v>
      </c>
      <c r="D78" s="5">
        <f t="shared" si="4"/>
        <v>329.63372180082422</v>
      </c>
      <c r="E78" s="5">
        <f t="shared" si="6"/>
        <v>2</v>
      </c>
      <c r="F78" s="4">
        <v>32.25</v>
      </c>
      <c r="G78" s="4" t="s">
        <v>385</v>
      </c>
      <c r="H78">
        <v>47</v>
      </c>
      <c r="I78" s="5">
        <f t="shared" si="5"/>
        <v>246.94521361646048</v>
      </c>
      <c r="J78" s="5">
        <f t="shared" si="7"/>
        <v>2</v>
      </c>
    </row>
    <row r="79" spans="1:10" x14ac:dyDescent="0.2">
      <c r="A79">
        <v>32.5</v>
      </c>
      <c r="B79" t="s">
        <v>218</v>
      </c>
      <c r="C79" s="5">
        <v>53</v>
      </c>
      <c r="D79" s="5">
        <f t="shared" si="4"/>
        <v>349.23506143398839</v>
      </c>
      <c r="E79" s="5">
        <f t="shared" si="6"/>
        <v>1</v>
      </c>
      <c r="F79" s="4">
        <v>32.5</v>
      </c>
      <c r="G79" s="4" t="s">
        <v>386</v>
      </c>
      <c r="H79">
        <v>48</v>
      </c>
      <c r="I79" s="5">
        <f t="shared" si="5"/>
        <v>261.62956379894968</v>
      </c>
      <c r="J79" s="5">
        <f t="shared" si="7"/>
        <v>1</v>
      </c>
    </row>
    <row r="80" spans="1:10" x14ac:dyDescent="0.2">
      <c r="A80">
        <v>32.75</v>
      </c>
      <c r="B80" t="s">
        <v>219</v>
      </c>
      <c r="C80" s="5">
        <v>55</v>
      </c>
      <c r="D80" s="5">
        <f t="shared" si="4"/>
        <v>392.00377257605692</v>
      </c>
      <c r="E80" s="5">
        <f t="shared" si="6"/>
        <v>2</v>
      </c>
      <c r="F80" s="4">
        <v>32.75</v>
      </c>
      <c r="G80" s="4" t="s">
        <v>247</v>
      </c>
      <c r="H80">
        <v>50</v>
      </c>
      <c r="I80" s="5">
        <f t="shared" si="5"/>
        <v>293.66975814369101</v>
      </c>
      <c r="J80" s="5">
        <f t="shared" si="7"/>
        <v>2</v>
      </c>
    </row>
    <row r="81" spans="1:10" x14ac:dyDescent="0.2">
      <c r="A81">
        <v>33</v>
      </c>
      <c r="B81" t="s">
        <v>423</v>
      </c>
      <c r="C81" s="5">
        <v>52</v>
      </c>
      <c r="D81" s="5">
        <f t="shared" si="4"/>
        <v>329.63372180082422</v>
      </c>
      <c r="E81" s="5">
        <f t="shared" si="6"/>
        <v>3</v>
      </c>
      <c r="F81" s="4">
        <v>33</v>
      </c>
      <c r="G81" s="4" t="s">
        <v>386</v>
      </c>
      <c r="H81">
        <v>48</v>
      </c>
      <c r="I81" s="5">
        <f t="shared" si="5"/>
        <v>261.62956379894968</v>
      </c>
      <c r="J81" s="5">
        <f t="shared" si="7"/>
        <v>2</v>
      </c>
    </row>
    <row r="82" spans="1:10" x14ac:dyDescent="0.2">
      <c r="A82">
        <v>33.5</v>
      </c>
      <c r="B82" t="s">
        <v>219</v>
      </c>
      <c r="C82" s="5">
        <v>55</v>
      </c>
      <c r="D82" s="5">
        <f t="shared" si="4"/>
        <v>392.00377257605692</v>
      </c>
      <c r="E82" s="5">
        <f t="shared" si="6"/>
        <v>3</v>
      </c>
      <c r="F82" s="4">
        <v>33.5</v>
      </c>
      <c r="G82" s="4" t="s">
        <v>38</v>
      </c>
      <c r="H82">
        <v>52</v>
      </c>
      <c r="I82" s="5">
        <f t="shared" si="5"/>
        <v>329.63372180082422</v>
      </c>
      <c r="J82" s="5">
        <f t="shared" si="7"/>
        <v>4</v>
      </c>
    </row>
    <row r="83" spans="1:10" x14ac:dyDescent="0.2">
      <c r="A83">
        <v>34</v>
      </c>
      <c r="B83" t="s">
        <v>423</v>
      </c>
      <c r="C83" s="5">
        <v>52</v>
      </c>
      <c r="D83" s="5">
        <f t="shared" si="4"/>
        <v>329.63372180082422</v>
      </c>
      <c r="E83" s="5">
        <f t="shared" si="6"/>
        <v>3</v>
      </c>
      <c r="F83" s="4">
        <v>33.75</v>
      </c>
      <c r="G83" s="4" t="s">
        <v>247</v>
      </c>
      <c r="H83">
        <v>50</v>
      </c>
      <c r="I83" s="5">
        <f t="shared" si="5"/>
        <v>293.66975814369101</v>
      </c>
      <c r="J83" s="5">
        <f t="shared" si="7"/>
        <v>2</v>
      </c>
    </row>
    <row r="84" spans="1:10" x14ac:dyDescent="0.2">
      <c r="A84">
        <v>34.5</v>
      </c>
      <c r="B84" t="s">
        <v>219</v>
      </c>
      <c r="C84" s="5">
        <v>55</v>
      </c>
      <c r="D84" s="5">
        <f t="shared" si="4"/>
        <v>392.00377257605692</v>
      </c>
      <c r="E84" s="5">
        <f t="shared" si="6"/>
        <v>3</v>
      </c>
      <c r="F84" s="4">
        <v>34</v>
      </c>
      <c r="G84" s="4" t="s">
        <v>386</v>
      </c>
      <c r="H84">
        <v>48</v>
      </c>
      <c r="I84" s="5">
        <f t="shared" si="5"/>
        <v>261.62956379894968</v>
      </c>
      <c r="J84" s="5">
        <f t="shared" si="7"/>
        <v>2</v>
      </c>
    </row>
    <row r="85" spans="1:10" x14ac:dyDescent="0.2">
      <c r="A85">
        <v>35</v>
      </c>
      <c r="B85" t="s">
        <v>424</v>
      </c>
      <c r="C85" s="5">
        <v>52</v>
      </c>
      <c r="D85" s="5">
        <f t="shared" si="4"/>
        <v>329.63372180082422</v>
      </c>
      <c r="E85" s="5">
        <f t="shared" si="6"/>
        <v>3</v>
      </c>
      <c r="F85" s="4">
        <v>34.5</v>
      </c>
      <c r="G85" s="4" t="s">
        <v>37</v>
      </c>
      <c r="H85">
        <v>55</v>
      </c>
      <c r="I85" s="5">
        <f t="shared" si="5"/>
        <v>392.00377257605692</v>
      </c>
      <c r="J85" s="5">
        <f t="shared" si="7"/>
        <v>7</v>
      </c>
    </row>
    <row r="86" spans="1:10" x14ac:dyDescent="0.2">
      <c r="A86">
        <v>35.5</v>
      </c>
      <c r="B86" t="s">
        <v>219</v>
      </c>
      <c r="C86" s="5">
        <v>55</v>
      </c>
      <c r="D86" s="5">
        <f t="shared" si="4"/>
        <v>392.00377257605692</v>
      </c>
      <c r="E86" s="5">
        <f t="shared" si="6"/>
        <v>3</v>
      </c>
      <c r="F86" s="4">
        <v>35</v>
      </c>
      <c r="G86" s="4" t="s">
        <v>206</v>
      </c>
      <c r="H86">
        <v>52</v>
      </c>
      <c r="I86" s="5">
        <f t="shared" si="5"/>
        <v>329.63372180082422</v>
      </c>
      <c r="J86" s="5">
        <f t="shared" si="7"/>
        <v>3</v>
      </c>
    </row>
    <row r="87" spans="1:10" x14ac:dyDescent="0.2">
      <c r="A87">
        <v>36</v>
      </c>
      <c r="B87" t="s">
        <v>281</v>
      </c>
      <c r="C87" s="5">
        <v>50</v>
      </c>
      <c r="D87" s="5">
        <f t="shared" si="4"/>
        <v>293.66975814369101</v>
      </c>
      <c r="E87" s="5">
        <f t="shared" si="6"/>
        <v>5</v>
      </c>
      <c r="F87" s="4">
        <v>35.5</v>
      </c>
      <c r="G87" s="4" t="s">
        <v>247</v>
      </c>
      <c r="H87">
        <v>50</v>
      </c>
      <c r="I87" s="5">
        <f t="shared" si="5"/>
        <v>293.66975814369101</v>
      </c>
      <c r="J87" s="5">
        <f t="shared" si="7"/>
        <v>2</v>
      </c>
    </row>
    <row r="88" spans="1:10" x14ac:dyDescent="0.2">
      <c r="A88">
        <v>36.25</v>
      </c>
      <c r="B88" t="s">
        <v>282</v>
      </c>
      <c r="C88" s="5">
        <v>57</v>
      </c>
      <c r="D88" s="5">
        <f t="shared" si="4"/>
        <v>440.01010976071973</v>
      </c>
      <c r="E88" s="5">
        <f t="shared" si="6"/>
        <v>7</v>
      </c>
      <c r="F88" s="4">
        <v>36</v>
      </c>
      <c r="G88" s="4" t="s">
        <v>337</v>
      </c>
      <c r="H88">
        <v>45</v>
      </c>
      <c r="I88" s="5">
        <f t="shared" si="5"/>
        <v>220.00279814001337</v>
      </c>
      <c r="J88" s="5">
        <f t="shared" si="7"/>
        <v>5</v>
      </c>
    </row>
    <row r="89" spans="1:10" x14ac:dyDescent="0.2">
      <c r="A89">
        <v>36.5</v>
      </c>
      <c r="B89" t="s">
        <v>283</v>
      </c>
      <c r="C89" s="5">
        <v>59</v>
      </c>
      <c r="D89" s="5">
        <f t="shared" si="4"/>
        <v>493.89549345236594</v>
      </c>
      <c r="E89" s="5">
        <f t="shared" si="6"/>
        <v>2</v>
      </c>
      <c r="F89" s="4">
        <v>36.25</v>
      </c>
      <c r="G89" s="4" t="s">
        <v>202</v>
      </c>
      <c r="H89">
        <v>53</v>
      </c>
      <c r="I89" s="5">
        <f t="shared" si="5"/>
        <v>349.23506143398839</v>
      </c>
      <c r="J89" s="5">
        <f t="shared" si="7"/>
        <v>8</v>
      </c>
    </row>
    <row r="90" spans="1:10" x14ac:dyDescent="0.2">
      <c r="A90">
        <v>36.75</v>
      </c>
      <c r="B90" t="s">
        <v>219</v>
      </c>
      <c r="C90" s="5">
        <v>55</v>
      </c>
      <c r="D90" s="5">
        <f t="shared" si="4"/>
        <v>392.00377257605692</v>
      </c>
      <c r="E90" s="5">
        <f t="shared" si="6"/>
        <v>4</v>
      </c>
      <c r="F90" s="4">
        <v>36.5</v>
      </c>
      <c r="G90" s="4" t="s">
        <v>338</v>
      </c>
      <c r="H90">
        <v>55</v>
      </c>
      <c r="I90" s="5">
        <f t="shared" si="5"/>
        <v>392.00377257605692</v>
      </c>
      <c r="J90" s="5">
        <f t="shared" si="7"/>
        <v>2</v>
      </c>
    </row>
    <row r="91" spans="1:10" x14ac:dyDescent="0.2">
      <c r="A91">
        <v>37</v>
      </c>
      <c r="B91" t="s">
        <v>284</v>
      </c>
      <c r="C91" s="5">
        <v>59</v>
      </c>
      <c r="D91" s="5">
        <f t="shared" si="4"/>
        <v>493.89549345236594</v>
      </c>
      <c r="E91" s="5">
        <f t="shared" si="6"/>
        <v>4</v>
      </c>
      <c r="F91" s="4">
        <v>36.75</v>
      </c>
      <c r="G91" s="4" t="s">
        <v>247</v>
      </c>
      <c r="H91">
        <v>50</v>
      </c>
      <c r="I91" s="5">
        <f t="shared" si="5"/>
        <v>293.66975814369101</v>
      </c>
      <c r="J91" s="5">
        <f t="shared" si="7"/>
        <v>5</v>
      </c>
    </row>
    <row r="92" spans="1:10" x14ac:dyDescent="0.2">
      <c r="A92">
        <v>37.5</v>
      </c>
      <c r="B92" t="s">
        <v>219</v>
      </c>
      <c r="C92" s="5">
        <v>55</v>
      </c>
      <c r="D92" s="5">
        <f t="shared" si="4"/>
        <v>392.00377257605692</v>
      </c>
      <c r="E92" s="5">
        <f t="shared" si="6"/>
        <v>4</v>
      </c>
      <c r="F92" s="4">
        <v>37</v>
      </c>
      <c r="G92" s="4" t="s">
        <v>37</v>
      </c>
      <c r="H92">
        <v>55</v>
      </c>
      <c r="I92" s="5">
        <f t="shared" si="5"/>
        <v>392.00377257605692</v>
      </c>
      <c r="J92" s="5">
        <f t="shared" si="7"/>
        <v>5</v>
      </c>
    </row>
    <row r="93" spans="1:10" x14ac:dyDescent="0.2">
      <c r="A93">
        <v>37.75</v>
      </c>
      <c r="B93" t="s">
        <v>281</v>
      </c>
      <c r="C93" s="5">
        <v>50</v>
      </c>
      <c r="D93" s="5">
        <f t="shared" si="4"/>
        <v>293.66975814369101</v>
      </c>
      <c r="E93" s="5">
        <f t="shared" si="6"/>
        <v>5</v>
      </c>
      <c r="F93" s="4">
        <v>37.5</v>
      </c>
      <c r="G93" s="4" t="s">
        <v>339</v>
      </c>
      <c r="H93">
        <v>59</v>
      </c>
      <c r="I93" s="5">
        <f t="shared" si="5"/>
        <v>493.89549345236594</v>
      </c>
      <c r="J93" s="5">
        <f t="shared" si="7"/>
        <v>4</v>
      </c>
    </row>
    <row r="94" spans="1:10" x14ac:dyDescent="0.2">
      <c r="A94">
        <v>38</v>
      </c>
      <c r="B94" t="s">
        <v>284</v>
      </c>
      <c r="C94" s="5">
        <v>59</v>
      </c>
      <c r="D94" s="5">
        <f t="shared" si="4"/>
        <v>493.89549345236594</v>
      </c>
      <c r="E94" s="5">
        <f t="shared" si="6"/>
        <v>9</v>
      </c>
      <c r="F94" s="4">
        <v>37.75</v>
      </c>
      <c r="G94" s="4" t="s">
        <v>340</v>
      </c>
      <c r="H94">
        <v>50</v>
      </c>
      <c r="I94" s="5">
        <f t="shared" si="5"/>
        <v>293.66975814369101</v>
      </c>
      <c r="J94" s="5">
        <f t="shared" si="7"/>
        <v>9</v>
      </c>
    </row>
    <row r="95" spans="1:10" x14ac:dyDescent="0.2">
      <c r="A95">
        <v>38.5</v>
      </c>
      <c r="B95" t="s">
        <v>286</v>
      </c>
      <c r="C95" s="5">
        <v>55</v>
      </c>
      <c r="D95" s="5">
        <f t="shared" si="4"/>
        <v>392.00377257605692</v>
      </c>
      <c r="E95" s="5">
        <f t="shared" si="6"/>
        <v>4</v>
      </c>
      <c r="F95" s="4">
        <v>38</v>
      </c>
      <c r="G95" s="4" t="s">
        <v>37</v>
      </c>
      <c r="H95">
        <v>55</v>
      </c>
      <c r="I95" s="5">
        <f t="shared" si="5"/>
        <v>392.00377257605692</v>
      </c>
      <c r="J95" s="5">
        <f t="shared" si="7"/>
        <v>5</v>
      </c>
    </row>
    <row r="96" spans="1:10" x14ac:dyDescent="0.2">
      <c r="A96">
        <v>39</v>
      </c>
      <c r="B96" t="s">
        <v>287</v>
      </c>
      <c r="C96" s="5">
        <v>62</v>
      </c>
      <c r="D96" s="5">
        <f t="shared" si="4"/>
        <v>587.34554108704231</v>
      </c>
      <c r="E96" s="5">
        <f t="shared" si="6"/>
        <v>7</v>
      </c>
      <c r="F96" s="4">
        <v>38.5</v>
      </c>
      <c r="G96" s="4" t="s">
        <v>37</v>
      </c>
      <c r="H96">
        <v>55</v>
      </c>
      <c r="I96" s="5">
        <f t="shared" si="5"/>
        <v>392.00377257605692</v>
      </c>
      <c r="J96" s="5">
        <f t="shared" si="7"/>
        <v>0</v>
      </c>
    </row>
    <row r="97" spans="1:10" x14ac:dyDescent="0.2">
      <c r="A97">
        <v>39.5</v>
      </c>
      <c r="B97" t="s">
        <v>219</v>
      </c>
      <c r="C97" s="5">
        <v>55</v>
      </c>
      <c r="D97" s="5">
        <f t="shared" si="4"/>
        <v>392.00377257605692</v>
      </c>
      <c r="E97" s="5">
        <f t="shared" si="6"/>
        <v>7</v>
      </c>
      <c r="F97" s="4">
        <v>39</v>
      </c>
      <c r="G97" s="4" t="s">
        <v>341</v>
      </c>
      <c r="H97">
        <v>59</v>
      </c>
      <c r="I97" s="5">
        <f t="shared" si="5"/>
        <v>493.89549345236594</v>
      </c>
      <c r="J97" s="5">
        <f t="shared" si="7"/>
        <v>4</v>
      </c>
    </row>
    <row r="98" spans="1:10" x14ac:dyDescent="0.2">
      <c r="A98">
        <v>40</v>
      </c>
      <c r="B98" t="s">
        <v>288</v>
      </c>
      <c r="C98" s="5">
        <v>50</v>
      </c>
      <c r="D98" s="5">
        <f t="shared" si="4"/>
        <v>293.66975814369101</v>
      </c>
      <c r="E98" s="5">
        <f t="shared" si="6"/>
        <v>5</v>
      </c>
      <c r="F98" s="4">
        <v>39.5</v>
      </c>
      <c r="G98" s="4" t="s">
        <v>207</v>
      </c>
      <c r="H98">
        <v>50</v>
      </c>
      <c r="I98" s="5">
        <f t="shared" si="5"/>
        <v>293.66975814369101</v>
      </c>
      <c r="J98" s="5">
        <f t="shared" si="7"/>
        <v>9</v>
      </c>
    </row>
    <row r="99" spans="1:10" x14ac:dyDescent="0.2">
      <c r="A99">
        <v>40.25</v>
      </c>
      <c r="B99" t="s">
        <v>289</v>
      </c>
      <c r="C99" s="5">
        <v>57</v>
      </c>
      <c r="D99" s="5">
        <f t="shared" si="4"/>
        <v>440.01010976071973</v>
      </c>
      <c r="E99" s="5">
        <f t="shared" si="6"/>
        <v>7</v>
      </c>
      <c r="F99" s="4">
        <v>40</v>
      </c>
      <c r="G99" s="4" t="s">
        <v>337</v>
      </c>
      <c r="H99">
        <v>45</v>
      </c>
      <c r="I99" s="5">
        <f t="shared" si="5"/>
        <v>220.00279814001337</v>
      </c>
      <c r="J99" s="5">
        <f t="shared" si="7"/>
        <v>5</v>
      </c>
    </row>
    <row r="100" spans="1:10" x14ac:dyDescent="0.2">
      <c r="A100">
        <v>40.5</v>
      </c>
      <c r="B100" t="s">
        <v>284</v>
      </c>
      <c r="C100" s="5">
        <v>59</v>
      </c>
      <c r="D100" s="5">
        <f t="shared" si="4"/>
        <v>493.89549345236594</v>
      </c>
      <c r="E100" s="5">
        <f t="shared" si="6"/>
        <v>2</v>
      </c>
      <c r="F100" s="4">
        <v>40.25</v>
      </c>
      <c r="G100" s="4" t="s">
        <v>202</v>
      </c>
      <c r="H100">
        <v>53</v>
      </c>
      <c r="I100" s="5">
        <f t="shared" si="5"/>
        <v>349.23506143398839</v>
      </c>
      <c r="J100" s="5">
        <f t="shared" si="7"/>
        <v>8</v>
      </c>
    </row>
    <row r="101" spans="1:10" x14ac:dyDescent="0.2">
      <c r="A101">
        <v>40.75</v>
      </c>
      <c r="B101" t="s">
        <v>219</v>
      </c>
      <c r="C101" s="5">
        <v>55</v>
      </c>
      <c r="D101" s="5">
        <f t="shared" si="4"/>
        <v>392.00377257605692</v>
      </c>
      <c r="E101" s="5">
        <f t="shared" si="6"/>
        <v>4</v>
      </c>
      <c r="F101" s="4">
        <v>40.5</v>
      </c>
      <c r="G101" s="4" t="s">
        <v>37</v>
      </c>
      <c r="H101">
        <v>55</v>
      </c>
      <c r="I101" s="5">
        <f t="shared" si="5"/>
        <v>392.00377257605692</v>
      </c>
      <c r="J101" s="5">
        <f t="shared" si="7"/>
        <v>2</v>
      </c>
    </row>
    <row r="102" spans="1:10" x14ac:dyDescent="0.2">
      <c r="A102">
        <v>41</v>
      </c>
      <c r="B102" t="s">
        <v>284</v>
      </c>
      <c r="C102" s="5">
        <v>59</v>
      </c>
      <c r="D102" s="5">
        <f t="shared" si="4"/>
        <v>493.89549345236594</v>
      </c>
      <c r="E102" s="5">
        <f t="shared" si="6"/>
        <v>4</v>
      </c>
      <c r="F102" s="4">
        <v>40.75</v>
      </c>
      <c r="G102" s="4" t="s">
        <v>247</v>
      </c>
      <c r="H102">
        <v>50</v>
      </c>
      <c r="I102" s="5">
        <f t="shared" si="5"/>
        <v>293.66975814369101</v>
      </c>
      <c r="J102" s="5">
        <f t="shared" si="7"/>
        <v>5</v>
      </c>
    </row>
    <row r="103" spans="1:10" x14ac:dyDescent="0.2">
      <c r="A103">
        <v>41.5</v>
      </c>
      <c r="B103" t="s">
        <v>219</v>
      </c>
      <c r="C103" s="5">
        <v>55</v>
      </c>
      <c r="D103" s="5">
        <f t="shared" si="4"/>
        <v>392.00377257605692</v>
      </c>
      <c r="E103" s="5">
        <f t="shared" si="6"/>
        <v>4</v>
      </c>
      <c r="F103" s="4">
        <v>41</v>
      </c>
      <c r="G103" s="4" t="s">
        <v>37</v>
      </c>
      <c r="H103">
        <v>55</v>
      </c>
      <c r="I103" s="5">
        <f t="shared" si="5"/>
        <v>392.00377257605692</v>
      </c>
      <c r="J103" s="5">
        <f t="shared" si="7"/>
        <v>5</v>
      </c>
    </row>
    <row r="104" spans="1:10" x14ac:dyDescent="0.2">
      <c r="A104">
        <v>41.75</v>
      </c>
      <c r="B104" t="s">
        <v>373</v>
      </c>
      <c r="C104" s="5">
        <v>50</v>
      </c>
      <c r="D104" s="5">
        <f t="shared" si="4"/>
        <v>293.66975814369101</v>
      </c>
      <c r="E104" s="5">
        <f t="shared" si="6"/>
        <v>5</v>
      </c>
      <c r="F104" s="4">
        <v>41.5</v>
      </c>
      <c r="G104" s="4" t="s">
        <v>341</v>
      </c>
      <c r="H104" s="5">
        <v>59</v>
      </c>
      <c r="I104" s="5">
        <f t="shared" si="5"/>
        <v>493.89549345236594</v>
      </c>
      <c r="J104" s="5">
        <f t="shared" si="7"/>
        <v>4</v>
      </c>
    </row>
    <row r="105" spans="1:10" x14ac:dyDescent="0.2">
      <c r="A105">
        <v>42</v>
      </c>
      <c r="B105" t="s">
        <v>283</v>
      </c>
      <c r="C105" s="5">
        <v>59</v>
      </c>
      <c r="D105" s="5">
        <f t="shared" si="4"/>
        <v>493.89549345236594</v>
      </c>
      <c r="E105" s="5">
        <f t="shared" si="6"/>
        <v>9</v>
      </c>
      <c r="F105" s="4">
        <v>41.75</v>
      </c>
      <c r="G105" s="4" t="s">
        <v>247</v>
      </c>
      <c r="H105" s="5">
        <v>50</v>
      </c>
      <c r="I105" s="5">
        <f t="shared" si="5"/>
        <v>293.66975814369101</v>
      </c>
      <c r="J105" s="5">
        <f t="shared" si="7"/>
        <v>9</v>
      </c>
    </row>
    <row r="106" spans="1:10" x14ac:dyDescent="0.2">
      <c r="A106">
        <v>42.5</v>
      </c>
      <c r="B106" t="s">
        <v>219</v>
      </c>
      <c r="C106" s="5">
        <v>55</v>
      </c>
      <c r="D106" s="5">
        <f t="shared" si="4"/>
        <v>392.00377257605692</v>
      </c>
      <c r="E106" s="5">
        <f t="shared" si="6"/>
        <v>4</v>
      </c>
      <c r="F106" s="4">
        <v>42</v>
      </c>
      <c r="G106" s="4" t="s">
        <v>37</v>
      </c>
      <c r="H106" s="5">
        <v>55</v>
      </c>
      <c r="I106" s="5">
        <f t="shared" si="5"/>
        <v>392.00377257605692</v>
      </c>
      <c r="J106" s="5">
        <f t="shared" si="7"/>
        <v>5</v>
      </c>
    </row>
    <row r="107" spans="1:10" x14ac:dyDescent="0.2">
      <c r="A107">
        <v>43</v>
      </c>
      <c r="B107" t="s">
        <v>285</v>
      </c>
      <c r="C107" s="5">
        <v>62</v>
      </c>
      <c r="D107" s="5">
        <f t="shared" si="4"/>
        <v>587.34554108704231</v>
      </c>
      <c r="E107" s="5">
        <f t="shared" si="6"/>
        <v>7</v>
      </c>
      <c r="F107" s="4">
        <v>42.5</v>
      </c>
      <c r="G107" s="4" t="s">
        <v>37</v>
      </c>
      <c r="H107" s="5">
        <v>55</v>
      </c>
      <c r="I107" s="5">
        <f t="shared" si="5"/>
        <v>392.00377257605692</v>
      </c>
      <c r="J107" s="5">
        <f t="shared" si="7"/>
        <v>0</v>
      </c>
    </row>
    <row r="108" spans="1:10" x14ac:dyDescent="0.2">
      <c r="A108">
        <v>43.5</v>
      </c>
      <c r="B108" t="s">
        <v>219</v>
      </c>
      <c r="C108" s="5">
        <v>55</v>
      </c>
      <c r="D108" s="5">
        <f t="shared" si="4"/>
        <v>392.00377257605692</v>
      </c>
      <c r="E108" s="5">
        <f t="shared" si="6"/>
        <v>7</v>
      </c>
      <c r="F108" s="4">
        <v>43</v>
      </c>
      <c r="G108" s="4" t="s">
        <v>249</v>
      </c>
      <c r="H108" s="5">
        <v>59</v>
      </c>
      <c r="I108" s="5">
        <f t="shared" si="5"/>
        <v>493.89549345236594</v>
      </c>
      <c r="J108" s="5">
        <f t="shared" si="7"/>
        <v>4</v>
      </c>
    </row>
    <row r="109" spans="1:10" x14ac:dyDescent="0.2">
      <c r="A109">
        <v>44</v>
      </c>
      <c r="B109" t="s">
        <v>375</v>
      </c>
      <c r="C109" s="5">
        <v>50</v>
      </c>
      <c r="D109" s="5">
        <f t="shared" si="4"/>
        <v>293.66975814369101</v>
      </c>
      <c r="E109" s="5">
        <f t="shared" si="6"/>
        <v>5</v>
      </c>
      <c r="F109" s="4">
        <v>43.5</v>
      </c>
      <c r="G109" s="4" t="s">
        <v>207</v>
      </c>
      <c r="H109" s="5">
        <v>50</v>
      </c>
      <c r="I109" s="5">
        <f t="shared" si="5"/>
        <v>293.66975814369101</v>
      </c>
      <c r="J109" s="5">
        <f t="shared" si="7"/>
        <v>9</v>
      </c>
    </row>
    <row r="110" spans="1:10" x14ac:dyDescent="0.2">
      <c r="A110">
        <v>44.25</v>
      </c>
      <c r="B110" t="s">
        <v>374</v>
      </c>
      <c r="C110" s="5">
        <v>55</v>
      </c>
      <c r="D110" s="5">
        <f t="shared" si="4"/>
        <v>392.00377257605692</v>
      </c>
      <c r="E110" s="5">
        <f t="shared" si="6"/>
        <v>5</v>
      </c>
      <c r="F110" s="4">
        <v>44</v>
      </c>
      <c r="G110" s="4" t="s">
        <v>337</v>
      </c>
      <c r="H110" s="5">
        <v>45</v>
      </c>
      <c r="I110" s="5">
        <f t="shared" si="5"/>
        <v>220.00279814001337</v>
      </c>
      <c r="J110" s="5">
        <f t="shared" si="7"/>
        <v>5</v>
      </c>
    </row>
    <row r="111" spans="1:10" x14ac:dyDescent="0.2">
      <c r="A111">
        <v>44.5</v>
      </c>
      <c r="B111" t="s">
        <v>381</v>
      </c>
      <c r="C111" s="5">
        <v>57</v>
      </c>
      <c r="D111" s="5">
        <f t="shared" si="4"/>
        <v>440.01010976071973</v>
      </c>
      <c r="E111" s="5">
        <f t="shared" si="6"/>
        <v>2</v>
      </c>
      <c r="F111" s="4">
        <v>44.25</v>
      </c>
      <c r="G111" s="4" t="s">
        <v>38</v>
      </c>
      <c r="H111" s="5">
        <v>52</v>
      </c>
      <c r="I111" s="5">
        <f t="shared" si="5"/>
        <v>329.63372180082422</v>
      </c>
      <c r="J111" s="5">
        <f t="shared" si="7"/>
        <v>7</v>
      </c>
    </row>
    <row r="112" spans="1:10" x14ac:dyDescent="0.2">
      <c r="A112">
        <v>44.75</v>
      </c>
      <c r="B112" t="s">
        <v>374</v>
      </c>
      <c r="C112" s="5">
        <v>55</v>
      </c>
      <c r="D112" s="5">
        <f t="shared" si="4"/>
        <v>392.00377257605692</v>
      </c>
      <c r="E112" s="5">
        <f t="shared" si="6"/>
        <v>2</v>
      </c>
      <c r="F112" s="4">
        <v>44.5</v>
      </c>
      <c r="G112" s="4" t="s">
        <v>202</v>
      </c>
      <c r="H112" s="5">
        <v>53</v>
      </c>
      <c r="I112" s="5">
        <f t="shared" si="5"/>
        <v>349.23506143398839</v>
      </c>
      <c r="J112" s="5">
        <f t="shared" si="7"/>
        <v>1</v>
      </c>
    </row>
    <row r="113" spans="1:10" x14ac:dyDescent="0.2">
      <c r="A113">
        <v>45</v>
      </c>
      <c r="B113" t="s">
        <v>282</v>
      </c>
      <c r="C113" s="5">
        <v>57</v>
      </c>
      <c r="D113" s="5">
        <f t="shared" si="4"/>
        <v>440.01010976071973</v>
      </c>
      <c r="E113" s="5">
        <f t="shared" si="6"/>
        <v>2</v>
      </c>
      <c r="F113" s="4">
        <v>44.75</v>
      </c>
      <c r="G113" s="4" t="s">
        <v>247</v>
      </c>
      <c r="H113" s="5">
        <v>50</v>
      </c>
      <c r="I113" s="5">
        <f t="shared" si="5"/>
        <v>293.66975814369101</v>
      </c>
      <c r="J113" s="5">
        <f t="shared" si="7"/>
        <v>3</v>
      </c>
    </row>
    <row r="114" spans="1:10" x14ac:dyDescent="0.2">
      <c r="A114">
        <v>45.5</v>
      </c>
      <c r="B114" t="s">
        <v>382</v>
      </c>
      <c r="C114" s="5">
        <v>55</v>
      </c>
      <c r="D114" s="5">
        <f t="shared" si="4"/>
        <v>392.00377257605692</v>
      </c>
      <c r="E114" s="5">
        <f t="shared" si="6"/>
        <v>2</v>
      </c>
      <c r="F114" s="4">
        <v>45</v>
      </c>
      <c r="G114" s="4" t="s">
        <v>202</v>
      </c>
      <c r="H114" s="5">
        <v>53</v>
      </c>
      <c r="I114" s="5">
        <f t="shared" si="5"/>
        <v>349.23506143398839</v>
      </c>
      <c r="J114" s="5">
        <f t="shared" si="7"/>
        <v>3</v>
      </c>
    </row>
    <row r="115" spans="1:10" x14ac:dyDescent="0.2">
      <c r="A115">
        <v>45.75</v>
      </c>
      <c r="B115" t="s">
        <v>281</v>
      </c>
      <c r="C115" s="5">
        <v>50</v>
      </c>
      <c r="D115" s="5">
        <f t="shared" si="4"/>
        <v>293.66975814369101</v>
      </c>
      <c r="E115" s="5">
        <f t="shared" si="6"/>
        <v>5</v>
      </c>
      <c r="F115" s="4">
        <v>45.5</v>
      </c>
      <c r="G115" s="4" t="s">
        <v>118</v>
      </c>
      <c r="H115" s="5">
        <v>57</v>
      </c>
      <c r="I115" s="5">
        <f t="shared" si="5"/>
        <v>440.01010976071973</v>
      </c>
      <c r="J115" s="5">
        <f t="shared" si="7"/>
        <v>4</v>
      </c>
    </row>
    <row r="116" spans="1:10" x14ac:dyDescent="0.2">
      <c r="A116">
        <v>46</v>
      </c>
      <c r="B116" t="s">
        <v>282</v>
      </c>
      <c r="C116" s="5">
        <v>57</v>
      </c>
      <c r="D116" s="5">
        <f t="shared" si="4"/>
        <v>440.01010976071973</v>
      </c>
      <c r="E116" s="5">
        <f t="shared" si="6"/>
        <v>7</v>
      </c>
      <c r="F116" s="4">
        <v>45.75</v>
      </c>
      <c r="G116" s="4" t="s">
        <v>247</v>
      </c>
      <c r="H116" s="5">
        <v>50</v>
      </c>
      <c r="I116" s="5">
        <f t="shared" si="5"/>
        <v>293.66975814369101</v>
      </c>
      <c r="J116" s="5">
        <f t="shared" si="7"/>
        <v>7</v>
      </c>
    </row>
    <row r="117" spans="1:10" x14ac:dyDescent="0.2">
      <c r="A117">
        <v>46.5</v>
      </c>
      <c r="B117" t="s">
        <v>286</v>
      </c>
      <c r="C117" s="5">
        <v>55</v>
      </c>
      <c r="D117" s="5">
        <f t="shared" si="4"/>
        <v>392.00377257605692</v>
      </c>
      <c r="E117" s="5">
        <f t="shared" si="6"/>
        <v>2</v>
      </c>
      <c r="F117" s="4">
        <v>46</v>
      </c>
      <c r="G117" s="4" t="s">
        <v>202</v>
      </c>
      <c r="H117" s="5">
        <v>53</v>
      </c>
      <c r="I117" s="5">
        <f t="shared" si="5"/>
        <v>349.23506143398839</v>
      </c>
      <c r="J117" s="5">
        <f t="shared" si="7"/>
        <v>3</v>
      </c>
    </row>
    <row r="118" spans="1:10" x14ac:dyDescent="0.2">
      <c r="A118">
        <v>47</v>
      </c>
      <c r="B118" t="s">
        <v>383</v>
      </c>
      <c r="C118" s="5">
        <v>60</v>
      </c>
      <c r="D118" s="5">
        <f t="shared" si="4"/>
        <v>523.26449507501752</v>
      </c>
      <c r="E118" s="5">
        <f t="shared" si="6"/>
        <v>5</v>
      </c>
      <c r="F118" s="4">
        <v>46.5</v>
      </c>
      <c r="G118" s="4" t="s">
        <v>250</v>
      </c>
      <c r="H118" s="5">
        <v>55</v>
      </c>
      <c r="I118" s="5">
        <f t="shared" si="5"/>
        <v>392.00377257605692</v>
      </c>
      <c r="J118" s="5">
        <f t="shared" si="7"/>
        <v>2</v>
      </c>
    </row>
    <row r="119" spans="1:10" x14ac:dyDescent="0.2">
      <c r="A119">
        <v>47.5</v>
      </c>
      <c r="B119" t="s">
        <v>219</v>
      </c>
      <c r="C119" s="5">
        <v>55</v>
      </c>
      <c r="D119" s="5">
        <f t="shared" si="4"/>
        <v>392.00377257605692</v>
      </c>
      <c r="E119" s="5">
        <f t="shared" si="6"/>
        <v>5</v>
      </c>
      <c r="F119" s="4">
        <v>47</v>
      </c>
      <c r="G119" s="4" t="s">
        <v>248</v>
      </c>
      <c r="H119" s="5">
        <v>57</v>
      </c>
      <c r="I119" s="5">
        <f t="shared" si="5"/>
        <v>440.01010976071973</v>
      </c>
      <c r="J119" s="5">
        <f t="shared" si="7"/>
        <v>2</v>
      </c>
    </row>
    <row r="120" spans="1:10" x14ac:dyDescent="0.2">
      <c r="A120">
        <v>48</v>
      </c>
      <c r="B120" t="s">
        <v>281</v>
      </c>
      <c r="C120" s="5">
        <v>50</v>
      </c>
      <c r="D120" s="5">
        <f t="shared" si="4"/>
        <v>293.66975814369101</v>
      </c>
      <c r="E120" s="5">
        <f t="shared" si="6"/>
        <v>5</v>
      </c>
      <c r="F120" s="4">
        <v>47.5</v>
      </c>
      <c r="G120" s="4" t="s">
        <v>247</v>
      </c>
      <c r="H120">
        <v>50</v>
      </c>
      <c r="I120" s="5">
        <f t="shared" si="5"/>
        <v>293.66975814369101</v>
      </c>
      <c r="J120" s="5">
        <f t="shared" si="7"/>
        <v>7</v>
      </c>
    </row>
    <row r="121" spans="1:10" x14ac:dyDescent="0.2">
      <c r="A121">
        <v>48.25</v>
      </c>
      <c r="B121" t="s">
        <v>423</v>
      </c>
      <c r="C121" s="5">
        <v>52</v>
      </c>
      <c r="D121" s="5">
        <f t="shared" si="4"/>
        <v>329.63372180082422</v>
      </c>
      <c r="E121" s="5">
        <f t="shared" si="6"/>
        <v>2</v>
      </c>
      <c r="F121" s="4">
        <v>48</v>
      </c>
      <c r="G121" s="4" t="s">
        <v>342</v>
      </c>
      <c r="H121">
        <v>45</v>
      </c>
      <c r="I121" s="5">
        <f t="shared" si="5"/>
        <v>220.00279814001337</v>
      </c>
      <c r="J121" s="5">
        <f t="shared" si="7"/>
        <v>5</v>
      </c>
    </row>
    <row r="122" spans="1:10" x14ac:dyDescent="0.2">
      <c r="A122">
        <v>48.5</v>
      </c>
      <c r="B122" t="s">
        <v>218</v>
      </c>
      <c r="C122" s="5">
        <v>53</v>
      </c>
      <c r="D122" s="5">
        <f t="shared" si="4"/>
        <v>349.23506143398839</v>
      </c>
      <c r="E122" s="5">
        <f t="shared" si="6"/>
        <v>1</v>
      </c>
      <c r="F122" s="4">
        <v>48.25</v>
      </c>
      <c r="G122" s="4" t="s">
        <v>385</v>
      </c>
      <c r="H122">
        <v>47</v>
      </c>
      <c r="I122" s="5">
        <f t="shared" si="5"/>
        <v>246.94521361646048</v>
      </c>
      <c r="J122" s="5">
        <f t="shared" si="7"/>
        <v>2</v>
      </c>
    </row>
    <row r="123" spans="1:10" x14ac:dyDescent="0.2">
      <c r="A123">
        <v>48.75</v>
      </c>
      <c r="B123" t="s">
        <v>219</v>
      </c>
      <c r="C123" s="5">
        <v>55</v>
      </c>
      <c r="D123" s="5">
        <f t="shared" si="4"/>
        <v>392.00377257605692</v>
      </c>
      <c r="E123" s="5">
        <f t="shared" si="6"/>
        <v>2</v>
      </c>
      <c r="F123" s="4">
        <v>48.5</v>
      </c>
      <c r="G123" s="4" t="s">
        <v>386</v>
      </c>
      <c r="H123">
        <v>48</v>
      </c>
      <c r="I123" s="5">
        <f t="shared" si="5"/>
        <v>261.62956379894968</v>
      </c>
      <c r="J123" s="5">
        <f t="shared" si="7"/>
        <v>1</v>
      </c>
    </row>
    <row r="124" spans="1:10" x14ac:dyDescent="0.2">
      <c r="A124">
        <v>49</v>
      </c>
      <c r="B124" t="s">
        <v>423</v>
      </c>
      <c r="C124" s="5">
        <v>52</v>
      </c>
      <c r="D124" s="5">
        <f t="shared" si="4"/>
        <v>329.63372180082422</v>
      </c>
      <c r="E124" s="5">
        <f t="shared" si="6"/>
        <v>3</v>
      </c>
      <c r="F124" s="4">
        <v>48.75</v>
      </c>
      <c r="G124" s="4" t="s">
        <v>247</v>
      </c>
      <c r="H124">
        <v>50</v>
      </c>
      <c r="I124" s="5">
        <f t="shared" si="5"/>
        <v>293.66975814369101</v>
      </c>
      <c r="J124" s="5">
        <f t="shared" si="7"/>
        <v>2</v>
      </c>
    </row>
    <row r="125" spans="1:10" x14ac:dyDescent="0.2">
      <c r="A125">
        <v>49.5</v>
      </c>
      <c r="B125" t="s">
        <v>219</v>
      </c>
      <c r="C125" s="5">
        <v>55</v>
      </c>
      <c r="D125" s="5">
        <f t="shared" si="4"/>
        <v>392.00377257605692</v>
      </c>
      <c r="E125" s="5">
        <f t="shared" si="6"/>
        <v>3</v>
      </c>
      <c r="F125" s="4">
        <v>49</v>
      </c>
      <c r="G125" s="4" t="s">
        <v>386</v>
      </c>
      <c r="H125">
        <v>48</v>
      </c>
      <c r="I125" s="5">
        <f t="shared" si="5"/>
        <v>261.62956379894968</v>
      </c>
      <c r="J125" s="5">
        <f t="shared" si="7"/>
        <v>2</v>
      </c>
    </row>
    <row r="126" spans="1:10" x14ac:dyDescent="0.2">
      <c r="A126">
        <v>50</v>
      </c>
      <c r="B126" t="s">
        <v>423</v>
      </c>
      <c r="C126" s="5">
        <v>52</v>
      </c>
      <c r="D126" s="5">
        <f t="shared" si="4"/>
        <v>329.63372180082422</v>
      </c>
      <c r="E126" s="5">
        <f t="shared" si="6"/>
        <v>3</v>
      </c>
      <c r="F126" s="4">
        <v>49.5</v>
      </c>
      <c r="G126" s="4" t="s">
        <v>38</v>
      </c>
      <c r="H126">
        <v>52</v>
      </c>
      <c r="I126" s="5">
        <f t="shared" si="5"/>
        <v>329.63372180082422</v>
      </c>
      <c r="J126" s="5">
        <f t="shared" si="7"/>
        <v>4</v>
      </c>
    </row>
    <row r="127" spans="1:10" x14ac:dyDescent="0.2">
      <c r="A127">
        <v>50.5</v>
      </c>
      <c r="B127" t="s">
        <v>219</v>
      </c>
      <c r="C127" s="5">
        <v>55</v>
      </c>
      <c r="D127" s="5">
        <f t="shared" si="4"/>
        <v>392.00377257605692</v>
      </c>
      <c r="E127" s="5">
        <f t="shared" si="6"/>
        <v>3</v>
      </c>
      <c r="F127" s="4">
        <v>49.75</v>
      </c>
      <c r="G127" s="4" t="s">
        <v>247</v>
      </c>
      <c r="H127">
        <v>50</v>
      </c>
      <c r="I127" s="5">
        <f t="shared" si="5"/>
        <v>293.66975814369101</v>
      </c>
      <c r="J127" s="5">
        <f t="shared" si="7"/>
        <v>2</v>
      </c>
    </row>
    <row r="128" spans="1:10" x14ac:dyDescent="0.2">
      <c r="A128">
        <v>51</v>
      </c>
      <c r="B128" t="s">
        <v>424</v>
      </c>
      <c r="C128" s="5">
        <v>52</v>
      </c>
      <c r="D128" s="5">
        <f t="shared" si="4"/>
        <v>329.63372180082422</v>
      </c>
      <c r="E128" s="5">
        <f t="shared" si="6"/>
        <v>3</v>
      </c>
      <c r="F128" s="4">
        <v>50</v>
      </c>
      <c r="G128" s="4" t="s">
        <v>386</v>
      </c>
      <c r="H128">
        <v>48</v>
      </c>
      <c r="I128" s="5">
        <f t="shared" si="5"/>
        <v>261.62956379894968</v>
      </c>
      <c r="J128" s="5">
        <f t="shared" si="7"/>
        <v>2</v>
      </c>
    </row>
    <row r="129" spans="1:10" x14ac:dyDescent="0.2">
      <c r="A129">
        <v>51.5</v>
      </c>
      <c r="B129" t="s">
        <v>219</v>
      </c>
      <c r="C129" s="5">
        <v>55</v>
      </c>
      <c r="D129" s="5">
        <f t="shared" si="4"/>
        <v>392.00377257605692</v>
      </c>
      <c r="E129" s="5">
        <f t="shared" si="6"/>
        <v>3</v>
      </c>
      <c r="F129" s="4">
        <v>50.5</v>
      </c>
      <c r="G129" s="4" t="s">
        <v>37</v>
      </c>
      <c r="H129">
        <v>55</v>
      </c>
      <c r="I129" s="5">
        <f t="shared" si="5"/>
        <v>392.00377257605692</v>
      </c>
      <c r="J129" s="5">
        <f t="shared" si="7"/>
        <v>7</v>
      </c>
    </row>
    <row r="130" spans="1:10" x14ac:dyDescent="0.2">
      <c r="A130">
        <v>52</v>
      </c>
      <c r="B130" t="s">
        <v>281</v>
      </c>
      <c r="C130" s="5">
        <v>50</v>
      </c>
      <c r="D130" s="5">
        <f t="shared" si="4"/>
        <v>293.66975814369101</v>
      </c>
      <c r="E130" s="5">
        <f t="shared" si="6"/>
        <v>5</v>
      </c>
      <c r="F130" s="4">
        <v>51</v>
      </c>
      <c r="G130" s="4" t="s">
        <v>206</v>
      </c>
      <c r="H130">
        <v>52</v>
      </c>
      <c r="I130" s="5">
        <f t="shared" si="5"/>
        <v>329.63372180082422</v>
      </c>
      <c r="J130" s="5">
        <f t="shared" si="7"/>
        <v>3</v>
      </c>
    </row>
    <row r="131" spans="1:10" x14ac:dyDescent="0.2">
      <c r="A131">
        <v>52.25</v>
      </c>
      <c r="B131" t="s">
        <v>282</v>
      </c>
      <c r="C131" s="5">
        <v>57</v>
      </c>
      <c r="D131" s="5">
        <f t="shared" si="4"/>
        <v>440.01010976071973</v>
      </c>
      <c r="E131" s="5">
        <f t="shared" si="6"/>
        <v>7</v>
      </c>
      <c r="F131" s="4">
        <v>51.5</v>
      </c>
      <c r="G131" s="4" t="s">
        <v>247</v>
      </c>
      <c r="H131">
        <v>50</v>
      </c>
      <c r="I131" s="5">
        <f t="shared" si="5"/>
        <v>293.66975814369101</v>
      </c>
      <c r="J131" s="5">
        <f t="shared" si="7"/>
        <v>2</v>
      </c>
    </row>
    <row r="132" spans="1:10" x14ac:dyDescent="0.2">
      <c r="A132">
        <v>52.5</v>
      </c>
      <c r="B132" t="s">
        <v>283</v>
      </c>
      <c r="C132" s="5">
        <v>59</v>
      </c>
      <c r="D132" s="5">
        <f t="shared" ref="D132:D195" si="8">16.35117682*1.059464^C132</f>
        <v>493.89549345236594</v>
      </c>
      <c r="E132" s="5">
        <f t="shared" si="6"/>
        <v>2</v>
      </c>
      <c r="F132" s="4">
        <v>52</v>
      </c>
      <c r="G132" s="4" t="s">
        <v>337</v>
      </c>
      <c r="H132">
        <v>45</v>
      </c>
      <c r="I132" s="5">
        <f t="shared" ref="I132:I195" si="9">16.35117682*1.059464^H132</f>
        <v>220.00279814001337</v>
      </c>
      <c r="J132" s="5">
        <f t="shared" si="7"/>
        <v>5</v>
      </c>
    </row>
    <row r="133" spans="1:10" x14ac:dyDescent="0.2">
      <c r="A133">
        <v>52.75</v>
      </c>
      <c r="B133" t="s">
        <v>219</v>
      </c>
      <c r="C133" s="5">
        <v>55</v>
      </c>
      <c r="D133" s="5">
        <f t="shared" si="8"/>
        <v>392.00377257605692</v>
      </c>
      <c r="E133" s="5">
        <f t="shared" ref="E133:E196" si="10">ABS( C133-C132)</f>
        <v>4</v>
      </c>
      <c r="F133" s="4">
        <v>52.25</v>
      </c>
      <c r="G133" s="4" t="s">
        <v>202</v>
      </c>
      <c r="H133">
        <v>53</v>
      </c>
      <c r="I133" s="5">
        <f t="shared" si="9"/>
        <v>349.23506143398839</v>
      </c>
      <c r="J133" s="5">
        <f t="shared" ref="J133:J196" si="11">ABS( H133-H132)</f>
        <v>8</v>
      </c>
    </row>
    <row r="134" spans="1:10" x14ac:dyDescent="0.2">
      <c r="A134">
        <v>53</v>
      </c>
      <c r="B134" t="s">
        <v>284</v>
      </c>
      <c r="C134" s="5">
        <v>59</v>
      </c>
      <c r="D134" s="5">
        <f t="shared" si="8"/>
        <v>493.89549345236594</v>
      </c>
      <c r="E134" s="5">
        <f t="shared" si="10"/>
        <v>4</v>
      </c>
      <c r="F134" s="4">
        <v>52.5</v>
      </c>
      <c r="G134" s="4" t="s">
        <v>338</v>
      </c>
      <c r="H134">
        <v>55</v>
      </c>
      <c r="I134" s="5">
        <f t="shared" si="9"/>
        <v>392.00377257605692</v>
      </c>
      <c r="J134" s="5">
        <f t="shared" si="11"/>
        <v>2</v>
      </c>
    </row>
    <row r="135" spans="1:10" x14ac:dyDescent="0.2">
      <c r="A135">
        <v>53.5</v>
      </c>
      <c r="B135" t="s">
        <v>219</v>
      </c>
      <c r="C135" s="5">
        <v>55</v>
      </c>
      <c r="D135" s="5">
        <f t="shared" si="8"/>
        <v>392.00377257605692</v>
      </c>
      <c r="E135" s="5">
        <f t="shared" si="10"/>
        <v>4</v>
      </c>
      <c r="F135" s="4">
        <v>52.75</v>
      </c>
      <c r="G135" s="4" t="s">
        <v>247</v>
      </c>
      <c r="H135">
        <v>50</v>
      </c>
      <c r="I135" s="5">
        <f t="shared" si="9"/>
        <v>293.66975814369101</v>
      </c>
      <c r="J135" s="5">
        <f t="shared" si="11"/>
        <v>5</v>
      </c>
    </row>
    <row r="136" spans="1:10" x14ac:dyDescent="0.2">
      <c r="A136">
        <v>53.75</v>
      </c>
      <c r="B136" t="s">
        <v>281</v>
      </c>
      <c r="C136" s="5">
        <v>50</v>
      </c>
      <c r="D136" s="5">
        <f t="shared" si="8"/>
        <v>293.66975814369101</v>
      </c>
      <c r="E136" s="5">
        <f t="shared" si="10"/>
        <v>5</v>
      </c>
      <c r="F136" s="4">
        <v>53</v>
      </c>
      <c r="G136" s="4" t="s">
        <v>37</v>
      </c>
      <c r="H136">
        <v>55</v>
      </c>
      <c r="I136" s="5">
        <f t="shared" si="9"/>
        <v>392.00377257605692</v>
      </c>
      <c r="J136" s="5">
        <f t="shared" si="11"/>
        <v>5</v>
      </c>
    </row>
    <row r="137" spans="1:10" x14ac:dyDescent="0.2">
      <c r="A137">
        <v>54</v>
      </c>
      <c r="B137" t="s">
        <v>284</v>
      </c>
      <c r="C137" s="5">
        <v>59</v>
      </c>
      <c r="D137" s="5">
        <f t="shared" si="8"/>
        <v>493.89549345236594</v>
      </c>
      <c r="E137" s="5">
        <f t="shared" si="10"/>
        <v>9</v>
      </c>
      <c r="F137" s="4">
        <v>53.5</v>
      </c>
      <c r="G137" s="4" t="s">
        <v>339</v>
      </c>
      <c r="H137">
        <v>59</v>
      </c>
      <c r="I137" s="5">
        <f t="shared" si="9"/>
        <v>493.89549345236594</v>
      </c>
      <c r="J137" s="5">
        <f t="shared" si="11"/>
        <v>4</v>
      </c>
    </row>
    <row r="138" spans="1:10" x14ac:dyDescent="0.2">
      <c r="A138">
        <v>54.5</v>
      </c>
      <c r="B138" t="s">
        <v>286</v>
      </c>
      <c r="C138" s="5">
        <v>55</v>
      </c>
      <c r="D138" s="5">
        <f t="shared" si="8"/>
        <v>392.00377257605692</v>
      </c>
      <c r="E138" s="5">
        <f t="shared" si="10"/>
        <v>4</v>
      </c>
      <c r="F138" s="4">
        <v>53.75</v>
      </c>
      <c r="G138" s="4" t="s">
        <v>340</v>
      </c>
      <c r="H138">
        <v>50</v>
      </c>
      <c r="I138" s="5">
        <f t="shared" si="9"/>
        <v>293.66975814369101</v>
      </c>
      <c r="J138" s="5">
        <f t="shared" si="11"/>
        <v>9</v>
      </c>
    </row>
    <row r="139" spans="1:10" x14ac:dyDescent="0.2">
      <c r="A139">
        <v>55</v>
      </c>
      <c r="B139" t="s">
        <v>287</v>
      </c>
      <c r="C139" s="5">
        <v>62</v>
      </c>
      <c r="D139" s="5">
        <f t="shared" si="8"/>
        <v>587.34554108704231</v>
      </c>
      <c r="E139" s="5">
        <f t="shared" si="10"/>
        <v>7</v>
      </c>
      <c r="F139" s="4">
        <v>54</v>
      </c>
      <c r="G139" s="4" t="s">
        <v>37</v>
      </c>
      <c r="H139">
        <v>55</v>
      </c>
      <c r="I139" s="5">
        <f t="shared" si="9"/>
        <v>392.00377257605692</v>
      </c>
      <c r="J139" s="5">
        <f t="shared" si="11"/>
        <v>5</v>
      </c>
    </row>
    <row r="140" spans="1:10" x14ac:dyDescent="0.2">
      <c r="A140">
        <v>55.5</v>
      </c>
      <c r="B140" t="s">
        <v>219</v>
      </c>
      <c r="C140" s="5">
        <v>55</v>
      </c>
      <c r="D140" s="5">
        <f t="shared" si="8"/>
        <v>392.00377257605692</v>
      </c>
      <c r="E140" s="5">
        <f t="shared" si="10"/>
        <v>7</v>
      </c>
      <c r="F140" s="4">
        <v>54.5</v>
      </c>
      <c r="G140" s="4" t="s">
        <v>37</v>
      </c>
      <c r="H140">
        <v>55</v>
      </c>
      <c r="I140" s="5">
        <f t="shared" si="9"/>
        <v>392.00377257605692</v>
      </c>
      <c r="J140" s="5">
        <f t="shared" si="11"/>
        <v>0</v>
      </c>
    </row>
    <row r="141" spans="1:10" x14ac:dyDescent="0.2">
      <c r="A141">
        <v>56</v>
      </c>
      <c r="B141" t="s">
        <v>288</v>
      </c>
      <c r="C141" s="5">
        <v>50</v>
      </c>
      <c r="D141" s="5">
        <f t="shared" si="8"/>
        <v>293.66975814369101</v>
      </c>
      <c r="E141" s="5">
        <f t="shared" si="10"/>
        <v>5</v>
      </c>
      <c r="F141" s="4">
        <v>55</v>
      </c>
      <c r="G141" s="4" t="s">
        <v>341</v>
      </c>
      <c r="H141">
        <v>59</v>
      </c>
      <c r="I141" s="5">
        <f t="shared" si="9"/>
        <v>493.89549345236594</v>
      </c>
      <c r="J141" s="5">
        <f t="shared" si="11"/>
        <v>4</v>
      </c>
    </row>
    <row r="142" spans="1:10" x14ac:dyDescent="0.2">
      <c r="A142">
        <v>56.25</v>
      </c>
      <c r="B142" t="s">
        <v>289</v>
      </c>
      <c r="C142">
        <v>57</v>
      </c>
      <c r="D142" s="5">
        <f t="shared" si="8"/>
        <v>440.01010976071973</v>
      </c>
      <c r="E142" s="5">
        <f t="shared" si="10"/>
        <v>7</v>
      </c>
      <c r="F142" s="4">
        <v>55.5</v>
      </c>
      <c r="G142" s="4" t="s">
        <v>207</v>
      </c>
      <c r="H142">
        <v>50</v>
      </c>
      <c r="I142" s="5">
        <f t="shared" si="9"/>
        <v>293.66975814369101</v>
      </c>
      <c r="J142" s="5">
        <f t="shared" si="11"/>
        <v>9</v>
      </c>
    </row>
    <row r="143" spans="1:10" x14ac:dyDescent="0.2">
      <c r="A143">
        <v>56.5</v>
      </c>
      <c r="B143" t="s">
        <v>284</v>
      </c>
      <c r="C143">
        <v>59</v>
      </c>
      <c r="D143" s="5">
        <f t="shared" si="8"/>
        <v>493.89549345236594</v>
      </c>
      <c r="E143" s="5">
        <f t="shared" si="10"/>
        <v>2</v>
      </c>
      <c r="F143" s="4">
        <v>56</v>
      </c>
      <c r="G143" s="4" t="s">
        <v>337</v>
      </c>
      <c r="H143">
        <v>45</v>
      </c>
      <c r="I143" s="5">
        <f t="shared" si="9"/>
        <v>220.00279814001337</v>
      </c>
      <c r="J143" s="5">
        <f t="shared" si="11"/>
        <v>5</v>
      </c>
    </row>
    <row r="144" spans="1:10" x14ac:dyDescent="0.2">
      <c r="A144">
        <v>56.75</v>
      </c>
      <c r="B144" t="s">
        <v>219</v>
      </c>
      <c r="C144">
        <v>55</v>
      </c>
      <c r="D144" s="5">
        <f t="shared" si="8"/>
        <v>392.00377257605692</v>
      </c>
      <c r="E144" s="5">
        <f t="shared" si="10"/>
        <v>4</v>
      </c>
      <c r="F144" s="4">
        <v>56.25</v>
      </c>
      <c r="G144" s="4" t="s">
        <v>202</v>
      </c>
      <c r="H144">
        <v>53</v>
      </c>
      <c r="I144" s="5">
        <f t="shared" si="9"/>
        <v>349.23506143398839</v>
      </c>
      <c r="J144" s="5">
        <f t="shared" si="11"/>
        <v>8</v>
      </c>
    </row>
    <row r="145" spans="1:10" x14ac:dyDescent="0.2">
      <c r="A145">
        <v>57</v>
      </c>
      <c r="B145" t="s">
        <v>284</v>
      </c>
      <c r="C145">
        <v>59</v>
      </c>
      <c r="D145" s="5">
        <f t="shared" si="8"/>
        <v>493.89549345236594</v>
      </c>
      <c r="E145" s="5">
        <f t="shared" si="10"/>
        <v>4</v>
      </c>
      <c r="F145" s="4">
        <v>56.5</v>
      </c>
      <c r="G145" s="4" t="s">
        <v>37</v>
      </c>
      <c r="H145">
        <v>55</v>
      </c>
      <c r="I145" s="5">
        <f t="shared" si="9"/>
        <v>392.00377257605692</v>
      </c>
      <c r="J145" s="5">
        <f t="shared" si="11"/>
        <v>2</v>
      </c>
    </row>
    <row r="146" spans="1:10" x14ac:dyDescent="0.2">
      <c r="A146">
        <v>57.5</v>
      </c>
      <c r="B146" t="s">
        <v>219</v>
      </c>
      <c r="C146">
        <v>55</v>
      </c>
      <c r="D146" s="5">
        <f t="shared" si="8"/>
        <v>392.00377257605692</v>
      </c>
      <c r="E146" s="5">
        <f t="shared" si="10"/>
        <v>4</v>
      </c>
      <c r="F146" s="4">
        <v>56.75</v>
      </c>
      <c r="G146" s="4" t="s">
        <v>247</v>
      </c>
      <c r="H146">
        <v>50</v>
      </c>
      <c r="I146" s="5">
        <f t="shared" si="9"/>
        <v>293.66975814369101</v>
      </c>
      <c r="J146" s="5">
        <f t="shared" si="11"/>
        <v>5</v>
      </c>
    </row>
    <row r="147" spans="1:10" x14ac:dyDescent="0.2">
      <c r="A147">
        <v>57.75</v>
      </c>
      <c r="B147" t="s">
        <v>373</v>
      </c>
      <c r="C147">
        <v>50</v>
      </c>
      <c r="D147" s="5">
        <f t="shared" si="8"/>
        <v>293.66975814369101</v>
      </c>
      <c r="E147" s="5">
        <f t="shared" si="10"/>
        <v>5</v>
      </c>
      <c r="F147" s="4">
        <v>57</v>
      </c>
      <c r="G147" s="4" t="s">
        <v>37</v>
      </c>
      <c r="H147">
        <v>55</v>
      </c>
      <c r="I147" s="5">
        <f t="shared" si="9"/>
        <v>392.00377257605692</v>
      </c>
      <c r="J147" s="5">
        <f t="shared" si="11"/>
        <v>5</v>
      </c>
    </row>
    <row r="148" spans="1:10" x14ac:dyDescent="0.2">
      <c r="A148">
        <v>58</v>
      </c>
      <c r="B148" t="s">
        <v>283</v>
      </c>
      <c r="C148">
        <v>59</v>
      </c>
      <c r="D148" s="5">
        <f t="shared" si="8"/>
        <v>493.89549345236594</v>
      </c>
      <c r="E148" s="5">
        <f t="shared" si="10"/>
        <v>9</v>
      </c>
      <c r="F148" s="4">
        <v>57.5</v>
      </c>
      <c r="G148" s="4" t="s">
        <v>341</v>
      </c>
      <c r="H148">
        <v>59</v>
      </c>
      <c r="I148" s="5">
        <f t="shared" si="9"/>
        <v>493.89549345236594</v>
      </c>
      <c r="J148" s="5">
        <f t="shared" si="11"/>
        <v>4</v>
      </c>
    </row>
    <row r="149" spans="1:10" x14ac:dyDescent="0.2">
      <c r="A149">
        <v>58.5</v>
      </c>
      <c r="B149" t="s">
        <v>219</v>
      </c>
      <c r="C149">
        <v>55</v>
      </c>
      <c r="D149" s="5">
        <f t="shared" si="8"/>
        <v>392.00377257605692</v>
      </c>
      <c r="E149" s="5">
        <f t="shared" si="10"/>
        <v>4</v>
      </c>
      <c r="F149" s="4">
        <v>57.75</v>
      </c>
      <c r="G149" s="4" t="s">
        <v>247</v>
      </c>
      <c r="H149">
        <v>50</v>
      </c>
      <c r="I149" s="5">
        <f t="shared" si="9"/>
        <v>293.66975814369101</v>
      </c>
      <c r="J149" s="5">
        <f t="shared" si="11"/>
        <v>9</v>
      </c>
    </row>
    <row r="150" spans="1:10" x14ac:dyDescent="0.2">
      <c r="A150">
        <v>59</v>
      </c>
      <c r="B150" t="s">
        <v>285</v>
      </c>
      <c r="C150">
        <v>62</v>
      </c>
      <c r="D150" s="5">
        <f t="shared" si="8"/>
        <v>587.34554108704231</v>
      </c>
      <c r="E150" s="5">
        <f t="shared" si="10"/>
        <v>7</v>
      </c>
      <c r="F150" s="4">
        <v>58</v>
      </c>
      <c r="G150" s="4" t="s">
        <v>37</v>
      </c>
      <c r="H150">
        <v>55</v>
      </c>
      <c r="I150" s="5">
        <f t="shared" si="9"/>
        <v>392.00377257605692</v>
      </c>
      <c r="J150" s="5">
        <f t="shared" si="11"/>
        <v>5</v>
      </c>
    </row>
    <row r="151" spans="1:10" x14ac:dyDescent="0.2">
      <c r="A151">
        <v>59.5</v>
      </c>
      <c r="B151" t="s">
        <v>219</v>
      </c>
      <c r="C151">
        <v>55</v>
      </c>
      <c r="D151" s="5">
        <f t="shared" si="8"/>
        <v>392.00377257605692</v>
      </c>
      <c r="E151" s="5">
        <f t="shared" si="10"/>
        <v>7</v>
      </c>
      <c r="F151" s="4">
        <v>58.5</v>
      </c>
      <c r="G151" s="4" t="s">
        <v>37</v>
      </c>
      <c r="H151">
        <v>55</v>
      </c>
      <c r="I151" s="5">
        <f t="shared" si="9"/>
        <v>392.00377257605692</v>
      </c>
      <c r="J151" s="5">
        <f t="shared" si="11"/>
        <v>0</v>
      </c>
    </row>
    <row r="152" spans="1:10" x14ac:dyDescent="0.2">
      <c r="A152">
        <v>60</v>
      </c>
      <c r="B152" t="s">
        <v>375</v>
      </c>
      <c r="C152">
        <v>50</v>
      </c>
      <c r="D152" s="5">
        <f t="shared" si="8"/>
        <v>293.66975814369101</v>
      </c>
      <c r="E152" s="5">
        <f t="shared" si="10"/>
        <v>5</v>
      </c>
      <c r="F152" s="4">
        <v>59</v>
      </c>
      <c r="G152" s="4" t="s">
        <v>249</v>
      </c>
      <c r="H152">
        <v>59</v>
      </c>
      <c r="I152" s="5">
        <f t="shared" si="9"/>
        <v>493.89549345236594</v>
      </c>
      <c r="J152" s="5">
        <f t="shared" si="11"/>
        <v>4</v>
      </c>
    </row>
    <row r="153" spans="1:10" x14ac:dyDescent="0.2">
      <c r="A153">
        <v>60.25</v>
      </c>
      <c r="B153" t="s">
        <v>374</v>
      </c>
      <c r="C153">
        <v>55</v>
      </c>
      <c r="D153" s="5">
        <f t="shared" si="8"/>
        <v>392.00377257605692</v>
      </c>
      <c r="E153" s="5">
        <f t="shared" si="10"/>
        <v>5</v>
      </c>
      <c r="F153" s="4">
        <v>59.5</v>
      </c>
      <c r="G153" s="4" t="s">
        <v>207</v>
      </c>
      <c r="H153">
        <v>50</v>
      </c>
      <c r="I153" s="5">
        <f t="shared" si="9"/>
        <v>293.66975814369101</v>
      </c>
      <c r="J153" s="5">
        <f t="shared" si="11"/>
        <v>9</v>
      </c>
    </row>
    <row r="154" spans="1:10" x14ac:dyDescent="0.2">
      <c r="A154">
        <v>60.5</v>
      </c>
      <c r="B154" t="s">
        <v>381</v>
      </c>
      <c r="C154">
        <v>57</v>
      </c>
      <c r="D154" s="5">
        <f t="shared" si="8"/>
        <v>440.01010976071973</v>
      </c>
      <c r="E154" s="5">
        <f t="shared" si="10"/>
        <v>2</v>
      </c>
      <c r="F154" s="4">
        <v>60</v>
      </c>
      <c r="G154" s="4" t="s">
        <v>337</v>
      </c>
      <c r="H154">
        <v>45</v>
      </c>
      <c r="I154" s="5">
        <f t="shared" si="9"/>
        <v>220.00279814001337</v>
      </c>
      <c r="J154" s="5">
        <f t="shared" si="11"/>
        <v>5</v>
      </c>
    </row>
    <row r="155" spans="1:10" x14ac:dyDescent="0.2">
      <c r="A155">
        <v>60.75</v>
      </c>
      <c r="B155" t="s">
        <v>374</v>
      </c>
      <c r="C155">
        <v>55</v>
      </c>
      <c r="D155" s="5">
        <f t="shared" si="8"/>
        <v>392.00377257605692</v>
      </c>
      <c r="E155" s="5">
        <f t="shared" si="10"/>
        <v>2</v>
      </c>
      <c r="F155" s="4">
        <v>60.25</v>
      </c>
      <c r="G155" s="4" t="s">
        <v>38</v>
      </c>
      <c r="H155">
        <v>52</v>
      </c>
      <c r="I155" s="5">
        <f t="shared" si="9"/>
        <v>329.63372180082422</v>
      </c>
      <c r="J155" s="5">
        <f t="shared" si="11"/>
        <v>7</v>
      </c>
    </row>
    <row r="156" spans="1:10" x14ac:dyDescent="0.2">
      <c r="A156">
        <v>61</v>
      </c>
      <c r="B156" t="s">
        <v>282</v>
      </c>
      <c r="C156">
        <v>57</v>
      </c>
      <c r="D156" s="5">
        <f t="shared" si="8"/>
        <v>440.01010976071973</v>
      </c>
      <c r="E156" s="5">
        <f t="shared" si="10"/>
        <v>2</v>
      </c>
      <c r="F156" s="4">
        <v>60.5</v>
      </c>
      <c r="G156" s="4" t="s">
        <v>202</v>
      </c>
      <c r="H156">
        <v>53</v>
      </c>
      <c r="I156" s="5">
        <f t="shared" si="9"/>
        <v>349.23506143398839</v>
      </c>
      <c r="J156" s="5">
        <f t="shared" si="11"/>
        <v>1</v>
      </c>
    </row>
    <row r="157" spans="1:10" x14ac:dyDescent="0.2">
      <c r="A157">
        <v>61.5</v>
      </c>
      <c r="B157" t="s">
        <v>382</v>
      </c>
      <c r="C157">
        <v>55</v>
      </c>
      <c r="D157" s="5">
        <f t="shared" si="8"/>
        <v>392.00377257605692</v>
      </c>
      <c r="E157" s="5">
        <f t="shared" si="10"/>
        <v>2</v>
      </c>
      <c r="F157" s="4">
        <v>60.75</v>
      </c>
      <c r="G157" s="4" t="s">
        <v>247</v>
      </c>
      <c r="H157">
        <v>50</v>
      </c>
      <c r="I157" s="5">
        <f t="shared" si="9"/>
        <v>293.66975814369101</v>
      </c>
      <c r="J157" s="5">
        <f t="shared" si="11"/>
        <v>3</v>
      </c>
    </row>
    <row r="158" spans="1:10" x14ac:dyDescent="0.2">
      <c r="A158">
        <v>61.75</v>
      </c>
      <c r="B158" t="s">
        <v>281</v>
      </c>
      <c r="C158">
        <v>50</v>
      </c>
      <c r="D158" s="5">
        <f t="shared" si="8"/>
        <v>293.66975814369101</v>
      </c>
      <c r="E158" s="5">
        <f t="shared" si="10"/>
        <v>5</v>
      </c>
      <c r="F158" s="4">
        <v>61</v>
      </c>
      <c r="G158" s="4" t="s">
        <v>202</v>
      </c>
      <c r="H158">
        <v>53</v>
      </c>
      <c r="I158" s="5">
        <f t="shared" si="9"/>
        <v>349.23506143398839</v>
      </c>
      <c r="J158" s="5">
        <f t="shared" si="11"/>
        <v>3</v>
      </c>
    </row>
    <row r="159" spans="1:10" x14ac:dyDescent="0.2">
      <c r="A159">
        <v>62</v>
      </c>
      <c r="B159" t="s">
        <v>282</v>
      </c>
      <c r="C159">
        <v>57</v>
      </c>
      <c r="D159" s="5">
        <f t="shared" si="8"/>
        <v>440.01010976071973</v>
      </c>
      <c r="E159" s="5">
        <f t="shared" si="10"/>
        <v>7</v>
      </c>
      <c r="F159" s="4">
        <v>61.5</v>
      </c>
      <c r="G159" s="4" t="s">
        <v>118</v>
      </c>
      <c r="H159">
        <v>57</v>
      </c>
      <c r="I159" s="5">
        <f t="shared" si="9"/>
        <v>440.01010976071973</v>
      </c>
      <c r="J159" s="5">
        <f t="shared" si="11"/>
        <v>4</v>
      </c>
    </row>
    <row r="160" spans="1:10" x14ac:dyDescent="0.2">
      <c r="A160">
        <v>62.5</v>
      </c>
      <c r="B160" t="s">
        <v>286</v>
      </c>
      <c r="C160">
        <v>55</v>
      </c>
      <c r="D160" s="5">
        <f t="shared" si="8"/>
        <v>392.00377257605692</v>
      </c>
      <c r="E160" s="5">
        <f t="shared" si="10"/>
        <v>2</v>
      </c>
      <c r="F160" s="4">
        <v>61.75</v>
      </c>
      <c r="G160" s="4" t="s">
        <v>247</v>
      </c>
      <c r="H160">
        <v>50</v>
      </c>
      <c r="I160" s="5">
        <f t="shared" si="9"/>
        <v>293.66975814369101</v>
      </c>
      <c r="J160" s="5">
        <f t="shared" si="11"/>
        <v>7</v>
      </c>
    </row>
    <row r="161" spans="1:10" x14ac:dyDescent="0.2">
      <c r="A161">
        <v>63</v>
      </c>
      <c r="B161" t="s">
        <v>383</v>
      </c>
      <c r="C161">
        <v>60</v>
      </c>
      <c r="D161" s="5">
        <f t="shared" si="8"/>
        <v>523.26449507501752</v>
      </c>
      <c r="E161" s="5">
        <f t="shared" si="10"/>
        <v>5</v>
      </c>
      <c r="F161" s="4">
        <v>62</v>
      </c>
      <c r="G161" s="4" t="s">
        <v>202</v>
      </c>
      <c r="H161">
        <v>53</v>
      </c>
      <c r="I161" s="5">
        <f t="shared" si="9"/>
        <v>349.23506143398839</v>
      </c>
      <c r="J161" s="5">
        <f t="shared" si="11"/>
        <v>3</v>
      </c>
    </row>
    <row r="162" spans="1:10" x14ac:dyDescent="0.2">
      <c r="A162">
        <v>63.5</v>
      </c>
      <c r="B162" t="s">
        <v>219</v>
      </c>
      <c r="C162">
        <v>55</v>
      </c>
      <c r="D162" s="5">
        <f t="shared" si="8"/>
        <v>392.00377257605692</v>
      </c>
      <c r="E162" s="5">
        <f t="shared" si="10"/>
        <v>5</v>
      </c>
      <c r="F162" s="4">
        <v>62.5</v>
      </c>
      <c r="G162" s="4" t="s">
        <v>250</v>
      </c>
      <c r="H162">
        <v>55</v>
      </c>
      <c r="I162" s="5">
        <f t="shared" si="9"/>
        <v>392.00377257605692</v>
      </c>
      <c r="J162" s="5">
        <f t="shared" si="11"/>
        <v>2</v>
      </c>
    </row>
    <row r="163" spans="1:10" x14ac:dyDescent="0.2">
      <c r="A163">
        <v>64</v>
      </c>
      <c r="B163" t="s">
        <v>281</v>
      </c>
      <c r="C163">
        <v>50</v>
      </c>
      <c r="D163" s="5">
        <f t="shared" si="8"/>
        <v>293.66975814369101</v>
      </c>
      <c r="E163" s="5">
        <f t="shared" si="10"/>
        <v>5</v>
      </c>
      <c r="F163" s="4">
        <v>63</v>
      </c>
      <c r="G163" s="4" t="s">
        <v>248</v>
      </c>
      <c r="H163">
        <v>57</v>
      </c>
      <c r="I163" s="5">
        <f t="shared" si="9"/>
        <v>440.01010976071973</v>
      </c>
      <c r="J163" s="5">
        <f t="shared" si="11"/>
        <v>2</v>
      </c>
    </row>
    <row r="164" spans="1:10" x14ac:dyDescent="0.2">
      <c r="A164">
        <v>64.25</v>
      </c>
      <c r="B164" t="s">
        <v>423</v>
      </c>
      <c r="C164">
        <v>52</v>
      </c>
      <c r="D164" s="5">
        <f t="shared" si="8"/>
        <v>329.63372180082422</v>
      </c>
      <c r="E164" s="5">
        <f t="shared" si="10"/>
        <v>2</v>
      </c>
      <c r="F164" s="4">
        <v>63.5</v>
      </c>
      <c r="G164" s="4" t="s">
        <v>247</v>
      </c>
      <c r="H164">
        <v>50</v>
      </c>
      <c r="I164" s="5">
        <f t="shared" si="9"/>
        <v>293.66975814369101</v>
      </c>
      <c r="J164" s="5">
        <f t="shared" si="11"/>
        <v>7</v>
      </c>
    </row>
    <row r="165" spans="1:10" x14ac:dyDescent="0.2">
      <c r="A165">
        <v>64.5</v>
      </c>
      <c r="B165" t="s">
        <v>218</v>
      </c>
      <c r="C165">
        <v>53</v>
      </c>
      <c r="D165" s="5">
        <f t="shared" si="8"/>
        <v>349.23506143398839</v>
      </c>
      <c r="E165" s="5">
        <f t="shared" si="10"/>
        <v>1</v>
      </c>
      <c r="F165" s="4">
        <v>64</v>
      </c>
      <c r="G165" s="4" t="s">
        <v>342</v>
      </c>
      <c r="H165">
        <v>45</v>
      </c>
      <c r="I165" s="5">
        <f t="shared" si="9"/>
        <v>220.00279814001337</v>
      </c>
      <c r="J165" s="5">
        <f t="shared" si="11"/>
        <v>5</v>
      </c>
    </row>
    <row r="166" spans="1:10" x14ac:dyDescent="0.2">
      <c r="A166">
        <v>64.75</v>
      </c>
      <c r="B166" t="s">
        <v>219</v>
      </c>
      <c r="C166">
        <v>55</v>
      </c>
      <c r="D166" s="5">
        <f t="shared" si="8"/>
        <v>392.00377257605692</v>
      </c>
      <c r="E166" s="5">
        <f t="shared" si="10"/>
        <v>2</v>
      </c>
      <c r="F166" s="4">
        <v>64.25</v>
      </c>
      <c r="G166" s="4" t="s">
        <v>385</v>
      </c>
      <c r="H166">
        <v>47</v>
      </c>
      <c r="I166" s="5">
        <f t="shared" si="9"/>
        <v>246.94521361646048</v>
      </c>
      <c r="J166" s="5">
        <f t="shared" si="11"/>
        <v>2</v>
      </c>
    </row>
    <row r="167" spans="1:10" x14ac:dyDescent="0.2">
      <c r="A167">
        <v>65</v>
      </c>
      <c r="B167" t="s">
        <v>423</v>
      </c>
      <c r="C167">
        <v>52</v>
      </c>
      <c r="D167" s="5">
        <f t="shared" si="8"/>
        <v>329.63372180082422</v>
      </c>
      <c r="E167" s="5">
        <f t="shared" si="10"/>
        <v>3</v>
      </c>
      <c r="F167" s="4">
        <v>64.5</v>
      </c>
      <c r="G167" s="4" t="s">
        <v>386</v>
      </c>
      <c r="H167">
        <v>48</v>
      </c>
      <c r="I167" s="5">
        <f t="shared" si="9"/>
        <v>261.62956379894968</v>
      </c>
      <c r="J167" s="5">
        <f t="shared" si="11"/>
        <v>1</v>
      </c>
    </row>
    <row r="168" spans="1:10" x14ac:dyDescent="0.2">
      <c r="A168">
        <v>65.5</v>
      </c>
      <c r="B168" t="s">
        <v>219</v>
      </c>
      <c r="C168">
        <v>55</v>
      </c>
      <c r="D168" s="5">
        <f t="shared" si="8"/>
        <v>392.00377257605692</v>
      </c>
      <c r="E168" s="5">
        <f t="shared" si="10"/>
        <v>3</v>
      </c>
      <c r="F168" s="4">
        <v>64.75</v>
      </c>
      <c r="G168" s="4" t="s">
        <v>247</v>
      </c>
      <c r="H168">
        <v>50</v>
      </c>
      <c r="I168" s="5">
        <f t="shared" si="9"/>
        <v>293.66975814369101</v>
      </c>
      <c r="J168" s="5">
        <f t="shared" si="11"/>
        <v>2</v>
      </c>
    </row>
    <row r="169" spans="1:10" x14ac:dyDescent="0.2">
      <c r="A169">
        <v>66</v>
      </c>
      <c r="B169" t="s">
        <v>423</v>
      </c>
      <c r="C169">
        <v>52</v>
      </c>
      <c r="D169" s="5">
        <f t="shared" si="8"/>
        <v>329.63372180082422</v>
      </c>
      <c r="E169" s="5">
        <f t="shared" si="10"/>
        <v>3</v>
      </c>
      <c r="F169" s="4">
        <v>65</v>
      </c>
      <c r="G169" s="4" t="s">
        <v>386</v>
      </c>
      <c r="H169">
        <v>48</v>
      </c>
      <c r="I169" s="5">
        <f t="shared" si="9"/>
        <v>261.62956379894968</v>
      </c>
      <c r="J169" s="5">
        <f t="shared" si="11"/>
        <v>2</v>
      </c>
    </row>
    <row r="170" spans="1:10" x14ac:dyDescent="0.2">
      <c r="A170">
        <v>66.5</v>
      </c>
      <c r="B170" t="s">
        <v>219</v>
      </c>
      <c r="C170">
        <v>55</v>
      </c>
      <c r="D170" s="5">
        <f t="shared" si="8"/>
        <v>392.00377257605692</v>
      </c>
      <c r="E170" s="5">
        <f t="shared" si="10"/>
        <v>3</v>
      </c>
      <c r="F170" s="4">
        <v>65.5</v>
      </c>
      <c r="G170" s="4" t="s">
        <v>38</v>
      </c>
      <c r="H170">
        <v>52</v>
      </c>
      <c r="I170" s="5">
        <f t="shared" si="9"/>
        <v>329.63372180082422</v>
      </c>
      <c r="J170" s="5">
        <f t="shared" si="11"/>
        <v>4</v>
      </c>
    </row>
    <row r="171" spans="1:10" x14ac:dyDescent="0.2">
      <c r="A171">
        <v>67</v>
      </c>
      <c r="B171" t="s">
        <v>424</v>
      </c>
      <c r="C171">
        <v>52</v>
      </c>
      <c r="D171" s="5">
        <f t="shared" si="8"/>
        <v>329.63372180082422</v>
      </c>
      <c r="E171" s="5">
        <f t="shared" si="10"/>
        <v>3</v>
      </c>
      <c r="F171" s="4">
        <v>65.75</v>
      </c>
      <c r="G171" s="4" t="s">
        <v>247</v>
      </c>
      <c r="H171">
        <v>50</v>
      </c>
      <c r="I171" s="5">
        <f t="shared" si="9"/>
        <v>293.66975814369101</v>
      </c>
      <c r="J171" s="5">
        <f t="shared" si="11"/>
        <v>2</v>
      </c>
    </row>
    <row r="172" spans="1:10" x14ac:dyDescent="0.2">
      <c r="A172">
        <v>67.5</v>
      </c>
      <c r="B172" t="s">
        <v>219</v>
      </c>
      <c r="C172">
        <v>55</v>
      </c>
      <c r="D172" s="5">
        <f t="shared" si="8"/>
        <v>392.00377257605692</v>
      </c>
      <c r="E172" s="5">
        <f t="shared" si="10"/>
        <v>3</v>
      </c>
      <c r="F172" s="4">
        <v>66</v>
      </c>
      <c r="G172" s="4" t="s">
        <v>386</v>
      </c>
      <c r="H172">
        <v>48</v>
      </c>
      <c r="I172" s="5">
        <f t="shared" si="9"/>
        <v>261.62956379894968</v>
      </c>
      <c r="J172" s="5">
        <f t="shared" si="11"/>
        <v>2</v>
      </c>
    </row>
    <row r="173" spans="1:10" x14ac:dyDescent="0.2">
      <c r="A173">
        <v>68</v>
      </c>
      <c r="B173" t="s">
        <v>281</v>
      </c>
      <c r="C173">
        <v>50</v>
      </c>
      <c r="D173" s="5">
        <f t="shared" si="8"/>
        <v>293.66975814369101</v>
      </c>
      <c r="E173" s="5">
        <f t="shared" si="10"/>
        <v>5</v>
      </c>
      <c r="F173" s="4">
        <v>66.5</v>
      </c>
      <c r="G173" s="4" t="s">
        <v>37</v>
      </c>
      <c r="H173">
        <v>55</v>
      </c>
      <c r="I173" s="5">
        <f t="shared" si="9"/>
        <v>392.00377257605692</v>
      </c>
      <c r="J173" s="5">
        <f t="shared" si="11"/>
        <v>7</v>
      </c>
    </row>
    <row r="174" spans="1:10" x14ac:dyDescent="0.2">
      <c r="A174">
        <v>68.25</v>
      </c>
      <c r="B174" t="s">
        <v>282</v>
      </c>
      <c r="C174" s="5">
        <v>57</v>
      </c>
      <c r="D174" s="5">
        <f t="shared" si="8"/>
        <v>440.01010976071973</v>
      </c>
      <c r="E174" s="5">
        <f t="shared" si="10"/>
        <v>7</v>
      </c>
      <c r="F174" s="4">
        <v>67</v>
      </c>
      <c r="G174" s="4" t="s">
        <v>206</v>
      </c>
      <c r="H174">
        <v>52</v>
      </c>
      <c r="I174" s="5">
        <f t="shared" si="9"/>
        <v>329.63372180082422</v>
      </c>
      <c r="J174" s="5">
        <f t="shared" si="11"/>
        <v>3</v>
      </c>
    </row>
    <row r="175" spans="1:10" x14ac:dyDescent="0.2">
      <c r="A175">
        <v>68.5</v>
      </c>
      <c r="B175" t="s">
        <v>283</v>
      </c>
      <c r="C175" s="5">
        <v>59</v>
      </c>
      <c r="D175" s="5">
        <f t="shared" si="8"/>
        <v>493.89549345236594</v>
      </c>
      <c r="E175" s="5">
        <f t="shared" si="10"/>
        <v>2</v>
      </c>
      <c r="F175" s="4">
        <v>67.5</v>
      </c>
      <c r="G175" s="4" t="s">
        <v>247</v>
      </c>
      <c r="H175">
        <v>50</v>
      </c>
      <c r="I175" s="5">
        <f t="shared" si="9"/>
        <v>293.66975814369101</v>
      </c>
      <c r="J175" s="5">
        <f t="shared" si="11"/>
        <v>2</v>
      </c>
    </row>
    <row r="176" spans="1:10" x14ac:dyDescent="0.2">
      <c r="A176">
        <v>68.75</v>
      </c>
      <c r="B176" t="s">
        <v>219</v>
      </c>
      <c r="C176" s="5">
        <v>55</v>
      </c>
      <c r="D176" s="5">
        <f t="shared" si="8"/>
        <v>392.00377257605692</v>
      </c>
      <c r="E176" s="5">
        <f t="shared" si="10"/>
        <v>4</v>
      </c>
      <c r="F176" s="4">
        <v>68</v>
      </c>
      <c r="G176" s="4" t="s">
        <v>337</v>
      </c>
      <c r="H176">
        <v>45</v>
      </c>
      <c r="I176" s="5">
        <f t="shared" si="9"/>
        <v>220.00279814001337</v>
      </c>
      <c r="J176" s="5">
        <f t="shared" si="11"/>
        <v>5</v>
      </c>
    </row>
    <row r="177" spans="1:10" x14ac:dyDescent="0.2">
      <c r="A177">
        <v>69</v>
      </c>
      <c r="B177" t="s">
        <v>284</v>
      </c>
      <c r="C177" s="5">
        <v>59</v>
      </c>
      <c r="D177" s="5">
        <f t="shared" si="8"/>
        <v>493.89549345236594</v>
      </c>
      <c r="E177" s="5">
        <f t="shared" si="10"/>
        <v>4</v>
      </c>
      <c r="F177" s="4">
        <v>68.25</v>
      </c>
      <c r="G177" s="4" t="s">
        <v>202</v>
      </c>
      <c r="H177">
        <v>53</v>
      </c>
      <c r="I177" s="5">
        <f t="shared" si="9"/>
        <v>349.23506143398839</v>
      </c>
      <c r="J177" s="5">
        <f t="shared" si="11"/>
        <v>8</v>
      </c>
    </row>
    <row r="178" spans="1:10" x14ac:dyDescent="0.2">
      <c r="A178">
        <v>69.5</v>
      </c>
      <c r="B178" t="s">
        <v>219</v>
      </c>
      <c r="C178" s="5">
        <v>55</v>
      </c>
      <c r="D178" s="5">
        <f t="shared" si="8"/>
        <v>392.00377257605692</v>
      </c>
      <c r="E178" s="5">
        <f t="shared" si="10"/>
        <v>4</v>
      </c>
      <c r="F178" s="4">
        <v>68.5</v>
      </c>
      <c r="G178" s="4" t="s">
        <v>338</v>
      </c>
      <c r="H178">
        <v>55</v>
      </c>
      <c r="I178" s="5">
        <f t="shared" si="9"/>
        <v>392.00377257605692</v>
      </c>
      <c r="J178" s="5">
        <f t="shared" si="11"/>
        <v>2</v>
      </c>
    </row>
    <row r="179" spans="1:10" x14ac:dyDescent="0.2">
      <c r="A179">
        <v>69.75</v>
      </c>
      <c r="B179" t="s">
        <v>281</v>
      </c>
      <c r="C179" s="5">
        <v>50</v>
      </c>
      <c r="D179" s="5">
        <f t="shared" si="8"/>
        <v>293.66975814369101</v>
      </c>
      <c r="E179" s="5">
        <f t="shared" si="10"/>
        <v>5</v>
      </c>
      <c r="F179" s="4">
        <v>68.75</v>
      </c>
      <c r="G179" s="4" t="s">
        <v>247</v>
      </c>
      <c r="H179">
        <v>50</v>
      </c>
      <c r="I179" s="5">
        <f t="shared" si="9"/>
        <v>293.66975814369101</v>
      </c>
      <c r="J179" s="5">
        <f t="shared" si="11"/>
        <v>5</v>
      </c>
    </row>
    <row r="180" spans="1:10" x14ac:dyDescent="0.2">
      <c r="A180">
        <v>70</v>
      </c>
      <c r="B180" t="s">
        <v>284</v>
      </c>
      <c r="C180" s="5">
        <v>59</v>
      </c>
      <c r="D180" s="5">
        <f t="shared" si="8"/>
        <v>493.89549345236594</v>
      </c>
      <c r="E180" s="5">
        <f t="shared" si="10"/>
        <v>9</v>
      </c>
      <c r="F180" s="4">
        <v>69</v>
      </c>
      <c r="G180" s="4" t="s">
        <v>37</v>
      </c>
      <c r="H180">
        <v>55</v>
      </c>
      <c r="I180" s="5">
        <f t="shared" si="9"/>
        <v>392.00377257605692</v>
      </c>
      <c r="J180" s="5">
        <f t="shared" si="11"/>
        <v>5</v>
      </c>
    </row>
    <row r="181" spans="1:10" x14ac:dyDescent="0.2">
      <c r="A181">
        <v>70.5</v>
      </c>
      <c r="B181" t="s">
        <v>286</v>
      </c>
      <c r="C181" s="5">
        <v>55</v>
      </c>
      <c r="D181" s="5">
        <f t="shared" si="8"/>
        <v>392.00377257605692</v>
      </c>
      <c r="E181" s="5">
        <f t="shared" si="10"/>
        <v>4</v>
      </c>
      <c r="F181" s="4">
        <v>69.5</v>
      </c>
      <c r="G181" s="4" t="s">
        <v>339</v>
      </c>
      <c r="H181">
        <v>59</v>
      </c>
      <c r="I181" s="5">
        <f t="shared" si="9"/>
        <v>493.89549345236594</v>
      </c>
      <c r="J181" s="5">
        <f t="shared" si="11"/>
        <v>4</v>
      </c>
    </row>
    <row r="182" spans="1:10" x14ac:dyDescent="0.2">
      <c r="A182">
        <v>71</v>
      </c>
      <c r="B182" t="s">
        <v>287</v>
      </c>
      <c r="C182" s="5">
        <v>62</v>
      </c>
      <c r="D182" s="5">
        <f t="shared" si="8"/>
        <v>587.34554108704231</v>
      </c>
      <c r="E182" s="5">
        <f t="shared" si="10"/>
        <v>7</v>
      </c>
      <c r="F182" s="4">
        <v>69.75</v>
      </c>
      <c r="G182" s="4" t="s">
        <v>340</v>
      </c>
      <c r="H182">
        <v>50</v>
      </c>
      <c r="I182" s="5">
        <f t="shared" si="9"/>
        <v>293.66975814369101</v>
      </c>
      <c r="J182" s="5">
        <f t="shared" si="11"/>
        <v>9</v>
      </c>
    </row>
    <row r="183" spans="1:10" x14ac:dyDescent="0.2">
      <c r="A183">
        <v>71.5</v>
      </c>
      <c r="B183" t="s">
        <v>219</v>
      </c>
      <c r="C183" s="5">
        <v>55</v>
      </c>
      <c r="D183" s="5">
        <f t="shared" si="8"/>
        <v>392.00377257605692</v>
      </c>
      <c r="E183" s="5">
        <f t="shared" si="10"/>
        <v>7</v>
      </c>
      <c r="F183" s="4">
        <v>70</v>
      </c>
      <c r="G183" s="4" t="s">
        <v>37</v>
      </c>
      <c r="H183">
        <v>55</v>
      </c>
      <c r="I183" s="5">
        <f t="shared" si="9"/>
        <v>392.00377257605692</v>
      </c>
      <c r="J183" s="5">
        <f t="shared" si="11"/>
        <v>5</v>
      </c>
    </row>
    <row r="184" spans="1:10" x14ac:dyDescent="0.2">
      <c r="A184">
        <v>72</v>
      </c>
      <c r="B184" t="s">
        <v>288</v>
      </c>
      <c r="C184" s="5">
        <v>50</v>
      </c>
      <c r="D184" s="5">
        <f t="shared" si="8"/>
        <v>293.66975814369101</v>
      </c>
      <c r="E184" s="5">
        <f t="shared" si="10"/>
        <v>5</v>
      </c>
      <c r="F184" s="4">
        <v>70.5</v>
      </c>
      <c r="G184" s="4" t="s">
        <v>37</v>
      </c>
      <c r="H184">
        <v>55</v>
      </c>
      <c r="I184" s="5">
        <f t="shared" si="9"/>
        <v>392.00377257605692</v>
      </c>
      <c r="J184" s="5">
        <f t="shared" si="11"/>
        <v>0</v>
      </c>
    </row>
    <row r="185" spans="1:10" x14ac:dyDescent="0.2">
      <c r="A185">
        <v>72.25</v>
      </c>
      <c r="B185" t="s">
        <v>289</v>
      </c>
      <c r="C185" s="5">
        <v>57</v>
      </c>
      <c r="D185" s="5">
        <f t="shared" si="8"/>
        <v>440.01010976071973</v>
      </c>
      <c r="E185" s="5">
        <f t="shared" si="10"/>
        <v>7</v>
      </c>
      <c r="F185" s="4">
        <v>71</v>
      </c>
      <c r="G185" s="4" t="s">
        <v>341</v>
      </c>
      <c r="H185">
        <v>59</v>
      </c>
      <c r="I185" s="5">
        <f t="shared" si="9"/>
        <v>493.89549345236594</v>
      </c>
      <c r="J185" s="5">
        <f t="shared" si="11"/>
        <v>4</v>
      </c>
    </row>
    <row r="186" spans="1:10" x14ac:dyDescent="0.2">
      <c r="A186">
        <v>72.5</v>
      </c>
      <c r="B186" t="s">
        <v>284</v>
      </c>
      <c r="C186" s="5">
        <v>59</v>
      </c>
      <c r="D186" s="5">
        <f t="shared" si="8"/>
        <v>493.89549345236594</v>
      </c>
      <c r="E186" s="5">
        <f t="shared" si="10"/>
        <v>2</v>
      </c>
      <c r="F186" s="4">
        <v>71.5</v>
      </c>
      <c r="G186" s="4" t="s">
        <v>207</v>
      </c>
      <c r="H186">
        <v>50</v>
      </c>
      <c r="I186" s="5">
        <f t="shared" si="9"/>
        <v>293.66975814369101</v>
      </c>
      <c r="J186" s="5">
        <f t="shared" si="11"/>
        <v>9</v>
      </c>
    </row>
    <row r="187" spans="1:10" x14ac:dyDescent="0.2">
      <c r="A187">
        <v>72.75</v>
      </c>
      <c r="B187" t="s">
        <v>219</v>
      </c>
      <c r="C187" s="5">
        <v>55</v>
      </c>
      <c r="D187" s="5">
        <f t="shared" si="8"/>
        <v>392.00377257605692</v>
      </c>
      <c r="E187" s="5">
        <f t="shared" si="10"/>
        <v>4</v>
      </c>
      <c r="F187" s="4">
        <v>72</v>
      </c>
      <c r="G187" s="4" t="s">
        <v>337</v>
      </c>
      <c r="H187">
        <v>45</v>
      </c>
      <c r="I187" s="5">
        <f t="shared" si="9"/>
        <v>220.00279814001337</v>
      </c>
      <c r="J187" s="5">
        <f t="shared" si="11"/>
        <v>5</v>
      </c>
    </row>
    <row r="188" spans="1:10" x14ac:dyDescent="0.2">
      <c r="A188">
        <v>73</v>
      </c>
      <c r="B188" t="s">
        <v>284</v>
      </c>
      <c r="C188" s="5">
        <v>59</v>
      </c>
      <c r="D188" s="5">
        <f t="shared" si="8"/>
        <v>493.89549345236594</v>
      </c>
      <c r="E188" s="5">
        <f t="shared" si="10"/>
        <v>4</v>
      </c>
      <c r="F188" s="4">
        <v>72.25</v>
      </c>
      <c r="G188" s="4" t="s">
        <v>202</v>
      </c>
      <c r="H188">
        <v>53</v>
      </c>
      <c r="I188" s="5">
        <f t="shared" si="9"/>
        <v>349.23506143398839</v>
      </c>
      <c r="J188" s="5">
        <f t="shared" si="11"/>
        <v>8</v>
      </c>
    </row>
    <row r="189" spans="1:10" x14ac:dyDescent="0.2">
      <c r="A189">
        <v>73.5</v>
      </c>
      <c r="B189" t="s">
        <v>219</v>
      </c>
      <c r="C189" s="5">
        <v>55</v>
      </c>
      <c r="D189" s="5">
        <f t="shared" si="8"/>
        <v>392.00377257605692</v>
      </c>
      <c r="E189" s="5">
        <f t="shared" si="10"/>
        <v>4</v>
      </c>
      <c r="F189" s="4">
        <v>72.5</v>
      </c>
      <c r="G189" s="4" t="s">
        <v>37</v>
      </c>
      <c r="H189">
        <v>55</v>
      </c>
      <c r="I189" s="5">
        <f t="shared" si="9"/>
        <v>392.00377257605692</v>
      </c>
      <c r="J189" s="5">
        <f t="shared" si="11"/>
        <v>2</v>
      </c>
    </row>
    <row r="190" spans="1:10" x14ac:dyDescent="0.2">
      <c r="A190">
        <v>73.75</v>
      </c>
      <c r="B190" t="s">
        <v>373</v>
      </c>
      <c r="C190" s="5">
        <v>50</v>
      </c>
      <c r="D190" s="5">
        <f t="shared" si="8"/>
        <v>293.66975814369101</v>
      </c>
      <c r="E190" s="5">
        <f t="shared" si="10"/>
        <v>5</v>
      </c>
      <c r="F190" s="4">
        <v>72.75</v>
      </c>
      <c r="G190" s="4" t="s">
        <v>247</v>
      </c>
      <c r="H190">
        <v>50</v>
      </c>
      <c r="I190" s="5">
        <f t="shared" si="9"/>
        <v>293.66975814369101</v>
      </c>
      <c r="J190" s="5">
        <f t="shared" si="11"/>
        <v>5</v>
      </c>
    </row>
    <row r="191" spans="1:10" x14ac:dyDescent="0.2">
      <c r="A191">
        <v>74</v>
      </c>
      <c r="B191" t="s">
        <v>283</v>
      </c>
      <c r="C191" s="5">
        <v>59</v>
      </c>
      <c r="D191" s="5">
        <f t="shared" si="8"/>
        <v>493.89549345236594</v>
      </c>
      <c r="E191" s="5">
        <f t="shared" si="10"/>
        <v>9</v>
      </c>
      <c r="F191" s="4">
        <v>73</v>
      </c>
      <c r="G191" s="4" t="s">
        <v>37</v>
      </c>
      <c r="H191">
        <v>55</v>
      </c>
      <c r="I191" s="5">
        <f t="shared" si="9"/>
        <v>392.00377257605692</v>
      </c>
      <c r="J191" s="5">
        <f t="shared" si="11"/>
        <v>5</v>
      </c>
    </row>
    <row r="192" spans="1:10" x14ac:dyDescent="0.2">
      <c r="A192">
        <v>74.5</v>
      </c>
      <c r="B192" t="s">
        <v>219</v>
      </c>
      <c r="C192" s="5">
        <v>55</v>
      </c>
      <c r="D192" s="5">
        <f t="shared" si="8"/>
        <v>392.00377257605692</v>
      </c>
      <c r="E192" s="5">
        <f t="shared" si="10"/>
        <v>4</v>
      </c>
      <c r="F192" s="4">
        <v>73.5</v>
      </c>
      <c r="G192" s="4" t="s">
        <v>341</v>
      </c>
      <c r="H192">
        <v>59</v>
      </c>
      <c r="I192" s="5">
        <f t="shared" si="9"/>
        <v>493.89549345236594</v>
      </c>
      <c r="J192" s="5">
        <f t="shared" si="11"/>
        <v>4</v>
      </c>
    </row>
    <row r="193" spans="1:10" x14ac:dyDescent="0.2">
      <c r="A193">
        <v>75</v>
      </c>
      <c r="B193" t="s">
        <v>285</v>
      </c>
      <c r="C193" s="5">
        <v>62</v>
      </c>
      <c r="D193" s="5">
        <f t="shared" si="8"/>
        <v>587.34554108704231</v>
      </c>
      <c r="E193" s="5">
        <f t="shared" si="10"/>
        <v>7</v>
      </c>
      <c r="F193" s="4">
        <v>73.75</v>
      </c>
      <c r="G193" s="4" t="s">
        <v>247</v>
      </c>
      <c r="H193">
        <v>50</v>
      </c>
      <c r="I193" s="5">
        <f t="shared" si="9"/>
        <v>293.66975814369101</v>
      </c>
      <c r="J193" s="5">
        <f t="shared" si="11"/>
        <v>9</v>
      </c>
    </row>
    <row r="194" spans="1:10" x14ac:dyDescent="0.2">
      <c r="A194">
        <v>75.5</v>
      </c>
      <c r="B194" t="s">
        <v>219</v>
      </c>
      <c r="C194" s="5">
        <v>55</v>
      </c>
      <c r="D194" s="5">
        <f t="shared" si="8"/>
        <v>392.00377257605692</v>
      </c>
      <c r="E194" s="5">
        <f t="shared" si="10"/>
        <v>7</v>
      </c>
      <c r="F194" s="4">
        <v>74</v>
      </c>
      <c r="G194" s="4" t="s">
        <v>37</v>
      </c>
      <c r="H194">
        <v>55</v>
      </c>
      <c r="I194" s="5">
        <f t="shared" si="9"/>
        <v>392.00377257605692</v>
      </c>
      <c r="J194" s="5">
        <f t="shared" si="11"/>
        <v>5</v>
      </c>
    </row>
    <row r="195" spans="1:10" x14ac:dyDescent="0.2">
      <c r="A195">
        <v>76</v>
      </c>
      <c r="B195" t="s">
        <v>375</v>
      </c>
      <c r="C195" s="5">
        <v>50</v>
      </c>
      <c r="D195" s="5">
        <f t="shared" si="8"/>
        <v>293.66975814369101</v>
      </c>
      <c r="E195" s="5">
        <f t="shared" si="10"/>
        <v>5</v>
      </c>
      <c r="F195" s="4">
        <v>74.5</v>
      </c>
      <c r="G195" s="4" t="s">
        <v>37</v>
      </c>
      <c r="H195">
        <v>55</v>
      </c>
      <c r="I195" s="5">
        <f t="shared" si="9"/>
        <v>392.00377257605692</v>
      </c>
      <c r="J195" s="5">
        <f t="shared" si="11"/>
        <v>0</v>
      </c>
    </row>
    <row r="196" spans="1:10" x14ac:dyDescent="0.2">
      <c r="A196">
        <v>76.25</v>
      </c>
      <c r="B196" t="s">
        <v>374</v>
      </c>
      <c r="C196" s="5">
        <v>55</v>
      </c>
      <c r="D196" s="5">
        <f t="shared" ref="D196:D259" si="12">16.35117682*1.059464^C196</f>
        <v>392.00377257605692</v>
      </c>
      <c r="E196" s="5">
        <f t="shared" si="10"/>
        <v>5</v>
      </c>
      <c r="F196" s="4">
        <v>75</v>
      </c>
      <c r="G196" s="4" t="s">
        <v>249</v>
      </c>
      <c r="H196">
        <v>59</v>
      </c>
      <c r="I196" s="5">
        <f t="shared" ref="I196:I259" si="13">16.35117682*1.059464^H196</f>
        <v>493.89549345236594</v>
      </c>
      <c r="J196" s="5">
        <f t="shared" si="11"/>
        <v>4</v>
      </c>
    </row>
    <row r="197" spans="1:10" x14ac:dyDescent="0.2">
      <c r="A197">
        <v>76.5</v>
      </c>
      <c r="B197" t="s">
        <v>381</v>
      </c>
      <c r="C197" s="5">
        <v>57</v>
      </c>
      <c r="D197" s="5">
        <f t="shared" si="12"/>
        <v>440.01010976071973</v>
      </c>
      <c r="E197" s="5">
        <f t="shared" ref="E197:E260" si="14">ABS( C197-C196)</f>
        <v>2</v>
      </c>
      <c r="F197" s="4">
        <v>75.5</v>
      </c>
      <c r="G197" s="4" t="s">
        <v>207</v>
      </c>
      <c r="H197">
        <v>50</v>
      </c>
      <c r="I197" s="5">
        <f t="shared" si="13"/>
        <v>293.66975814369101</v>
      </c>
      <c r="J197" s="5">
        <f t="shared" ref="J197:J260" si="15">ABS( H197-H196)</f>
        <v>9</v>
      </c>
    </row>
    <row r="198" spans="1:10" x14ac:dyDescent="0.2">
      <c r="A198">
        <v>76.75</v>
      </c>
      <c r="B198" t="s">
        <v>374</v>
      </c>
      <c r="C198" s="5">
        <v>55</v>
      </c>
      <c r="D198" s="5">
        <f t="shared" si="12"/>
        <v>392.00377257605692</v>
      </c>
      <c r="E198" s="5">
        <f t="shared" si="14"/>
        <v>2</v>
      </c>
      <c r="F198" s="4">
        <v>76</v>
      </c>
      <c r="G198" s="4" t="s">
        <v>337</v>
      </c>
      <c r="H198">
        <v>45</v>
      </c>
      <c r="I198" s="5">
        <f t="shared" si="13"/>
        <v>220.00279814001337</v>
      </c>
      <c r="J198" s="5">
        <f t="shared" si="15"/>
        <v>5</v>
      </c>
    </row>
    <row r="199" spans="1:10" x14ac:dyDescent="0.2">
      <c r="A199">
        <v>77</v>
      </c>
      <c r="B199" t="s">
        <v>282</v>
      </c>
      <c r="C199" s="5">
        <v>57</v>
      </c>
      <c r="D199" s="5">
        <f t="shared" si="12"/>
        <v>440.01010976071973</v>
      </c>
      <c r="E199" s="5">
        <f t="shared" si="14"/>
        <v>2</v>
      </c>
      <c r="F199" s="4">
        <v>76.25</v>
      </c>
      <c r="G199" s="4" t="s">
        <v>38</v>
      </c>
      <c r="H199">
        <v>52</v>
      </c>
      <c r="I199" s="5">
        <f t="shared" si="13"/>
        <v>329.63372180082422</v>
      </c>
      <c r="J199" s="5">
        <f t="shared" si="15"/>
        <v>7</v>
      </c>
    </row>
    <row r="200" spans="1:10" x14ac:dyDescent="0.2">
      <c r="A200">
        <v>77.5</v>
      </c>
      <c r="B200" t="s">
        <v>382</v>
      </c>
      <c r="C200" s="5">
        <v>55</v>
      </c>
      <c r="D200" s="5">
        <f t="shared" si="12"/>
        <v>392.00377257605692</v>
      </c>
      <c r="E200" s="5">
        <f t="shared" si="14"/>
        <v>2</v>
      </c>
      <c r="F200" s="4">
        <v>76.5</v>
      </c>
      <c r="G200" s="4" t="s">
        <v>202</v>
      </c>
      <c r="H200">
        <v>53</v>
      </c>
      <c r="I200" s="5">
        <f t="shared" si="13"/>
        <v>349.23506143398839</v>
      </c>
      <c r="J200" s="5">
        <f t="shared" si="15"/>
        <v>1</v>
      </c>
    </row>
    <row r="201" spans="1:10" x14ac:dyDescent="0.2">
      <c r="A201">
        <v>77.75</v>
      </c>
      <c r="B201" t="s">
        <v>281</v>
      </c>
      <c r="C201" s="5">
        <v>50</v>
      </c>
      <c r="D201" s="5">
        <f t="shared" si="12"/>
        <v>293.66975814369101</v>
      </c>
      <c r="E201" s="5">
        <f t="shared" si="14"/>
        <v>5</v>
      </c>
      <c r="F201" s="4">
        <v>76.75</v>
      </c>
      <c r="G201" s="4" t="s">
        <v>247</v>
      </c>
      <c r="H201">
        <v>50</v>
      </c>
      <c r="I201" s="5">
        <f t="shared" si="13"/>
        <v>293.66975814369101</v>
      </c>
      <c r="J201" s="5">
        <f t="shared" si="15"/>
        <v>3</v>
      </c>
    </row>
    <row r="202" spans="1:10" x14ac:dyDescent="0.2">
      <c r="A202">
        <v>78</v>
      </c>
      <c r="B202" t="s">
        <v>282</v>
      </c>
      <c r="C202" s="5">
        <v>57</v>
      </c>
      <c r="D202" s="5">
        <f t="shared" si="12"/>
        <v>440.01010976071973</v>
      </c>
      <c r="E202" s="5">
        <f t="shared" si="14"/>
        <v>7</v>
      </c>
      <c r="F202" s="4">
        <v>77</v>
      </c>
      <c r="G202" s="4" t="s">
        <v>202</v>
      </c>
      <c r="H202">
        <v>53</v>
      </c>
      <c r="I202" s="5">
        <f t="shared" si="13"/>
        <v>349.23506143398839</v>
      </c>
      <c r="J202" s="5">
        <f t="shared" si="15"/>
        <v>3</v>
      </c>
    </row>
    <row r="203" spans="1:10" x14ac:dyDescent="0.2">
      <c r="A203">
        <v>78.5</v>
      </c>
      <c r="B203" t="s">
        <v>286</v>
      </c>
      <c r="C203" s="5">
        <v>55</v>
      </c>
      <c r="D203" s="5">
        <f t="shared" si="12"/>
        <v>392.00377257605692</v>
      </c>
      <c r="E203" s="5">
        <f t="shared" si="14"/>
        <v>2</v>
      </c>
      <c r="F203" s="4">
        <v>77.5</v>
      </c>
      <c r="G203" s="4" t="s">
        <v>118</v>
      </c>
      <c r="H203">
        <v>57</v>
      </c>
      <c r="I203" s="5">
        <f t="shared" si="13"/>
        <v>440.01010976071973</v>
      </c>
      <c r="J203" s="5">
        <f t="shared" si="15"/>
        <v>4</v>
      </c>
    </row>
    <row r="204" spans="1:10" x14ac:dyDescent="0.2">
      <c r="A204">
        <v>79</v>
      </c>
      <c r="B204" t="s">
        <v>383</v>
      </c>
      <c r="C204" s="5">
        <v>60</v>
      </c>
      <c r="D204" s="5">
        <f t="shared" si="12"/>
        <v>523.26449507501752</v>
      </c>
      <c r="E204" s="5">
        <f t="shared" si="14"/>
        <v>5</v>
      </c>
      <c r="F204" s="4">
        <v>77.75</v>
      </c>
      <c r="G204" s="4" t="s">
        <v>247</v>
      </c>
      <c r="H204">
        <v>50</v>
      </c>
      <c r="I204" s="5">
        <f t="shared" si="13"/>
        <v>293.66975814369101</v>
      </c>
      <c r="J204" s="5">
        <f t="shared" si="15"/>
        <v>7</v>
      </c>
    </row>
    <row r="205" spans="1:10" x14ac:dyDescent="0.2">
      <c r="A205">
        <v>79.5</v>
      </c>
      <c r="B205" t="s">
        <v>219</v>
      </c>
      <c r="C205" s="5">
        <v>55</v>
      </c>
      <c r="D205" s="5">
        <f t="shared" si="12"/>
        <v>392.00377257605692</v>
      </c>
      <c r="E205" s="5">
        <f t="shared" si="14"/>
        <v>5</v>
      </c>
      <c r="F205" s="4">
        <v>78</v>
      </c>
      <c r="G205" s="4" t="s">
        <v>202</v>
      </c>
      <c r="H205">
        <v>53</v>
      </c>
      <c r="I205" s="5">
        <f t="shared" si="13"/>
        <v>349.23506143398839</v>
      </c>
      <c r="J205" s="5">
        <f t="shared" si="15"/>
        <v>3</v>
      </c>
    </row>
    <row r="206" spans="1:10" x14ac:dyDescent="0.2">
      <c r="A206">
        <v>80</v>
      </c>
      <c r="B206" t="s">
        <v>281</v>
      </c>
      <c r="C206" s="5">
        <v>50</v>
      </c>
      <c r="D206" s="5">
        <f t="shared" si="12"/>
        <v>293.66975814369101</v>
      </c>
      <c r="E206" s="5">
        <f t="shared" si="14"/>
        <v>5</v>
      </c>
      <c r="F206" s="4">
        <v>78.5</v>
      </c>
      <c r="G206" s="4" t="s">
        <v>250</v>
      </c>
      <c r="H206">
        <v>55</v>
      </c>
      <c r="I206" s="5">
        <f t="shared" si="13"/>
        <v>392.00377257605692</v>
      </c>
      <c r="J206" s="5">
        <f t="shared" si="15"/>
        <v>2</v>
      </c>
    </row>
    <row r="207" spans="1:10" x14ac:dyDescent="0.2">
      <c r="A207">
        <v>80.25</v>
      </c>
      <c r="B207" t="s">
        <v>423</v>
      </c>
      <c r="C207" s="5">
        <v>52</v>
      </c>
      <c r="D207" s="5">
        <f t="shared" si="12"/>
        <v>329.63372180082422</v>
      </c>
      <c r="E207" s="5">
        <f t="shared" si="14"/>
        <v>2</v>
      </c>
      <c r="F207" s="4">
        <v>79</v>
      </c>
      <c r="G207" s="4" t="s">
        <v>248</v>
      </c>
      <c r="H207">
        <v>57</v>
      </c>
      <c r="I207" s="5">
        <f t="shared" si="13"/>
        <v>440.01010976071973</v>
      </c>
      <c r="J207" s="5">
        <f t="shared" si="15"/>
        <v>2</v>
      </c>
    </row>
    <row r="208" spans="1:10" x14ac:dyDescent="0.2">
      <c r="A208">
        <v>80.5</v>
      </c>
      <c r="B208" t="s">
        <v>218</v>
      </c>
      <c r="C208" s="5">
        <v>53</v>
      </c>
      <c r="D208" s="5">
        <f t="shared" si="12"/>
        <v>349.23506143398839</v>
      </c>
      <c r="E208" s="5">
        <f t="shared" si="14"/>
        <v>1</v>
      </c>
      <c r="F208" s="4">
        <v>79.5</v>
      </c>
      <c r="G208" s="4" t="s">
        <v>247</v>
      </c>
      <c r="H208">
        <v>50</v>
      </c>
      <c r="I208" s="5">
        <f t="shared" si="13"/>
        <v>293.66975814369101</v>
      </c>
      <c r="J208" s="5">
        <f t="shared" si="15"/>
        <v>7</v>
      </c>
    </row>
    <row r="209" spans="1:10" x14ac:dyDescent="0.2">
      <c r="A209">
        <v>80.75</v>
      </c>
      <c r="B209" t="s">
        <v>219</v>
      </c>
      <c r="C209" s="5">
        <v>55</v>
      </c>
      <c r="D209" s="5">
        <f t="shared" si="12"/>
        <v>392.00377257605692</v>
      </c>
      <c r="E209" s="5">
        <f t="shared" si="14"/>
        <v>2</v>
      </c>
      <c r="F209" s="4">
        <v>80</v>
      </c>
      <c r="G209" s="4" t="s">
        <v>342</v>
      </c>
      <c r="H209">
        <v>45</v>
      </c>
      <c r="I209" s="5">
        <f t="shared" si="13"/>
        <v>220.00279814001337</v>
      </c>
      <c r="J209" s="5">
        <f t="shared" si="15"/>
        <v>5</v>
      </c>
    </row>
    <row r="210" spans="1:10" x14ac:dyDescent="0.2">
      <c r="A210">
        <v>81</v>
      </c>
      <c r="B210" t="s">
        <v>423</v>
      </c>
      <c r="C210" s="5">
        <v>52</v>
      </c>
      <c r="D210" s="5">
        <f t="shared" si="12"/>
        <v>329.63372180082422</v>
      </c>
      <c r="E210" s="5">
        <f t="shared" si="14"/>
        <v>3</v>
      </c>
      <c r="F210" s="4">
        <v>80.25</v>
      </c>
      <c r="G210" s="4" t="s">
        <v>385</v>
      </c>
      <c r="H210">
        <v>47</v>
      </c>
      <c r="I210" s="5">
        <f t="shared" si="13"/>
        <v>246.94521361646048</v>
      </c>
      <c r="J210" s="5">
        <f t="shared" si="15"/>
        <v>2</v>
      </c>
    </row>
    <row r="211" spans="1:10" x14ac:dyDescent="0.2">
      <c r="A211">
        <v>81.5</v>
      </c>
      <c r="B211" t="s">
        <v>219</v>
      </c>
      <c r="C211" s="5">
        <v>55</v>
      </c>
      <c r="D211" s="5">
        <f t="shared" si="12"/>
        <v>392.00377257605692</v>
      </c>
      <c r="E211" s="5">
        <f t="shared" si="14"/>
        <v>3</v>
      </c>
      <c r="F211" s="4">
        <v>80.5</v>
      </c>
      <c r="G211" s="4" t="s">
        <v>386</v>
      </c>
      <c r="H211">
        <v>48</v>
      </c>
      <c r="I211" s="5">
        <f t="shared" si="13"/>
        <v>261.62956379894968</v>
      </c>
      <c r="J211" s="5">
        <f t="shared" si="15"/>
        <v>1</v>
      </c>
    </row>
    <row r="212" spans="1:10" x14ac:dyDescent="0.2">
      <c r="A212">
        <v>82</v>
      </c>
      <c r="B212" t="s">
        <v>423</v>
      </c>
      <c r="C212" s="5">
        <v>52</v>
      </c>
      <c r="D212" s="5">
        <f t="shared" si="12"/>
        <v>329.63372180082422</v>
      </c>
      <c r="E212" s="5">
        <f t="shared" si="14"/>
        <v>3</v>
      </c>
      <c r="F212" s="4">
        <v>80.75</v>
      </c>
      <c r="G212" s="4" t="s">
        <v>247</v>
      </c>
      <c r="H212">
        <v>50</v>
      </c>
      <c r="I212" s="5">
        <f t="shared" si="13"/>
        <v>293.66975814369101</v>
      </c>
      <c r="J212" s="5">
        <f t="shared" si="15"/>
        <v>2</v>
      </c>
    </row>
    <row r="213" spans="1:10" x14ac:dyDescent="0.2">
      <c r="A213">
        <v>82.5</v>
      </c>
      <c r="B213" t="s">
        <v>219</v>
      </c>
      <c r="C213" s="5">
        <v>55</v>
      </c>
      <c r="D213" s="5">
        <f t="shared" si="12"/>
        <v>392.00377257605692</v>
      </c>
      <c r="E213" s="5">
        <f t="shared" si="14"/>
        <v>3</v>
      </c>
      <c r="F213" s="4">
        <v>81</v>
      </c>
      <c r="G213" s="4" t="s">
        <v>386</v>
      </c>
      <c r="H213">
        <v>48</v>
      </c>
      <c r="I213" s="5">
        <f t="shared" si="13"/>
        <v>261.62956379894968</v>
      </c>
      <c r="J213" s="5">
        <f t="shared" si="15"/>
        <v>2</v>
      </c>
    </row>
    <row r="214" spans="1:10" x14ac:dyDescent="0.2">
      <c r="A214">
        <v>83</v>
      </c>
      <c r="B214" t="s">
        <v>424</v>
      </c>
      <c r="C214" s="5">
        <v>52</v>
      </c>
      <c r="D214" s="5">
        <f t="shared" si="12"/>
        <v>329.63372180082422</v>
      </c>
      <c r="E214" s="5">
        <f t="shared" si="14"/>
        <v>3</v>
      </c>
      <c r="F214" s="4">
        <v>81.5</v>
      </c>
      <c r="G214" s="4" t="s">
        <v>38</v>
      </c>
      <c r="H214">
        <v>52</v>
      </c>
      <c r="I214" s="5">
        <f t="shared" si="13"/>
        <v>329.63372180082422</v>
      </c>
      <c r="J214" s="5">
        <f t="shared" si="15"/>
        <v>4</v>
      </c>
    </row>
    <row r="215" spans="1:10" x14ac:dyDescent="0.2">
      <c r="A215">
        <v>83.5</v>
      </c>
      <c r="B215" t="s">
        <v>219</v>
      </c>
      <c r="C215" s="5">
        <v>55</v>
      </c>
      <c r="D215" s="5">
        <f t="shared" si="12"/>
        <v>392.00377257605692</v>
      </c>
      <c r="E215" s="5">
        <f t="shared" si="14"/>
        <v>3</v>
      </c>
      <c r="F215" s="4">
        <v>81.75</v>
      </c>
      <c r="G215" s="4" t="s">
        <v>247</v>
      </c>
      <c r="H215">
        <v>50</v>
      </c>
      <c r="I215" s="5">
        <f t="shared" si="13"/>
        <v>293.66975814369101</v>
      </c>
      <c r="J215" s="5">
        <f t="shared" si="15"/>
        <v>2</v>
      </c>
    </row>
    <row r="216" spans="1:10" x14ac:dyDescent="0.2">
      <c r="A216">
        <v>84</v>
      </c>
      <c r="B216" t="s">
        <v>218</v>
      </c>
      <c r="C216" s="5">
        <v>53</v>
      </c>
      <c r="D216" s="5">
        <f t="shared" si="12"/>
        <v>349.23506143398839</v>
      </c>
      <c r="E216" s="5">
        <f t="shared" si="14"/>
        <v>2</v>
      </c>
      <c r="F216" s="4">
        <v>82</v>
      </c>
      <c r="G216" s="4" t="s">
        <v>386</v>
      </c>
      <c r="H216">
        <v>48</v>
      </c>
      <c r="I216" s="5">
        <f t="shared" si="13"/>
        <v>261.62956379894968</v>
      </c>
      <c r="J216" s="5">
        <f t="shared" si="15"/>
        <v>2</v>
      </c>
    </row>
    <row r="217" spans="1:10" x14ac:dyDescent="0.2">
      <c r="A217">
        <v>84.25</v>
      </c>
      <c r="B217" t="s">
        <v>426</v>
      </c>
      <c r="C217" s="5">
        <v>54</v>
      </c>
      <c r="D217" s="5">
        <f t="shared" si="12"/>
        <v>370.00197512709912</v>
      </c>
      <c r="E217" s="5">
        <f t="shared" si="14"/>
        <v>1</v>
      </c>
      <c r="F217" s="4">
        <v>82.5</v>
      </c>
      <c r="G217" s="4" t="s">
        <v>37</v>
      </c>
      <c r="H217">
        <v>55</v>
      </c>
      <c r="I217" s="5">
        <f t="shared" si="13"/>
        <v>392.00377257605692</v>
      </c>
      <c r="J217" s="5">
        <f t="shared" si="15"/>
        <v>7</v>
      </c>
    </row>
    <row r="218" spans="1:10" x14ac:dyDescent="0.2">
      <c r="A218">
        <v>84.5</v>
      </c>
      <c r="B218" t="s">
        <v>219</v>
      </c>
      <c r="C218" s="5">
        <v>55</v>
      </c>
      <c r="D218" s="5">
        <f t="shared" si="12"/>
        <v>392.00377257605692</v>
      </c>
      <c r="E218" s="5">
        <f t="shared" si="14"/>
        <v>1</v>
      </c>
      <c r="F218" s="4">
        <v>83</v>
      </c>
      <c r="G218" s="4" t="s">
        <v>206</v>
      </c>
      <c r="H218">
        <v>52</v>
      </c>
      <c r="I218" s="5">
        <f t="shared" si="13"/>
        <v>329.63372180082422</v>
      </c>
      <c r="J218" s="5">
        <f t="shared" si="15"/>
        <v>3</v>
      </c>
    </row>
    <row r="219" spans="1:10" x14ac:dyDescent="0.2">
      <c r="A219">
        <v>84.75</v>
      </c>
      <c r="B219" t="s">
        <v>219</v>
      </c>
      <c r="C219" s="5">
        <v>55</v>
      </c>
      <c r="D219" s="5">
        <f t="shared" si="12"/>
        <v>392.00377257605692</v>
      </c>
      <c r="E219" s="5">
        <f t="shared" si="14"/>
        <v>0</v>
      </c>
      <c r="F219" s="4">
        <v>83.5</v>
      </c>
      <c r="G219" s="4" t="s">
        <v>247</v>
      </c>
      <c r="H219">
        <v>50</v>
      </c>
      <c r="I219" s="5">
        <f t="shared" si="13"/>
        <v>293.66975814369101</v>
      </c>
      <c r="J219" s="5">
        <f t="shared" si="15"/>
        <v>2</v>
      </c>
    </row>
    <row r="220" spans="1:10" x14ac:dyDescent="0.2">
      <c r="A220">
        <v>85</v>
      </c>
      <c r="B220" t="s">
        <v>219</v>
      </c>
      <c r="C220" s="5">
        <v>55</v>
      </c>
      <c r="D220" s="5">
        <f t="shared" si="12"/>
        <v>392.00377257605692</v>
      </c>
      <c r="E220" s="5">
        <f t="shared" si="14"/>
        <v>0</v>
      </c>
      <c r="F220" s="4">
        <v>84</v>
      </c>
      <c r="G220" s="4" t="s">
        <v>271</v>
      </c>
      <c r="H220">
        <v>45</v>
      </c>
      <c r="I220" s="5">
        <f t="shared" si="13"/>
        <v>220.00279814001337</v>
      </c>
      <c r="J220" s="5">
        <f t="shared" si="15"/>
        <v>5</v>
      </c>
    </row>
    <row r="221" spans="1:10" x14ac:dyDescent="0.2">
      <c r="A221">
        <v>85.5</v>
      </c>
      <c r="B221" t="s">
        <v>219</v>
      </c>
      <c r="C221" s="5">
        <v>55</v>
      </c>
      <c r="D221" s="5">
        <f t="shared" si="12"/>
        <v>392.00377257605692</v>
      </c>
      <c r="E221" s="5">
        <f t="shared" si="14"/>
        <v>0</v>
      </c>
      <c r="F221" s="4">
        <v>84.25</v>
      </c>
      <c r="G221" s="4" t="s">
        <v>270</v>
      </c>
      <c r="H221">
        <v>46</v>
      </c>
      <c r="I221" s="5">
        <f t="shared" si="13"/>
        <v>233.08504452861115</v>
      </c>
      <c r="J221" s="5">
        <f t="shared" si="15"/>
        <v>1</v>
      </c>
    </row>
    <row r="222" spans="1:10" x14ac:dyDescent="0.2">
      <c r="A222">
        <v>86</v>
      </c>
      <c r="B222" t="s">
        <v>218</v>
      </c>
      <c r="C222" s="5">
        <v>53</v>
      </c>
      <c r="D222" s="5">
        <f t="shared" si="12"/>
        <v>349.23506143398839</v>
      </c>
      <c r="E222" s="5">
        <f t="shared" si="14"/>
        <v>2</v>
      </c>
      <c r="F222" s="4">
        <v>84.5</v>
      </c>
      <c r="G222" s="4" t="s">
        <v>272</v>
      </c>
      <c r="H222">
        <v>47</v>
      </c>
      <c r="I222" s="5">
        <f t="shared" si="13"/>
        <v>246.94521361646048</v>
      </c>
      <c r="J222" s="5">
        <f t="shared" si="15"/>
        <v>1</v>
      </c>
    </row>
    <row r="223" spans="1:10" x14ac:dyDescent="0.2">
      <c r="A223">
        <v>86.25</v>
      </c>
      <c r="B223" t="s">
        <v>425</v>
      </c>
      <c r="C223" s="5">
        <v>54</v>
      </c>
      <c r="D223" s="5">
        <f t="shared" si="12"/>
        <v>370.00197512709912</v>
      </c>
      <c r="E223" s="5">
        <f t="shared" si="14"/>
        <v>1</v>
      </c>
      <c r="F223" s="4">
        <v>84.75</v>
      </c>
      <c r="G223" s="4" t="s">
        <v>273</v>
      </c>
      <c r="H223">
        <v>50</v>
      </c>
      <c r="I223" s="5">
        <f t="shared" si="13"/>
        <v>293.66975814369101</v>
      </c>
      <c r="J223" s="5">
        <f t="shared" si="15"/>
        <v>3</v>
      </c>
    </row>
    <row r="224" spans="1:10" x14ac:dyDescent="0.2">
      <c r="A224">
        <v>86.5</v>
      </c>
      <c r="B224" t="s">
        <v>220</v>
      </c>
      <c r="C224" s="5">
        <v>55</v>
      </c>
      <c r="D224" s="5">
        <f t="shared" si="12"/>
        <v>392.00377257605692</v>
      </c>
      <c r="E224" s="5">
        <f t="shared" si="14"/>
        <v>1</v>
      </c>
      <c r="F224" s="4">
        <v>85</v>
      </c>
      <c r="G224" s="4" t="s">
        <v>274</v>
      </c>
      <c r="H224">
        <v>59</v>
      </c>
      <c r="I224" s="5">
        <f t="shared" si="13"/>
        <v>493.89549345236594</v>
      </c>
      <c r="J224" s="5">
        <f t="shared" si="15"/>
        <v>9</v>
      </c>
    </row>
    <row r="225" spans="1:10" x14ac:dyDescent="0.2">
      <c r="A225">
        <v>86.75</v>
      </c>
      <c r="B225" t="s">
        <v>220</v>
      </c>
      <c r="C225" s="5">
        <v>55</v>
      </c>
      <c r="D225" s="5">
        <f t="shared" si="12"/>
        <v>392.00377257605692</v>
      </c>
      <c r="E225" s="5">
        <f t="shared" si="14"/>
        <v>0</v>
      </c>
      <c r="F225" s="4">
        <v>85.5</v>
      </c>
      <c r="G225" s="4" t="s">
        <v>53</v>
      </c>
      <c r="H225">
        <v>55</v>
      </c>
      <c r="I225" s="5">
        <f t="shared" si="13"/>
        <v>392.00377257605692</v>
      </c>
      <c r="J225" s="5">
        <f t="shared" si="15"/>
        <v>4</v>
      </c>
    </row>
    <row r="226" spans="1:10" x14ac:dyDescent="0.2">
      <c r="A226">
        <v>87</v>
      </c>
      <c r="B226" t="s">
        <v>220</v>
      </c>
      <c r="C226" s="5">
        <v>55</v>
      </c>
      <c r="D226" s="5">
        <f t="shared" si="12"/>
        <v>392.00377257605692</v>
      </c>
      <c r="E226" s="5">
        <f t="shared" si="14"/>
        <v>0</v>
      </c>
      <c r="F226" s="4">
        <v>86</v>
      </c>
      <c r="G226" s="4" t="s">
        <v>271</v>
      </c>
      <c r="H226">
        <v>45</v>
      </c>
      <c r="I226" s="5">
        <f t="shared" si="13"/>
        <v>220.00279814001337</v>
      </c>
      <c r="J226" s="5">
        <f t="shared" si="15"/>
        <v>10</v>
      </c>
    </row>
    <row r="227" spans="1:10" x14ac:dyDescent="0.2">
      <c r="A227">
        <v>87.5</v>
      </c>
      <c r="B227" t="s">
        <v>220</v>
      </c>
      <c r="C227" s="5">
        <v>55</v>
      </c>
      <c r="D227" s="5">
        <f t="shared" si="12"/>
        <v>392.00377257605692</v>
      </c>
      <c r="E227" s="5">
        <f t="shared" si="14"/>
        <v>0</v>
      </c>
      <c r="F227" s="4">
        <v>86.25</v>
      </c>
      <c r="G227" s="4" t="s">
        <v>270</v>
      </c>
      <c r="H227">
        <v>46</v>
      </c>
      <c r="I227" s="5">
        <f t="shared" si="13"/>
        <v>233.08504452861115</v>
      </c>
      <c r="J227" s="5">
        <f t="shared" si="15"/>
        <v>1</v>
      </c>
    </row>
    <row r="228" spans="1:10" x14ac:dyDescent="0.2">
      <c r="A228">
        <v>88</v>
      </c>
      <c r="B228" t="s">
        <v>218</v>
      </c>
      <c r="C228" s="5">
        <v>53</v>
      </c>
      <c r="D228" s="5">
        <f t="shared" si="12"/>
        <v>349.23506143398839</v>
      </c>
      <c r="E228" s="5">
        <f t="shared" si="14"/>
        <v>2</v>
      </c>
      <c r="F228" s="4">
        <v>86.5</v>
      </c>
      <c r="G228" s="4" t="s">
        <v>272</v>
      </c>
      <c r="H228">
        <v>47</v>
      </c>
      <c r="I228" s="5">
        <f t="shared" si="13"/>
        <v>246.94521361646048</v>
      </c>
      <c r="J228" s="5">
        <f t="shared" si="15"/>
        <v>1</v>
      </c>
    </row>
    <row r="229" spans="1:10" x14ac:dyDescent="0.2">
      <c r="A229">
        <v>88.25</v>
      </c>
      <c r="B229" t="s">
        <v>426</v>
      </c>
      <c r="C229" s="5">
        <v>54</v>
      </c>
      <c r="D229" s="5">
        <f t="shared" si="12"/>
        <v>370.00197512709912</v>
      </c>
      <c r="E229" s="5">
        <f t="shared" si="14"/>
        <v>1</v>
      </c>
      <c r="F229" s="4">
        <v>86.75</v>
      </c>
      <c r="G229" s="4" t="s">
        <v>273</v>
      </c>
      <c r="H229">
        <v>50</v>
      </c>
      <c r="I229" s="5">
        <f t="shared" si="13"/>
        <v>293.66975814369101</v>
      </c>
      <c r="J229" s="5">
        <f t="shared" si="15"/>
        <v>3</v>
      </c>
    </row>
    <row r="230" spans="1:10" x14ac:dyDescent="0.2">
      <c r="A230">
        <v>88.5</v>
      </c>
      <c r="B230" t="s">
        <v>219</v>
      </c>
      <c r="C230" s="5">
        <v>55</v>
      </c>
      <c r="D230" s="5">
        <f t="shared" si="12"/>
        <v>392.00377257605692</v>
      </c>
      <c r="E230" s="5">
        <f t="shared" si="14"/>
        <v>1</v>
      </c>
      <c r="F230" s="4">
        <v>87</v>
      </c>
      <c r="G230" s="4" t="s">
        <v>274</v>
      </c>
      <c r="H230">
        <v>59</v>
      </c>
      <c r="I230" s="5">
        <f t="shared" si="13"/>
        <v>493.89549345236594</v>
      </c>
      <c r="J230" s="5">
        <f t="shared" si="15"/>
        <v>9</v>
      </c>
    </row>
    <row r="231" spans="1:10" x14ac:dyDescent="0.2">
      <c r="A231">
        <v>88.75</v>
      </c>
      <c r="B231" t="s">
        <v>219</v>
      </c>
      <c r="C231" s="5">
        <v>55</v>
      </c>
      <c r="D231" s="5">
        <f t="shared" si="12"/>
        <v>392.00377257605692</v>
      </c>
      <c r="E231" s="5">
        <f t="shared" si="14"/>
        <v>0</v>
      </c>
      <c r="F231" s="4">
        <v>87.5</v>
      </c>
      <c r="G231" s="4" t="s">
        <v>53</v>
      </c>
      <c r="H231">
        <v>55</v>
      </c>
      <c r="I231" s="5">
        <f t="shared" si="13"/>
        <v>392.00377257605692</v>
      </c>
      <c r="J231" s="5">
        <f t="shared" si="15"/>
        <v>4</v>
      </c>
    </row>
    <row r="232" spans="1:10" x14ac:dyDescent="0.2">
      <c r="A232">
        <v>89</v>
      </c>
      <c r="B232" t="s">
        <v>219</v>
      </c>
      <c r="C232" s="5">
        <v>55</v>
      </c>
      <c r="D232" s="5">
        <f t="shared" si="12"/>
        <v>392.00377257605692</v>
      </c>
      <c r="E232" s="5">
        <f t="shared" si="14"/>
        <v>0</v>
      </c>
      <c r="F232" s="4">
        <v>88</v>
      </c>
      <c r="G232" s="4" t="s">
        <v>271</v>
      </c>
      <c r="H232">
        <v>45</v>
      </c>
      <c r="I232" s="5">
        <f t="shared" si="13"/>
        <v>220.00279814001337</v>
      </c>
      <c r="J232" s="5">
        <f t="shared" si="15"/>
        <v>10</v>
      </c>
    </row>
    <row r="233" spans="1:10" x14ac:dyDescent="0.2">
      <c r="A233">
        <v>89.5</v>
      </c>
      <c r="B233" t="s">
        <v>219</v>
      </c>
      <c r="C233" s="5">
        <v>55</v>
      </c>
      <c r="D233" s="5">
        <f t="shared" si="12"/>
        <v>392.00377257605692</v>
      </c>
      <c r="E233" s="5">
        <f t="shared" si="14"/>
        <v>0</v>
      </c>
      <c r="F233" s="4">
        <v>88.25</v>
      </c>
      <c r="G233" s="4" t="s">
        <v>270</v>
      </c>
      <c r="H233">
        <v>46</v>
      </c>
      <c r="I233" s="5">
        <f t="shared" si="13"/>
        <v>233.08504452861115</v>
      </c>
      <c r="J233" s="5">
        <f t="shared" si="15"/>
        <v>1</v>
      </c>
    </row>
    <row r="234" spans="1:10" x14ac:dyDescent="0.2">
      <c r="A234">
        <v>90</v>
      </c>
      <c r="B234" t="s">
        <v>218</v>
      </c>
      <c r="C234" s="5">
        <v>53</v>
      </c>
      <c r="D234" s="5">
        <f t="shared" si="12"/>
        <v>349.23506143398839</v>
      </c>
      <c r="E234" s="5">
        <f t="shared" si="14"/>
        <v>2</v>
      </c>
      <c r="F234" s="4">
        <v>88.5</v>
      </c>
      <c r="G234" s="4" t="s">
        <v>272</v>
      </c>
      <c r="H234">
        <v>47</v>
      </c>
      <c r="I234" s="5">
        <f t="shared" si="13"/>
        <v>246.94521361646048</v>
      </c>
      <c r="J234" s="5">
        <f t="shared" si="15"/>
        <v>1</v>
      </c>
    </row>
    <row r="235" spans="1:10" x14ac:dyDescent="0.2">
      <c r="A235">
        <v>90.25</v>
      </c>
      <c r="B235" t="s">
        <v>425</v>
      </c>
      <c r="C235" s="5">
        <v>54</v>
      </c>
      <c r="D235" s="5">
        <f t="shared" si="12"/>
        <v>370.00197512709912</v>
      </c>
      <c r="E235" s="5">
        <f t="shared" si="14"/>
        <v>1</v>
      </c>
      <c r="F235" s="4">
        <v>88.75</v>
      </c>
      <c r="G235" s="4" t="s">
        <v>273</v>
      </c>
      <c r="H235">
        <v>50</v>
      </c>
      <c r="I235" s="5">
        <f t="shared" si="13"/>
        <v>293.66975814369101</v>
      </c>
      <c r="J235" s="5">
        <f t="shared" si="15"/>
        <v>3</v>
      </c>
    </row>
    <row r="236" spans="1:10" x14ac:dyDescent="0.2">
      <c r="A236">
        <v>90.5</v>
      </c>
      <c r="B236" t="s">
        <v>220</v>
      </c>
      <c r="C236" s="5">
        <v>55</v>
      </c>
      <c r="D236" s="5">
        <f t="shared" si="12"/>
        <v>392.00377257605692</v>
      </c>
      <c r="E236" s="5">
        <f t="shared" si="14"/>
        <v>1</v>
      </c>
      <c r="F236" s="4">
        <v>89</v>
      </c>
      <c r="G236" s="4" t="s">
        <v>274</v>
      </c>
      <c r="H236">
        <v>59</v>
      </c>
      <c r="I236" s="5">
        <f t="shared" si="13"/>
        <v>493.89549345236594</v>
      </c>
      <c r="J236" s="5">
        <f t="shared" si="15"/>
        <v>9</v>
      </c>
    </row>
    <row r="237" spans="1:10" x14ac:dyDescent="0.2">
      <c r="A237">
        <v>90.75</v>
      </c>
      <c r="B237" t="s">
        <v>220</v>
      </c>
      <c r="C237" s="5">
        <v>55</v>
      </c>
      <c r="D237" s="5">
        <f t="shared" si="12"/>
        <v>392.00377257605692</v>
      </c>
      <c r="E237" s="5">
        <f t="shared" si="14"/>
        <v>0</v>
      </c>
      <c r="F237" s="4">
        <v>89.5</v>
      </c>
      <c r="G237" s="4" t="s">
        <v>53</v>
      </c>
      <c r="H237">
        <v>55</v>
      </c>
      <c r="I237" s="5">
        <f t="shared" si="13"/>
        <v>392.00377257605692</v>
      </c>
      <c r="J237" s="5">
        <f t="shared" si="15"/>
        <v>4</v>
      </c>
    </row>
    <row r="238" spans="1:10" x14ac:dyDescent="0.2">
      <c r="A238">
        <v>91</v>
      </c>
      <c r="B238" t="s">
        <v>220</v>
      </c>
      <c r="C238" s="5">
        <v>55</v>
      </c>
      <c r="D238" s="5">
        <f t="shared" si="12"/>
        <v>392.00377257605692</v>
      </c>
      <c r="E238" s="5">
        <f t="shared" si="14"/>
        <v>0</v>
      </c>
      <c r="F238" s="4">
        <v>90</v>
      </c>
      <c r="G238" s="5" t="s">
        <v>271</v>
      </c>
      <c r="H238">
        <v>45</v>
      </c>
      <c r="I238" s="5">
        <f t="shared" si="13"/>
        <v>220.00279814001337</v>
      </c>
      <c r="J238" s="5">
        <f t="shared" si="15"/>
        <v>10</v>
      </c>
    </row>
    <row r="239" spans="1:10" x14ac:dyDescent="0.2">
      <c r="A239">
        <v>91.5</v>
      </c>
      <c r="B239" t="s">
        <v>220</v>
      </c>
      <c r="C239" s="5">
        <v>55</v>
      </c>
      <c r="D239" s="5">
        <f t="shared" si="12"/>
        <v>392.00377257605692</v>
      </c>
      <c r="E239" s="5">
        <f t="shared" si="14"/>
        <v>0</v>
      </c>
      <c r="F239" s="4">
        <v>90.25</v>
      </c>
      <c r="G239" s="5" t="s">
        <v>270</v>
      </c>
      <c r="H239">
        <v>46</v>
      </c>
      <c r="I239" s="5">
        <f t="shared" si="13"/>
        <v>233.08504452861115</v>
      </c>
      <c r="J239" s="5">
        <f t="shared" si="15"/>
        <v>1</v>
      </c>
    </row>
    <row r="240" spans="1:10" x14ac:dyDescent="0.2">
      <c r="A240">
        <v>92</v>
      </c>
      <c r="B240" t="s">
        <v>281</v>
      </c>
      <c r="C240" s="5">
        <v>50</v>
      </c>
      <c r="D240" s="5">
        <f t="shared" si="12"/>
        <v>293.66975814369101</v>
      </c>
      <c r="E240" s="5">
        <f t="shared" si="14"/>
        <v>5</v>
      </c>
      <c r="F240" s="4">
        <v>90.5</v>
      </c>
      <c r="G240" s="5" t="s">
        <v>272</v>
      </c>
      <c r="H240">
        <v>47</v>
      </c>
      <c r="I240" s="5">
        <f t="shared" si="13"/>
        <v>246.94521361646048</v>
      </c>
      <c r="J240" s="5">
        <f t="shared" si="15"/>
        <v>1</v>
      </c>
    </row>
    <row r="241" spans="1:10" x14ac:dyDescent="0.2">
      <c r="A241">
        <v>92.25</v>
      </c>
      <c r="B241" t="s">
        <v>427</v>
      </c>
      <c r="C241" s="5">
        <v>52</v>
      </c>
      <c r="D241" s="5">
        <f t="shared" si="12"/>
        <v>329.63372180082422</v>
      </c>
      <c r="E241" s="5">
        <f t="shared" si="14"/>
        <v>2</v>
      </c>
      <c r="F241" s="4">
        <v>90.75</v>
      </c>
      <c r="G241" s="5" t="s">
        <v>273</v>
      </c>
      <c r="H241">
        <v>50</v>
      </c>
      <c r="I241" s="5">
        <f t="shared" si="13"/>
        <v>293.66975814369101</v>
      </c>
      <c r="J241" s="5">
        <f t="shared" si="15"/>
        <v>3</v>
      </c>
    </row>
    <row r="242" spans="1:10" x14ac:dyDescent="0.2">
      <c r="A242">
        <v>92.5</v>
      </c>
      <c r="B242" t="s">
        <v>218</v>
      </c>
      <c r="C242" s="5">
        <v>53</v>
      </c>
      <c r="D242" s="5">
        <f t="shared" si="12"/>
        <v>349.23506143398839</v>
      </c>
      <c r="E242" s="5">
        <f t="shared" si="14"/>
        <v>1</v>
      </c>
      <c r="F242" s="4">
        <v>91</v>
      </c>
      <c r="G242" s="5" t="s">
        <v>274</v>
      </c>
      <c r="H242">
        <v>59</v>
      </c>
      <c r="I242" s="5">
        <f t="shared" si="13"/>
        <v>493.89549345236594</v>
      </c>
      <c r="J242" s="5">
        <f t="shared" si="15"/>
        <v>9</v>
      </c>
    </row>
    <row r="243" spans="1:10" x14ac:dyDescent="0.2">
      <c r="A243">
        <v>92.75</v>
      </c>
      <c r="B243" t="s">
        <v>219</v>
      </c>
      <c r="C243" s="5">
        <v>55</v>
      </c>
      <c r="D243" s="5">
        <f t="shared" si="12"/>
        <v>392.00377257605692</v>
      </c>
      <c r="E243" s="5">
        <f t="shared" si="14"/>
        <v>2</v>
      </c>
      <c r="F243" s="4">
        <v>91.5</v>
      </c>
      <c r="G243" t="s">
        <v>53</v>
      </c>
      <c r="H243">
        <v>55</v>
      </c>
      <c r="I243" s="5">
        <f t="shared" si="13"/>
        <v>392.00377257605692</v>
      </c>
      <c r="J243" s="5">
        <f t="shared" si="15"/>
        <v>4</v>
      </c>
    </row>
    <row r="244" spans="1:10" x14ac:dyDescent="0.2">
      <c r="A244">
        <v>93</v>
      </c>
      <c r="B244" t="s">
        <v>428</v>
      </c>
      <c r="C244" s="5">
        <v>50</v>
      </c>
      <c r="D244" s="5">
        <f t="shared" si="12"/>
        <v>293.66975814369101</v>
      </c>
      <c r="E244" s="5">
        <f t="shared" si="14"/>
        <v>5</v>
      </c>
      <c r="F244" s="4">
        <v>92</v>
      </c>
      <c r="G244" s="5" t="s">
        <v>55</v>
      </c>
      <c r="H244">
        <v>40</v>
      </c>
      <c r="I244" s="5">
        <f t="shared" si="13"/>
        <v>164.8151702626221</v>
      </c>
      <c r="J244" s="5">
        <f t="shared" si="15"/>
        <v>15</v>
      </c>
    </row>
    <row r="245" spans="1:10" x14ac:dyDescent="0.2">
      <c r="A245">
        <v>93.25</v>
      </c>
      <c r="B245" t="s">
        <v>218</v>
      </c>
      <c r="C245" s="5">
        <v>53</v>
      </c>
      <c r="D245" s="5">
        <f t="shared" si="12"/>
        <v>349.23506143398839</v>
      </c>
      <c r="E245" s="5">
        <f t="shared" si="14"/>
        <v>3</v>
      </c>
      <c r="F245" s="4">
        <v>92.25</v>
      </c>
      <c r="G245" t="s">
        <v>56</v>
      </c>
      <c r="H245">
        <v>41</v>
      </c>
      <c r="I245" s="5">
        <f t="shared" si="13"/>
        <v>174.61573954711864</v>
      </c>
      <c r="J245" s="5">
        <f t="shared" si="15"/>
        <v>1</v>
      </c>
    </row>
    <row r="246" spans="1:10" x14ac:dyDescent="0.2">
      <c r="A246">
        <v>93.5</v>
      </c>
      <c r="B246" t="s">
        <v>220</v>
      </c>
      <c r="C246" s="5">
        <v>55</v>
      </c>
      <c r="D246" s="5">
        <f t="shared" si="12"/>
        <v>392.00377257605692</v>
      </c>
      <c r="E246" s="5">
        <f t="shared" si="14"/>
        <v>2</v>
      </c>
      <c r="F246" s="4">
        <v>92.5</v>
      </c>
      <c r="G246" s="5" t="s">
        <v>57</v>
      </c>
      <c r="H246">
        <v>43</v>
      </c>
      <c r="I246" s="5">
        <f t="shared" si="13"/>
        <v>195.99987576438383</v>
      </c>
      <c r="J246" s="5">
        <f t="shared" si="15"/>
        <v>2</v>
      </c>
    </row>
    <row r="247" spans="1:10" x14ac:dyDescent="0.2">
      <c r="A247">
        <v>93.75</v>
      </c>
      <c r="B247" t="s">
        <v>219</v>
      </c>
      <c r="C247" s="5">
        <v>55</v>
      </c>
      <c r="D247" s="5">
        <f t="shared" si="12"/>
        <v>392.00377257605692</v>
      </c>
      <c r="E247" s="5">
        <f t="shared" si="14"/>
        <v>0</v>
      </c>
      <c r="F247" s="4">
        <v>92.75</v>
      </c>
      <c r="G247" s="5" t="s">
        <v>273</v>
      </c>
      <c r="H247">
        <v>50</v>
      </c>
      <c r="I247" s="5">
        <f t="shared" si="13"/>
        <v>293.66975814369101</v>
      </c>
      <c r="J247" s="5">
        <f t="shared" si="15"/>
        <v>7</v>
      </c>
    </row>
    <row r="248" spans="1:10" x14ac:dyDescent="0.2">
      <c r="A248">
        <v>94</v>
      </c>
      <c r="B248" t="s">
        <v>429</v>
      </c>
      <c r="C248" s="5">
        <v>50</v>
      </c>
      <c r="D248" s="5">
        <f t="shared" si="12"/>
        <v>293.66975814369101</v>
      </c>
      <c r="E248" s="5">
        <f t="shared" si="14"/>
        <v>5</v>
      </c>
      <c r="F248" s="4">
        <v>93</v>
      </c>
      <c r="G248" s="5" t="s">
        <v>58</v>
      </c>
      <c r="H248">
        <v>40</v>
      </c>
      <c r="I248" s="5">
        <f t="shared" si="13"/>
        <v>164.8151702626221</v>
      </c>
      <c r="J248" s="5">
        <f t="shared" si="15"/>
        <v>10</v>
      </c>
    </row>
    <row r="249" spans="1:10" x14ac:dyDescent="0.2">
      <c r="A249">
        <v>94.25</v>
      </c>
      <c r="B249" t="s">
        <v>219</v>
      </c>
      <c r="C249" s="5">
        <v>55</v>
      </c>
      <c r="D249" s="5">
        <f t="shared" si="12"/>
        <v>392.00377257605692</v>
      </c>
      <c r="E249" s="5">
        <f t="shared" si="14"/>
        <v>5</v>
      </c>
      <c r="F249" s="4">
        <v>93.25</v>
      </c>
      <c r="G249" s="5" t="s">
        <v>57</v>
      </c>
      <c r="H249">
        <v>43</v>
      </c>
      <c r="I249" s="5">
        <f t="shared" si="13"/>
        <v>195.99987576438383</v>
      </c>
      <c r="J249" s="5">
        <f t="shared" si="15"/>
        <v>3</v>
      </c>
    </row>
    <row r="250" spans="1:10" x14ac:dyDescent="0.2">
      <c r="A250">
        <v>94.5</v>
      </c>
      <c r="B250" t="s">
        <v>289</v>
      </c>
      <c r="C250" s="5">
        <v>57</v>
      </c>
      <c r="D250" s="5">
        <f t="shared" si="12"/>
        <v>440.01010976071973</v>
      </c>
      <c r="E250" s="5">
        <f t="shared" si="14"/>
        <v>2</v>
      </c>
      <c r="F250" s="4">
        <v>93.5</v>
      </c>
      <c r="G250" s="5" t="s">
        <v>54</v>
      </c>
      <c r="H250">
        <v>45</v>
      </c>
      <c r="I250" s="5">
        <f t="shared" si="13"/>
        <v>220.00279814001337</v>
      </c>
      <c r="J250" s="5">
        <f t="shared" si="15"/>
        <v>2</v>
      </c>
    </row>
    <row r="251" spans="1:10" x14ac:dyDescent="0.2">
      <c r="A251">
        <v>94.75</v>
      </c>
      <c r="B251" t="s">
        <v>219</v>
      </c>
      <c r="C251" s="5">
        <v>55</v>
      </c>
      <c r="D251" s="5">
        <f t="shared" si="12"/>
        <v>392.00377257605692</v>
      </c>
      <c r="E251" s="5">
        <f t="shared" si="14"/>
        <v>2</v>
      </c>
      <c r="F251" s="4">
        <v>93.75</v>
      </c>
      <c r="G251" s="5" t="s">
        <v>273</v>
      </c>
      <c r="H251">
        <v>50</v>
      </c>
      <c r="I251" s="5">
        <f t="shared" si="13"/>
        <v>293.66975814369101</v>
      </c>
      <c r="J251" s="5">
        <f t="shared" si="15"/>
        <v>5</v>
      </c>
    </row>
    <row r="252" spans="1:10" x14ac:dyDescent="0.2">
      <c r="A252">
        <v>95</v>
      </c>
      <c r="B252" t="s">
        <v>281</v>
      </c>
      <c r="C252" s="5">
        <v>50</v>
      </c>
      <c r="D252" s="5">
        <f t="shared" si="12"/>
        <v>293.66975814369101</v>
      </c>
      <c r="E252" s="5">
        <f t="shared" si="14"/>
        <v>5</v>
      </c>
      <c r="F252" s="4">
        <v>94</v>
      </c>
      <c r="G252" s="5" t="s">
        <v>59</v>
      </c>
      <c r="H252">
        <v>40</v>
      </c>
      <c r="I252" s="5">
        <f t="shared" si="13"/>
        <v>164.8151702626221</v>
      </c>
      <c r="J252" s="5">
        <f t="shared" si="15"/>
        <v>10</v>
      </c>
    </row>
    <row r="253" spans="1:10" x14ac:dyDescent="0.2">
      <c r="A253">
        <v>95.25</v>
      </c>
      <c r="B253" t="s">
        <v>282</v>
      </c>
      <c r="C253" s="5">
        <v>57</v>
      </c>
      <c r="D253" s="5">
        <f t="shared" si="12"/>
        <v>440.01010976071973</v>
      </c>
      <c r="E253" s="5">
        <f t="shared" si="14"/>
        <v>7</v>
      </c>
      <c r="F253" s="4">
        <v>94.25</v>
      </c>
      <c r="G253" t="s">
        <v>54</v>
      </c>
      <c r="H253">
        <v>45</v>
      </c>
      <c r="I253" s="5">
        <f t="shared" si="13"/>
        <v>220.00279814001337</v>
      </c>
      <c r="J253" s="5">
        <f t="shared" si="15"/>
        <v>5</v>
      </c>
    </row>
    <row r="254" spans="1:10" x14ac:dyDescent="0.2">
      <c r="A254">
        <v>95.5</v>
      </c>
      <c r="B254" t="s">
        <v>283</v>
      </c>
      <c r="C254" s="5">
        <v>59</v>
      </c>
      <c r="D254" s="5">
        <f t="shared" si="12"/>
        <v>493.89549345236594</v>
      </c>
      <c r="E254" s="5">
        <f t="shared" si="14"/>
        <v>2</v>
      </c>
      <c r="F254" s="4">
        <v>94.5</v>
      </c>
      <c r="G254" s="5" t="s">
        <v>272</v>
      </c>
      <c r="H254">
        <v>47</v>
      </c>
      <c r="I254" s="5">
        <f t="shared" si="13"/>
        <v>246.94521361646048</v>
      </c>
      <c r="J254" s="5">
        <f t="shared" si="15"/>
        <v>2</v>
      </c>
    </row>
    <row r="255" spans="1:10" x14ac:dyDescent="0.2">
      <c r="A255">
        <v>95.75</v>
      </c>
      <c r="B255" t="s">
        <v>374</v>
      </c>
      <c r="C255" s="5">
        <v>55</v>
      </c>
      <c r="D255" s="5">
        <f t="shared" si="12"/>
        <v>392.00377257605692</v>
      </c>
      <c r="E255" s="5">
        <f t="shared" si="14"/>
        <v>4</v>
      </c>
      <c r="F255" s="4">
        <v>94.75</v>
      </c>
      <c r="G255" s="5" t="s">
        <v>273</v>
      </c>
      <c r="H255">
        <v>50</v>
      </c>
      <c r="I255" s="5">
        <f t="shared" si="13"/>
        <v>293.66975814369101</v>
      </c>
      <c r="J255" s="5">
        <f t="shared" si="15"/>
        <v>3</v>
      </c>
    </row>
    <row r="256" spans="1:10" x14ac:dyDescent="0.2">
      <c r="A256">
        <v>96</v>
      </c>
      <c r="B256" t="s">
        <v>287</v>
      </c>
      <c r="C256" s="5">
        <v>62</v>
      </c>
      <c r="D256" s="5">
        <f t="shared" si="12"/>
        <v>587.34554108704231</v>
      </c>
      <c r="E256" s="5">
        <f t="shared" si="14"/>
        <v>7</v>
      </c>
      <c r="F256" s="4">
        <v>95</v>
      </c>
      <c r="G256" s="5" t="s">
        <v>59</v>
      </c>
      <c r="H256">
        <v>40</v>
      </c>
      <c r="I256" s="5">
        <f t="shared" si="13"/>
        <v>164.8151702626221</v>
      </c>
      <c r="J256" s="5">
        <f t="shared" si="15"/>
        <v>10</v>
      </c>
    </row>
    <row r="257" spans="1:10" x14ac:dyDescent="0.2">
      <c r="A257">
        <v>96.5</v>
      </c>
      <c r="B257" t="s">
        <v>430</v>
      </c>
      <c r="C257" s="5">
        <v>67</v>
      </c>
      <c r="D257" s="5">
        <f t="shared" si="12"/>
        <v>784.01558732918636</v>
      </c>
      <c r="E257" s="5">
        <f t="shared" si="14"/>
        <v>5</v>
      </c>
      <c r="F257" s="4">
        <v>95.25</v>
      </c>
      <c r="G257" s="5" t="s">
        <v>57</v>
      </c>
      <c r="H257">
        <v>43</v>
      </c>
      <c r="I257" s="5">
        <f t="shared" si="13"/>
        <v>195.99987576438383</v>
      </c>
      <c r="J257" s="5">
        <f t="shared" si="15"/>
        <v>3</v>
      </c>
    </row>
    <row r="258" spans="1:10" x14ac:dyDescent="0.2">
      <c r="A258">
        <v>97</v>
      </c>
      <c r="B258" t="s">
        <v>287</v>
      </c>
      <c r="C258" s="5">
        <v>62</v>
      </c>
      <c r="D258" s="5">
        <f t="shared" si="12"/>
        <v>587.34554108704231</v>
      </c>
      <c r="E258" s="5">
        <f t="shared" si="14"/>
        <v>5</v>
      </c>
      <c r="F258" s="4">
        <v>95.5</v>
      </c>
      <c r="G258" s="5" t="s">
        <v>272</v>
      </c>
      <c r="H258">
        <v>47</v>
      </c>
      <c r="I258" s="5">
        <f t="shared" si="13"/>
        <v>246.94521361646048</v>
      </c>
      <c r="J258" s="5">
        <f t="shared" si="15"/>
        <v>4</v>
      </c>
    </row>
    <row r="259" spans="1:10" x14ac:dyDescent="0.2">
      <c r="A259">
        <v>97.5</v>
      </c>
      <c r="B259" t="s">
        <v>430</v>
      </c>
      <c r="C259" s="5">
        <v>67</v>
      </c>
      <c r="D259" s="5">
        <f t="shared" si="12"/>
        <v>784.01558732918636</v>
      </c>
      <c r="E259" s="5">
        <f t="shared" si="14"/>
        <v>5</v>
      </c>
      <c r="F259" s="4">
        <v>95.75</v>
      </c>
      <c r="G259" s="5" t="s">
        <v>273</v>
      </c>
      <c r="H259">
        <v>50</v>
      </c>
      <c r="I259" s="5">
        <f t="shared" si="13"/>
        <v>293.66975814369101</v>
      </c>
      <c r="J259" s="5">
        <f t="shared" si="15"/>
        <v>3</v>
      </c>
    </row>
    <row r="260" spans="1:10" x14ac:dyDescent="0.2">
      <c r="A260">
        <v>98</v>
      </c>
      <c r="B260" t="s">
        <v>287</v>
      </c>
      <c r="C260" s="5">
        <v>62</v>
      </c>
      <c r="D260" s="5">
        <f t="shared" ref="D260:D323" si="16">16.35117682*1.059464^C260</f>
        <v>587.34554108704231</v>
      </c>
      <c r="E260" s="5">
        <f t="shared" si="14"/>
        <v>5</v>
      </c>
      <c r="F260" s="4">
        <v>96</v>
      </c>
      <c r="G260" s="5" t="s">
        <v>59</v>
      </c>
      <c r="H260">
        <v>40</v>
      </c>
      <c r="I260" s="5">
        <f t="shared" ref="I260:I323" si="17">16.35117682*1.059464^H260</f>
        <v>164.8151702626221</v>
      </c>
      <c r="J260" s="5">
        <f t="shared" si="15"/>
        <v>10</v>
      </c>
    </row>
    <row r="261" spans="1:10" x14ac:dyDescent="0.2">
      <c r="A261">
        <v>98.5</v>
      </c>
      <c r="B261" t="s">
        <v>430</v>
      </c>
      <c r="C261" s="5">
        <v>67</v>
      </c>
      <c r="D261" s="5">
        <f t="shared" si="16"/>
        <v>784.01558732918636</v>
      </c>
      <c r="E261" s="5">
        <f t="shared" ref="E261:E324" si="18">ABS( C261-C260)</f>
        <v>5</v>
      </c>
      <c r="F261" s="4">
        <v>96.25</v>
      </c>
      <c r="G261" t="s">
        <v>56</v>
      </c>
      <c r="H261">
        <v>41</v>
      </c>
      <c r="I261" s="5">
        <f t="shared" si="17"/>
        <v>174.61573954711864</v>
      </c>
      <c r="J261" s="5">
        <f t="shared" ref="J261:J324" si="19">ABS( H261-H260)</f>
        <v>1</v>
      </c>
    </row>
    <row r="262" spans="1:10" x14ac:dyDescent="0.2">
      <c r="A262">
        <v>99</v>
      </c>
      <c r="B262" t="s">
        <v>287</v>
      </c>
      <c r="C262" s="5">
        <v>62</v>
      </c>
      <c r="D262" s="5">
        <f t="shared" si="16"/>
        <v>587.34554108704231</v>
      </c>
      <c r="E262" s="5">
        <f t="shared" si="18"/>
        <v>5</v>
      </c>
      <c r="F262" s="4">
        <v>96.5</v>
      </c>
      <c r="G262" s="5" t="s">
        <v>57</v>
      </c>
      <c r="H262">
        <v>43</v>
      </c>
      <c r="I262" s="5">
        <f t="shared" si="17"/>
        <v>195.99987576438383</v>
      </c>
      <c r="J262" s="5">
        <f t="shared" si="19"/>
        <v>2</v>
      </c>
    </row>
    <row r="263" spans="1:10" x14ac:dyDescent="0.2">
      <c r="A263">
        <v>99.5</v>
      </c>
      <c r="B263" t="s">
        <v>219</v>
      </c>
      <c r="C263" s="5">
        <v>55</v>
      </c>
      <c r="D263" s="5">
        <f t="shared" si="16"/>
        <v>392.00377257605692</v>
      </c>
      <c r="E263" s="5">
        <f t="shared" si="18"/>
        <v>7</v>
      </c>
      <c r="F263" s="4">
        <v>96.75</v>
      </c>
      <c r="G263" s="5" t="s">
        <v>273</v>
      </c>
      <c r="H263">
        <v>50</v>
      </c>
      <c r="I263" s="5">
        <f t="shared" si="17"/>
        <v>293.66975814369101</v>
      </c>
      <c r="J263" s="5">
        <f t="shared" si="19"/>
        <v>7</v>
      </c>
    </row>
    <row r="264" spans="1:10" x14ac:dyDescent="0.2">
      <c r="A264">
        <v>100</v>
      </c>
      <c r="B264" t="s">
        <v>281</v>
      </c>
      <c r="C264" s="5">
        <v>50</v>
      </c>
      <c r="D264" s="5">
        <f t="shared" si="16"/>
        <v>293.66975814369101</v>
      </c>
      <c r="E264" s="5">
        <f t="shared" si="18"/>
        <v>5</v>
      </c>
      <c r="F264" s="4">
        <v>97</v>
      </c>
      <c r="G264" s="5" t="s">
        <v>57</v>
      </c>
      <c r="H264">
        <v>43</v>
      </c>
      <c r="I264" s="5">
        <f t="shared" si="17"/>
        <v>195.99987576438383</v>
      </c>
      <c r="J264" s="5">
        <f t="shared" si="19"/>
        <v>7</v>
      </c>
    </row>
    <row r="265" spans="1:10" x14ac:dyDescent="0.2">
      <c r="A265">
        <v>100.25</v>
      </c>
      <c r="B265" t="s">
        <v>427</v>
      </c>
      <c r="C265" s="5">
        <v>52</v>
      </c>
      <c r="D265" s="5">
        <f t="shared" si="16"/>
        <v>329.63372180082422</v>
      </c>
      <c r="E265" s="5">
        <f t="shared" si="18"/>
        <v>2</v>
      </c>
      <c r="F265" s="4">
        <v>97.5</v>
      </c>
      <c r="G265" s="5" t="s">
        <v>60</v>
      </c>
      <c r="H265">
        <v>55</v>
      </c>
      <c r="I265" s="5">
        <f t="shared" si="17"/>
        <v>392.00377257605692</v>
      </c>
      <c r="J265" s="5">
        <f t="shared" si="19"/>
        <v>12</v>
      </c>
    </row>
    <row r="266" spans="1:10" x14ac:dyDescent="0.2">
      <c r="A266">
        <v>100.5</v>
      </c>
      <c r="B266" t="s">
        <v>218</v>
      </c>
      <c r="C266" s="5">
        <v>53</v>
      </c>
      <c r="D266" s="5">
        <f t="shared" si="16"/>
        <v>349.23506143398839</v>
      </c>
      <c r="E266" s="5">
        <f t="shared" si="18"/>
        <v>1</v>
      </c>
      <c r="F266" s="4">
        <v>98</v>
      </c>
      <c r="G266" s="5" t="s">
        <v>57</v>
      </c>
      <c r="H266">
        <v>43</v>
      </c>
      <c r="I266" s="5">
        <f t="shared" si="17"/>
        <v>195.99987576438383</v>
      </c>
      <c r="J266" s="5">
        <f t="shared" si="19"/>
        <v>12</v>
      </c>
    </row>
    <row r="267" spans="1:10" x14ac:dyDescent="0.2">
      <c r="A267">
        <v>100.75</v>
      </c>
      <c r="B267" t="s">
        <v>219</v>
      </c>
      <c r="C267" s="5">
        <v>55</v>
      </c>
      <c r="D267" s="5">
        <f t="shared" si="16"/>
        <v>392.00377257605692</v>
      </c>
      <c r="E267" s="5">
        <f t="shared" si="18"/>
        <v>2</v>
      </c>
      <c r="F267" s="4">
        <v>98.5</v>
      </c>
      <c r="G267" s="5" t="s">
        <v>273</v>
      </c>
      <c r="H267">
        <v>50</v>
      </c>
      <c r="I267" s="5">
        <f t="shared" si="17"/>
        <v>293.66975814369101</v>
      </c>
      <c r="J267" s="5">
        <f t="shared" si="19"/>
        <v>7</v>
      </c>
    </row>
    <row r="268" spans="1:10" x14ac:dyDescent="0.2">
      <c r="A268">
        <v>101</v>
      </c>
      <c r="B268" t="s">
        <v>428</v>
      </c>
      <c r="C268" s="5">
        <v>50</v>
      </c>
      <c r="D268" s="5">
        <f t="shared" si="16"/>
        <v>293.66975814369101</v>
      </c>
      <c r="E268" s="5">
        <f t="shared" si="18"/>
        <v>5</v>
      </c>
      <c r="F268" s="4">
        <v>99</v>
      </c>
      <c r="G268" s="5" t="s">
        <v>57</v>
      </c>
      <c r="H268">
        <v>43</v>
      </c>
      <c r="I268" s="5">
        <f t="shared" si="17"/>
        <v>195.99987576438383</v>
      </c>
      <c r="J268" s="5">
        <f t="shared" si="19"/>
        <v>7</v>
      </c>
    </row>
    <row r="269" spans="1:10" x14ac:dyDescent="0.2">
      <c r="A269">
        <v>101.25</v>
      </c>
      <c r="B269" t="s">
        <v>218</v>
      </c>
      <c r="C269" s="5">
        <v>53</v>
      </c>
      <c r="D269" s="5">
        <f t="shared" si="16"/>
        <v>349.23506143398839</v>
      </c>
      <c r="E269" s="5">
        <f t="shared" si="18"/>
        <v>3</v>
      </c>
      <c r="F269" s="4">
        <v>99.5</v>
      </c>
      <c r="G269" t="s">
        <v>273</v>
      </c>
      <c r="H269" s="5">
        <v>50</v>
      </c>
      <c r="I269" s="5">
        <f t="shared" si="17"/>
        <v>293.66975814369101</v>
      </c>
      <c r="J269" s="5">
        <f t="shared" si="19"/>
        <v>7</v>
      </c>
    </row>
    <row r="270" spans="1:10" x14ac:dyDescent="0.2">
      <c r="A270">
        <v>101.5</v>
      </c>
      <c r="B270" t="s">
        <v>220</v>
      </c>
      <c r="C270" s="5">
        <v>55</v>
      </c>
      <c r="D270" s="5">
        <f t="shared" si="16"/>
        <v>392.00377257605692</v>
      </c>
      <c r="E270" s="5">
        <f t="shared" si="18"/>
        <v>2</v>
      </c>
      <c r="F270" s="4">
        <v>100</v>
      </c>
      <c r="G270" s="5" t="s">
        <v>55</v>
      </c>
      <c r="H270" s="5">
        <v>40</v>
      </c>
      <c r="I270" s="5">
        <f t="shared" si="17"/>
        <v>164.8151702626221</v>
      </c>
      <c r="J270" s="5">
        <f t="shared" si="19"/>
        <v>10</v>
      </c>
    </row>
    <row r="271" spans="1:10" x14ac:dyDescent="0.2">
      <c r="A271">
        <v>101.75</v>
      </c>
      <c r="B271" t="s">
        <v>219</v>
      </c>
      <c r="C271" s="5">
        <v>55</v>
      </c>
      <c r="D271" s="5">
        <f t="shared" si="16"/>
        <v>392.00377257605692</v>
      </c>
      <c r="E271" s="5">
        <f t="shared" si="18"/>
        <v>0</v>
      </c>
      <c r="F271" s="4">
        <v>100.25</v>
      </c>
      <c r="G271" s="5" t="s">
        <v>56</v>
      </c>
      <c r="H271" s="5">
        <v>41</v>
      </c>
      <c r="I271" s="5">
        <f t="shared" si="17"/>
        <v>174.61573954711864</v>
      </c>
      <c r="J271" s="5">
        <f t="shared" si="19"/>
        <v>1</v>
      </c>
    </row>
    <row r="272" spans="1:10" x14ac:dyDescent="0.2">
      <c r="A272">
        <v>102</v>
      </c>
      <c r="B272" t="s">
        <v>429</v>
      </c>
      <c r="C272" s="5">
        <v>50</v>
      </c>
      <c r="D272" s="5">
        <f t="shared" si="16"/>
        <v>293.66975814369101</v>
      </c>
      <c r="E272" s="5">
        <f t="shared" si="18"/>
        <v>5</v>
      </c>
      <c r="F272" s="4">
        <v>100.5</v>
      </c>
      <c r="G272" s="5" t="s">
        <v>57</v>
      </c>
      <c r="H272" s="5">
        <v>43</v>
      </c>
      <c r="I272" s="5">
        <f t="shared" si="17"/>
        <v>195.99987576438383</v>
      </c>
      <c r="J272" s="5">
        <f t="shared" si="19"/>
        <v>2</v>
      </c>
    </row>
    <row r="273" spans="1:10" x14ac:dyDescent="0.2">
      <c r="A273">
        <v>102.25</v>
      </c>
      <c r="B273" t="s">
        <v>219</v>
      </c>
      <c r="C273" s="5">
        <v>55</v>
      </c>
      <c r="D273" s="5">
        <f t="shared" si="16"/>
        <v>392.00377257605692</v>
      </c>
      <c r="E273" s="5">
        <f t="shared" si="18"/>
        <v>5</v>
      </c>
      <c r="F273" s="4">
        <v>100.75</v>
      </c>
      <c r="G273" s="5" t="s">
        <v>273</v>
      </c>
      <c r="H273" s="5">
        <v>50</v>
      </c>
      <c r="I273" s="5">
        <f t="shared" si="17"/>
        <v>293.66975814369101</v>
      </c>
      <c r="J273" s="5">
        <f t="shared" si="19"/>
        <v>7</v>
      </c>
    </row>
    <row r="274" spans="1:10" x14ac:dyDescent="0.2">
      <c r="A274">
        <v>102.5</v>
      </c>
      <c r="B274" t="s">
        <v>289</v>
      </c>
      <c r="C274" s="5">
        <v>57</v>
      </c>
      <c r="D274" s="5">
        <f t="shared" si="16"/>
        <v>440.01010976071973</v>
      </c>
      <c r="E274" s="5">
        <f t="shared" si="18"/>
        <v>2</v>
      </c>
      <c r="F274" s="4">
        <v>101</v>
      </c>
      <c r="G274" s="5" t="s">
        <v>58</v>
      </c>
      <c r="H274" s="5">
        <v>40</v>
      </c>
      <c r="I274" s="5">
        <f t="shared" si="17"/>
        <v>164.8151702626221</v>
      </c>
      <c r="J274" s="5">
        <f t="shared" si="19"/>
        <v>10</v>
      </c>
    </row>
    <row r="275" spans="1:10" x14ac:dyDescent="0.2">
      <c r="A275">
        <v>102.75</v>
      </c>
      <c r="B275" t="s">
        <v>219</v>
      </c>
      <c r="C275" s="5">
        <v>55</v>
      </c>
      <c r="D275" s="5">
        <f t="shared" si="16"/>
        <v>392.00377257605692</v>
      </c>
      <c r="E275" s="5">
        <f t="shared" si="18"/>
        <v>2</v>
      </c>
      <c r="F275" s="4">
        <v>101.25</v>
      </c>
      <c r="G275" s="5" t="s">
        <v>57</v>
      </c>
      <c r="H275" s="5">
        <v>43</v>
      </c>
      <c r="I275" s="5">
        <f t="shared" si="17"/>
        <v>195.99987576438383</v>
      </c>
      <c r="J275" s="5">
        <f t="shared" si="19"/>
        <v>3</v>
      </c>
    </row>
    <row r="276" spans="1:10" x14ac:dyDescent="0.2">
      <c r="A276">
        <v>103</v>
      </c>
      <c r="B276" t="s">
        <v>281</v>
      </c>
      <c r="C276" s="5">
        <v>50</v>
      </c>
      <c r="D276" s="5">
        <f t="shared" si="16"/>
        <v>293.66975814369101</v>
      </c>
      <c r="E276" s="5">
        <f t="shared" si="18"/>
        <v>5</v>
      </c>
      <c r="F276" s="4">
        <v>101.5</v>
      </c>
      <c r="G276" s="5" t="s">
        <v>54</v>
      </c>
      <c r="H276" s="5">
        <v>45</v>
      </c>
      <c r="I276" s="5">
        <f t="shared" si="17"/>
        <v>220.00279814001337</v>
      </c>
      <c r="J276" s="5">
        <f t="shared" si="19"/>
        <v>2</v>
      </c>
    </row>
    <row r="277" spans="1:10" x14ac:dyDescent="0.2">
      <c r="A277">
        <v>103.25</v>
      </c>
      <c r="B277" t="s">
        <v>282</v>
      </c>
      <c r="C277" s="5">
        <v>57</v>
      </c>
      <c r="D277" s="5">
        <f t="shared" si="16"/>
        <v>440.01010976071973</v>
      </c>
      <c r="E277" s="5">
        <f t="shared" si="18"/>
        <v>7</v>
      </c>
      <c r="F277" s="4">
        <v>101.75</v>
      </c>
      <c r="G277" s="5" t="s">
        <v>273</v>
      </c>
      <c r="H277" s="5">
        <v>50</v>
      </c>
      <c r="I277" s="5">
        <f t="shared" si="17"/>
        <v>293.66975814369101</v>
      </c>
      <c r="J277" s="5">
        <f t="shared" si="19"/>
        <v>5</v>
      </c>
    </row>
    <row r="278" spans="1:10" x14ac:dyDescent="0.2">
      <c r="A278">
        <v>103.5</v>
      </c>
      <c r="B278" t="s">
        <v>283</v>
      </c>
      <c r="C278" s="5">
        <v>59</v>
      </c>
      <c r="D278" s="5">
        <f t="shared" si="16"/>
        <v>493.89549345236594</v>
      </c>
      <c r="E278" s="5">
        <f t="shared" si="18"/>
        <v>2</v>
      </c>
      <c r="F278" s="4">
        <v>102</v>
      </c>
      <c r="G278" s="5" t="s">
        <v>59</v>
      </c>
      <c r="H278" s="5">
        <v>40</v>
      </c>
      <c r="I278" s="5">
        <f t="shared" si="17"/>
        <v>164.8151702626221</v>
      </c>
      <c r="J278" s="5">
        <f t="shared" si="19"/>
        <v>10</v>
      </c>
    </row>
    <row r="279" spans="1:10" x14ac:dyDescent="0.2">
      <c r="A279">
        <v>103.75</v>
      </c>
      <c r="B279" t="s">
        <v>374</v>
      </c>
      <c r="C279" s="5">
        <v>55</v>
      </c>
      <c r="D279" s="5">
        <f t="shared" si="16"/>
        <v>392.00377257605692</v>
      </c>
      <c r="E279" s="5">
        <f t="shared" si="18"/>
        <v>4</v>
      </c>
      <c r="F279" s="4">
        <v>102.25</v>
      </c>
      <c r="G279" s="5" t="s">
        <v>54</v>
      </c>
      <c r="H279" s="5">
        <v>45</v>
      </c>
      <c r="I279" s="5">
        <f t="shared" si="17"/>
        <v>220.00279814001337</v>
      </c>
      <c r="J279" s="5">
        <f t="shared" si="19"/>
        <v>5</v>
      </c>
    </row>
    <row r="280" spans="1:10" x14ac:dyDescent="0.2">
      <c r="A280">
        <v>104</v>
      </c>
      <c r="B280" t="s">
        <v>287</v>
      </c>
      <c r="C280" s="5">
        <v>62</v>
      </c>
      <c r="D280" s="5">
        <f t="shared" si="16"/>
        <v>587.34554108704231</v>
      </c>
      <c r="E280" s="5">
        <f t="shared" si="18"/>
        <v>7</v>
      </c>
      <c r="F280" s="4">
        <v>102.5</v>
      </c>
      <c r="G280" s="5" t="s">
        <v>272</v>
      </c>
      <c r="H280" s="5">
        <v>47</v>
      </c>
      <c r="I280" s="5">
        <f t="shared" si="17"/>
        <v>246.94521361646048</v>
      </c>
      <c r="J280" s="5">
        <f t="shared" si="19"/>
        <v>2</v>
      </c>
    </row>
    <row r="281" spans="1:10" x14ac:dyDescent="0.2">
      <c r="A281">
        <v>104.5</v>
      </c>
      <c r="B281" t="s">
        <v>430</v>
      </c>
      <c r="C281" s="5">
        <v>67</v>
      </c>
      <c r="D281" s="5">
        <f t="shared" si="16"/>
        <v>784.01558732918636</v>
      </c>
      <c r="E281" s="5">
        <f t="shared" si="18"/>
        <v>5</v>
      </c>
      <c r="F281" s="4">
        <v>102.75</v>
      </c>
      <c r="G281" s="5" t="s">
        <v>273</v>
      </c>
      <c r="H281" s="5">
        <v>50</v>
      </c>
      <c r="I281" s="5">
        <f t="shared" si="17"/>
        <v>293.66975814369101</v>
      </c>
      <c r="J281" s="5">
        <f t="shared" si="19"/>
        <v>3</v>
      </c>
    </row>
    <row r="282" spans="1:10" x14ac:dyDescent="0.2">
      <c r="A282">
        <v>105</v>
      </c>
      <c r="B282" t="s">
        <v>287</v>
      </c>
      <c r="C282">
        <v>62</v>
      </c>
      <c r="D282" s="5">
        <f t="shared" si="16"/>
        <v>587.34554108704231</v>
      </c>
      <c r="E282" s="5">
        <f t="shared" si="18"/>
        <v>5</v>
      </c>
      <c r="F282" s="4">
        <v>103</v>
      </c>
      <c r="G282" s="5" t="s">
        <v>59</v>
      </c>
      <c r="H282" s="5">
        <v>40</v>
      </c>
      <c r="I282" s="5">
        <f t="shared" si="17"/>
        <v>164.8151702626221</v>
      </c>
      <c r="J282" s="5">
        <f t="shared" si="19"/>
        <v>10</v>
      </c>
    </row>
    <row r="283" spans="1:10" x14ac:dyDescent="0.2">
      <c r="A283">
        <v>105.5</v>
      </c>
      <c r="B283" t="s">
        <v>430</v>
      </c>
      <c r="C283">
        <v>67</v>
      </c>
      <c r="D283" s="5">
        <f t="shared" si="16"/>
        <v>784.01558732918636</v>
      </c>
      <c r="E283" s="5">
        <f t="shared" si="18"/>
        <v>5</v>
      </c>
      <c r="F283" s="4">
        <v>103.25</v>
      </c>
      <c r="G283" s="5" t="s">
        <v>57</v>
      </c>
      <c r="H283" s="5">
        <v>43</v>
      </c>
      <c r="I283" s="5">
        <f t="shared" si="17"/>
        <v>195.99987576438383</v>
      </c>
      <c r="J283" s="5">
        <f t="shared" si="19"/>
        <v>3</v>
      </c>
    </row>
    <row r="284" spans="1:10" x14ac:dyDescent="0.2">
      <c r="A284">
        <v>106</v>
      </c>
      <c r="B284" t="s">
        <v>287</v>
      </c>
      <c r="C284">
        <v>62</v>
      </c>
      <c r="D284" s="5">
        <f t="shared" si="16"/>
        <v>587.34554108704231</v>
      </c>
      <c r="E284" s="5">
        <f t="shared" si="18"/>
        <v>5</v>
      </c>
      <c r="F284" s="4">
        <v>103.5</v>
      </c>
      <c r="G284" s="5" t="s">
        <v>272</v>
      </c>
      <c r="H284" s="5">
        <v>47</v>
      </c>
      <c r="I284" s="5">
        <f t="shared" si="17"/>
        <v>246.94521361646048</v>
      </c>
      <c r="J284" s="5">
        <f t="shared" si="19"/>
        <v>4</v>
      </c>
    </row>
    <row r="285" spans="1:10" x14ac:dyDescent="0.2">
      <c r="A285">
        <v>106.5</v>
      </c>
      <c r="B285" t="s">
        <v>430</v>
      </c>
      <c r="C285">
        <v>67</v>
      </c>
      <c r="D285" s="5">
        <f t="shared" si="16"/>
        <v>784.01558732918636</v>
      </c>
      <c r="E285" s="5">
        <f t="shared" si="18"/>
        <v>5</v>
      </c>
      <c r="F285" s="4">
        <v>103.75</v>
      </c>
      <c r="G285" s="5" t="s">
        <v>273</v>
      </c>
      <c r="H285" s="5">
        <v>50</v>
      </c>
      <c r="I285" s="5">
        <f t="shared" si="17"/>
        <v>293.66975814369101</v>
      </c>
      <c r="J285" s="5">
        <f t="shared" si="19"/>
        <v>3</v>
      </c>
    </row>
    <row r="286" spans="1:10" x14ac:dyDescent="0.2">
      <c r="A286">
        <v>107</v>
      </c>
      <c r="B286" t="s">
        <v>287</v>
      </c>
      <c r="C286">
        <v>62</v>
      </c>
      <c r="D286" s="5">
        <f t="shared" si="16"/>
        <v>587.34554108704231</v>
      </c>
      <c r="E286" s="5">
        <f t="shared" si="18"/>
        <v>5</v>
      </c>
      <c r="F286" s="4">
        <v>104</v>
      </c>
      <c r="G286" s="5" t="s">
        <v>59</v>
      </c>
      <c r="H286" s="5">
        <v>40</v>
      </c>
      <c r="I286" s="5">
        <f t="shared" si="17"/>
        <v>164.8151702626221</v>
      </c>
      <c r="J286" s="5">
        <f t="shared" si="19"/>
        <v>10</v>
      </c>
    </row>
    <row r="287" spans="1:10" x14ac:dyDescent="0.2">
      <c r="A287">
        <v>107.5</v>
      </c>
      <c r="B287" t="s">
        <v>219</v>
      </c>
      <c r="C287" s="5">
        <v>55</v>
      </c>
      <c r="D287" s="5">
        <f t="shared" si="16"/>
        <v>392.00377257605692</v>
      </c>
      <c r="E287" s="5">
        <f t="shared" si="18"/>
        <v>7</v>
      </c>
      <c r="F287" s="4">
        <v>104.25</v>
      </c>
      <c r="G287" s="5" t="s">
        <v>56</v>
      </c>
      <c r="H287" s="5">
        <v>41</v>
      </c>
      <c r="I287" s="5">
        <f t="shared" si="17"/>
        <v>174.61573954711864</v>
      </c>
      <c r="J287" s="5">
        <f t="shared" si="19"/>
        <v>1</v>
      </c>
    </row>
    <row r="288" spans="1:10" x14ac:dyDescent="0.2">
      <c r="A288">
        <v>108</v>
      </c>
      <c r="B288" t="s">
        <v>281</v>
      </c>
      <c r="C288" s="5">
        <v>50</v>
      </c>
      <c r="D288" s="5">
        <f t="shared" si="16"/>
        <v>293.66975814369101</v>
      </c>
      <c r="E288" s="5">
        <f t="shared" si="18"/>
        <v>5</v>
      </c>
      <c r="F288" s="4">
        <v>104.5</v>
      </c>
      <c r="G288" s="5" t="s">
        <v>57</v>
      </c>
      <c r="H288" s="5">
        <v>43</v>
      </c>
      <c r="I288" s="5">
        <f t="shared" si="17"/>
        <v>195.99987576438383</v>
      </c>
      <c r="J288" s="5">
        <f t="shared" si="19"/>
        <v>2</v>
      </c>
    </row>
    <row r="289" spans="1:10" x14ac:dyDescent="0.2">
      <c r="A289">
        <v>108.25</v>
      </c>
      <c r="B289" t="s">
        <v>427</v>
      </c>
      <c r="C289" s="5">
        <v>52</v>
      </c>
      <c r="D289" s="5">
        <f t="shared" si="16"/>
        <v>329.63372180082422</v>
      </c>
      <c r="E289" s="5">
        <f t="shared" si="18"/>
        <v>2</v>
      </c>
      <c r="F289" s="4">
        <v>104.75</v>
      </c>
      <c r="G289" s="5" t="s">
        <v>273</v>
      </c>
      <c r="H289" s="5">
        <v>50</v>
      </c>
      <c r="I289" s="5">
        <f t="shared" si="17"/>
        <v>293.66975814369101</v>
      </c>
      <c r="J289" s="5">
        <f t="shared" si="19"/>
        <v>7</v>
      </c>
    </row>
    <row r="290" spans="1:10" x14ac:dyDescent="0.2">
      <c r="A290">
        <v>108.5</v>
      </c>
      <c r="B290" t="s">
        <v>218</v>
      </c>
      <c r="C290" s="5">
        <v>53</v>
      </c>
      <c r="D290" s="5">
        <f t="shared" si="16"/>
        <v>349.23506143398839</v>
      </c>
      <c r="E290" s="5">
        <f t="shared" si="18"/>
        <v>1</v>
      </c>
      <c r="F290" s="4">
        <v>105</v>
      </c>
      <c r="G290" s="5" t="s">
        <v>57</v>
      </c>
      <c r="H290" s="5">
        <v>43</v>
      </c>
      <c r="I290" s="5">
        <f t="shared" si="17"/>
        <v>195.99987576438383</v>
      </c>
      <c r="J290" s="5">
        <f t="shared" si="19"/>
        <v>7</v>
      </c>
    </row>
    <row r="291" spans="1:10" x14ac:dyDescent="0.2">
      <c r="A291">
        <v>108.75</v>
      </c>
      <c r="B291" t="s">
        <v>219</v>
      </c>
      <c r="C291" s="5">
        <v>55</v>
      </c>
      <c r="D291" s="5">
        <f t="shared" si="16"/>
        <v>392.00377257605692</v>
      </c>
      <c r="E291" s="5">
        <f t="shared" si="18"/>
        <v>2</v>
      </c>
      <c r="F291" s="4">
        <v>105.5</v>
      </c>
      <c r="G291" t="s">
        <v>60</v>
      </c>
      <c r="H291" s="5">
        <v>55</v>
      </c>
      <c r="I291" s="5">
        <f t="shared" si="17"/>
        <v>392.00377257605692</v>
      </c>
      <c r="J291" s="5">
        <f t="shared" si="19"/>
        <v>12</v>
      </c>
    </row>
    <row r="292" spans="1:10" x14ac:dyDescent="0.2">
      <c r="A292">
        <v>109</v>
      </c>
      <c r="B292" t="s">
        <v>428</v>
      </c>
      <c r="C292" s="5">
        <v>50</v>
      </c>
      <c r="D292" s="5">
        <f t="shared" si="16"/>
        <v>293.66975814369101</v>
      </c>
      <c r="E292" s="5">
        <f t="shared" si="18"/>
        <v>5</v>
      </c>
      <c r="F292" s="4">
        <v>106</v>
      </c>
      <c r="G292" s="5" t="s">
        <v>57</v>
      </c>
      <c r="H292" s="5">
        <v>43</v>
      </c>
      <c r="I292" s="5">
        <f t="shared" si="17"/>
        <v>195.99987576438383</v>
      </c>
      <c r="J292" s="5">
        <f t="shared" si="19"/>
        <v>12</v>
      </c>
    </row>
    <row r="293" spans="1:10" x14ac:dyDescent="0.2">
      <c r="A293">
        <v>109.25</v>
      </c>
      <c r="B293" t="s">
        <v>218</v>
      </c>
      <c r="C293" s="5">
        <v>53</v>
      </c>
      <c r="D293" s="5">
        <f t="shared" si="16"/>
        <v>349.23506143398839</v>
      </c>
      <c r="E293" s="5">
        <f t="shared" si="18"/>
        <v>3</v>
      </c>
      <c r="F293" s="4">
        <v>106.5</v>
      </c>
      <c r="G293" t="s">
        <v>273</v>
      </c>
      <c r="H293" s="5">
        <v>50</v>
      </c>
      <c r="I293" s="5">
        <f t="shared" si="17"/>
        <v>293.66975814369101</v>
      </c>
      <c r="J293" s="5">
        <f t="shared" si="19"/>
        <v>7</v>
      </c>
    </row>
    <row r="294" spans="1:10" x14ac:dyDescent="0.2">
      <c r="A294">
        <v>109.5</v>
      </c>
      <c r="B294" t="s">
        <v>220</v>
      </c>
      <c r="C294" s="5">
        <v>55</v>
      </c>
      <c r="D294" s="5">
        <f t="shared" si="16"/>
        <v>392.00377257605692</v>
      </c>
      <c r="E294" s="5">
        <f t="shared" si="18"/>
        <v>2</v>
      </c>
      <c r="F294" s="4">
        <v>107</v>
      </c>
      <c r="G294" s="5" t="s">
        <v>57</v>
      </c>
      <c r="H294" s="5">
        <v>43</v>
      </c>
      <c r="I294" s="5">
        <f t="shared" si="17"/>
        <v>195.99987576438383</v>
      </c>
      <c r="J294" s="5">
        <f t="shared" si="19"/>
        <v>7</v>
      </c>
    </row>
    <row r="295" spans="1:10" x14ac:dyDescent="0.2">
      <c r="A295">
        <v>109.75</v>
      </c>
      <c r="B295" t="s">
        <v>219</v>
      </c>
      <c r="C295" s="5">
        <v>55</v>
      </c>
      <c r="D295" s="5">
        <f t="shared" si="16"/>
        <v>392.00377257605692</v>
      </c>
      <c r="E295" s="5">
        <f t="shared" si="18"/>
        <v>0</v>
      </c>
      <c r="F295" s="4">
        <v>107.5</v>
      </c>
      <c r="G295" t="s">
        <v>273</v>
      </c>
      <c r="H295" s="5">
        <v>50</v>
      </c>
      <c r="I295" s="5">
        <f t="shared" si="17"/>
        <v>293.66975814369101</v>
      </c>
      <c r="J295" s="5">
        <f t="shared" si="19"/>
        <v>7</v>
      </c>
    </row>
    <row r="296" spans="1:10" x14ac:dyDescent="0.2">
      <c r="A296">
        <v>110</v>
      </c>
      <c r="B296" t="s">
        <v>429</v>
      </c>
      <c r="C296" s="5">
        <v>50</v>
      </c>
      <c r="D296" s="5">
        <f t="shared" si="16"/>
        <v>293.66975814369101</v>
      </c>
      <c r="E296" s="5">
        <f t="shared" si="18"/>
        <v>5</v>
      </c>
      <c r="F296" s="4">
        <v>108</v>
      </c>
      <c r="G296" s="5" t="s">
        <v>55</v>
      </c>
      <c r="H296" s="5">
        <v>40</v>
      </c>
      <c r="I296" s="5">
        <f t="shared" si="17"/>
        <v>164.8151702626221</v>
      </c>
      <c r="J296" s="5">
        <f t="shared" si="19"/>
        <v>10</v>
      </c>
    </row>
    <row r="297" spans="1:10" x14ac:dyDescent="0.2">
      <c r="A297">
        <v>110.25</v>
      </c>
      <c r="B297" t="s">
        <v>219</v>
      </c>
      <c r="C297" s="5">
        <v>55</v>
      </c>
      <c r="D297" s="5">
        <f t="shared" si="16"/>
        <v>392.00377257605692</v>
      </c>
      <c r="E297" s="5">
        <f t="shared" si="18"/>
        <v>5</v>
      </c>
      <c r="F297" s="4">
        <v>108.25</v>
      </c>
      <c r="G297" t="s">
        <v>56</v>
      </c>
      <c r="H297" s="5">
        <v>41</v>
      </c>
      <c r="I297" s="5">
        <f t="shared" si="17"/>
        <v>174.61573954711864</v>
      </c>
      <c r="J297" s="5">
        <f t="shared" si="19"/>
        <v>1</v>
      </c>
    </row>
    <row r="298" spans="1:10" x14ac:dyDescent="0.2">
      <c r="A298">
        <v>110.5</v>
      </c>
      <c r="B298" t="s">
        <v>289</v>
      </c>
      <c r="C298" s="5">
        <v>57</v>
      </c>
      <c r="D298" s="5">
        <f t="shared" si="16"/>
        <v>440.01010976071973</v>
      </c>
      <c r="E298" s="5">
        <f t="shared" si="18"/>
        <v>2</v>
      </c>
      <c r="F298" s="4">
        <v>108.5</v>
      </c>
      <c r="G298" s="5" t="s">
        <v>57</v>
      </c>
      <c r="H298" s="5">
        <v>43</v>
      </c>
      <c r="I298" s="5">
        <f t="shared" si="17"/>
        <v>195.99987576438383</v>
      </c>
      <c r="J298" s="5">
        <f t="shared" si="19"/>
        <v>2</v>
      </c>
    </row>
    <row r="299" spans="1:10" x14ac:dyDescent="0.2">
      <c r="A299">
        <v>110.75</v>
      </c>
      <c r="B299" t="s">
        <v>219</v>
      </c>
      <c r="C299" s="5">
        <v>55</v>
      </c>
      <c r="D299" s="5">
        <f t="shared" si="16"/>
        <v>392.00377257605692</v>
      </c>
      <c r="E299" s="5">
        <f t="shared" si="18"/>
        <v>2</v>
      </c>
      <c r="F299" s="4">
        <v>108.75</v>
      </c>
      <c r="G299" t="s">
        <v>273</v>
      </c>
      <c r="H299" s="5">
        <v>50</v>
      </c>
      <c r="I299" s="5">
        <f t="shared" si="17"/>
        <v>293.66975814369101</v>
      </c>
      <c r="J299" s="5">
        <f t="shared" si="19"/>
        <v>7</v>
      </c>
    </row>
    <row r="300" spans="1:10" x14ac:dyDescent="0.2">
      <c r="A300">
        <v>111</v>
      </c>
      <c r="B300" t="s">
        <v>281</v>
      </c>
      <c r="C300" s="5">
        <v>50</v>
      </c>
      <c r="D300" s="5">
        <f t="shared" si="16"/>
        <v>293.66975814369101</v>
      </c>
      <c r="E300" s="5">
        <f t="shared" si="18"/>
        <v>5</v>
      </c>
      <c r="F300" s="4">
        <v>109</v>
      </c>
      <c r="G300" s="5" t="s">
        <v>58</v>
      </c>
      <c r="H300" s="5">
        <v>40</v>
      </c>
      <c r="I300" s="5">
        <f t="shared" si="17"/>
        <v>164.8151702626221</v>
      </c>
      <c r="J300" s="5">
        <f t="shared" si="19"/>
        <v>10</v>
      </c>
    </row>
    <row r="301" spans="1:10" x14ac:dyDescent="0.2">
      <c r="A301">
        <v>111.25</v>
      </c>
      <c r="B301" t="s">
        <v>282</v>
      </c>
      <c r="C301" s="5">
        <v>57</v>
      </c>
      <c r="D301" s="5">
        <f t="shared" si="16"/>
        <v>440.01010976071973</v>
      </c>
      <c r="E301" s="5">
        <f t="shared" si="18"/>
        <v>7</v>
      </c>
      <c r="F301" s="4">
        <v>109.25</v>
      </c>
      <c r="G301" t="s">
        <v>57</v>
      </c>
      <c r="H301" s="5">
        <v>43</v>
      </c>
      <c r="I301" s="5">
        <f t="shared" si="17"/>
        <v>195.99987576438383</v>
      </c>
      <c r="J301" s="5">
        <f t="shared" si="19"/>
        <v>3</v>
      </c>
    </row>
    <row r="302" spans="1:10" x14ac:dyDescent="0.2">
      <c r="A302">
        <v>111.5</v>
      </c>
      <c r="B302" t="s">
        <v>283</v>
      </c>
      <c r="C302" s="5">
        <v>59</v>
      </c>
      <c r="D302" s="5">
        <f t="shared" si="16"/>
        <v>493.89549345236594</v>
      </c>
      <c r="E302" s="5">
        <f t="shared" si="18"/>
        <v>2</v>
      </c>
      <c r="F302" s="4">
        <v>109.5</v>
      </c>
      <c r="G302" s="5" t="s">
        <v>54</v>
      </c>
      <c r="H302" s="5">
        <v>45</v>
      </c>
      <c r="I302" s="5">
        <f t="shared" si="17"/>
        <v>220.00279814001337</v>
      </c>
      <c r="J302" s="5">
        <f t="shared" si="19"/>
        <v>2</v>
      </c>
    </row>
    <row r="303" spans="1:10" x14ac:dyDescent="0.2">
      <c r="A303">
        <v>111.75</v>
      </c>
      <c r="B303" t="s">
        <v>374</v>
      </c>
      <c r="C303" s="5">
        <v>55</v>
      </c>
      <c r="D303" s="5">
        <f t="shared" si="16"/>
        <v>392.00377257605692</v>
      </c>
      <c r="E303" s="5">
        <f t="shared" si="18"/>
        <v>4</v>
      </c>
      <c r="F303" s="4">
        <v>109.75</v>
      </c>
      <c r="G303" s="5" t="s">
        <v>273</v>
      </c>
      <c r="H303" s="5">
        <v>50</v>
      </c>
      <c r="I303" s="5">
        <f t="shared" si="17"/>
        <v>293.66975814369101</v>
      </c>
      <c r="J303" s="5">
        <f t="shared" si="19"/>
        <v>5</v>
      </c>
    </row>
    <row r="304" spans="1:10" x14ac:dyDescent="0.2">
      <c r="A304">
        <v>112</v>
      </c>
      <c r="B304" t="s">
        <v>287</v>
      </c>
      <c r="C304" s="5">
        <v>62</v>
      </c>
      <c r="D304" s="5">
        <f t="shared" si="16"/>
        <v>587.34554108704231</v>
      </c>
      <c r="E304" s="5">
        <f t="shared" si="18"/>
        <v>7</v>
      </c>
      <c r="F304" s="4">
        <v>110</v>
      </c>
      <c r="G304" s="5" t="s">
        <v>59</v>
      </c>
      <c r="H304" s="5">
        <v>40</v>
      </c>
      <c r="I304" s="5">
        <f t="shared" si="17"/>
        <v>164.8151702626221</v>
      </c>
      <c r="J304" s="5">
        <f t="shared" si="19"/>
        <v>10</v>
      </c>
    </row>
    <row r="305" spans="1:10" x14ac:dyDescent="0.2">
      <c r="A305">
        <v>112.5</v>
      </c>
      <c r="B305" t="s">
        <v>430</v>
      </c>
      <c r="C305" s="5">
        <v>67</v>
      </c>
      <c r="D305" s="5">
        <f t="shared" si="16"/>
        <v>784.01558732918636</v>
      </c>
      <c r="E305" s="5">
        <f t="shared" si="18"/>
        <v>5</v>
      </c>
      <c r="F305" s="4">
        <v>110.25</v>
      </c>
      <c r="G305" s="5" t="s">
        <v>54</v>
      </c>
      <c r="H305" s="5">
        <v>45</v>
      </c>
      <c r="I305" s="5">
        <f t="shared" si="17"/>
        <v>220.00279814001337</v>
      </c>
      <c r="J305" s="5">
        <f t="shared" si="19"/>
        <v>5</v>
      </c>
    </row>
    <row r="306" spans="1:10" x14ac:dyDescent="0.2">
      <c r="A306">
        <v>113</v>
      </c>
      <c r="B306" t="s">
        <v>287</v>
      </c>
      <c r="C306" s="5">
        <v>62</v>
      </c>
      <c r="D306" s="5">
        <f t="shared" si="16"/>
        <v>587.34554108704231</v>
      </c>
      <c r="E306" s="5">
        <f t="shared" si="18"/>
        <v>5</v>
      </c>
      <c r="F306" s="4">
        <v>110.5</v>
      </c>
      <c r="G306" s="5" t="s">
        <v>272</v>
      </c>
      <c r="H306" s="5">
        <v>47</v>
      </c>
      <c r="I306" s="5">
        <f t="shared" si="17"/>
        <v>246.94521361646048</v>
      </c>
      <c r="J306" s="5">
        <f t="shared" si="19"/>
        <v>2</v>
      </c>
    </row>
    <row r="307" spans="1:10" x14ac:dyDescent="0.2">
      <c r="A307">
        <v>113.5</v>
      </c>
      <c r="B307" t="s">
        <v>430</v>
      </c>
      <c r="C307" s="5">
        <v>67</v>
      </c>
      <c r="D307" s="5">
        <f t="shared" si="16"/>
        <v>784.01558732918636</v>
      </c>
      <c r="E307" s="5">
        <f t="shared" si="18"/>
        <v>5</v>
      </c>
      <c r="F307" s="4">
        <v>110.75</v>
      </c>
      <c r="G307" s="5" t="s">
        <v>273</v>
      </c>
      <c r="H307" s="5">
        <v>50</v>
      </c>
      <c r="I307" s="5">
        <f t="shared" si="17"/>
        <v>293.66975814369101</v>
      </c>
      <c r="J307" s="5">
        <f t="shared" si="19"/>
        <v>3</v>
      </c>
    </row>
    <row r="308" spans="1:10" x14ac:dyDescent="0.2">
      <c r="A308">
        <v>114</v>
      </c>
      <c r="B308" t="s">
        <v>287</v>
      </c>
      <c r="C308" s="5">
        <v>62</v>
      </c>
      <c r="D308" s="5">
        <f t="shared" si="16"/>
        <v>587.34554108704231</v>
      </c>
      <c r="E308" s="5">
        <f t="shared" si="18"/>
        <v>5</v>
      </c>
      <c r="F308" s="4">
        <v>111</v>
      </c>
      <c r="G308" s="5" t="s">
        <v>59</v>
      </c>
      <c r="H308" s="5">
        <v>40</v>
      </c>
      <c r="I308" s="5">
        <f t="shared" si="17"/>
        <v>164.8151702626221</v>
      </c>
      <c r="J308" s="5">
        <f t="shared" si="19"/>
        <v>10</v>
      </c>
    </row>
    <row r="309" spans="1:10" x14ac:dyDescent="0.2">
      <c r="A309">
        <v>114.5</v>
      </c>
      <c r="B309" t="s">
        <v>430</v>
      </c>
      <c r="C309" s="5">
        <v>67</v>
      </c>
      <c r="D309" s="5">
        <f t="shared" si="16"/>
        <v>784.01558732918636</v>
      </c>
      <c r="E309" s="5">
        <f t="shared" si="18"/>
        <v>5</v>
      </c>
      <c r="F309" s="4">
        <v>111.25</v>
      </c>
      <c r="G309" s="5" t="s">
        <v>57</v>
      </c>
      <c r="H309" s="5">
        <v>43</v>
      </c>
      <c r="I309" s="5">
        <f t="shared" si="17"/>
        <v>195.99987576438383</v>
      </c>
      <c r="J309" s="5">
        <f t="shared" si="19"/>
        <v>3</v>
      </c>
    </row>
    <row r="310" spans="1:10" x14ac:dyDescent="0.2">
      <c r="A310">
        <v>115</v>
      </c>
      <c r="B310" t="s">
        <v>287</v>
      </c>
      <c r="C310" s="5">
        <v>62</v>
      </c>
      <c r="D310" s="5">
        <f t="shared" si="16"/>
        <v>587.34554108704231</v>
      </c>
      <c r="E310" s="5">
        <f t="shared" si="18"/>
        <v>5</v>
      </c>
      <c r="F310" s="4">
        <v>111.5</v>
      </c>
      <c r="G310" s="5" t="s">
        <v>272</v>
      </c>
      <c r="H310" s="5">
        <v>47</v>
      </c>
      <c r="I310" s="5">
        <f t="shared" si="17"/>
        <v>246.94521361646048</v>
      </c>
      <c r="J310" s="5">
        <f t="shared" si="19"/>
        <v>4</v>
      </c>
    </row>
    <row r="311" spans="1:10" x14ac:dyDescent="0.2">
      <c r="A311">
        <v>115.5</v>
      </c>
      <c r="B311" t="s">
        <v>219</v>
      </c>
      <c r="C311" s="5">
        <v>55</v>
      </c>
      <c r="D311" s="5">
        <f t="shared" si="16"/>
        <v>392.00377257605692</v>
      </c>
      <c r="E311" s="5">
        <f t="shared" si="18"/>
        <v>7</v>
      </c>
      <c r="F311" s="4">
        <v>111.75</v>
      </c>
      <c r="G311" s="5" t="s">
        <v>273</v>
      </c>
      <c r="H311" s="5">
        <v>50</v>
      </c>
      <c r="I311" s="5">
        <f t="shared" si="17"/>
        <v>293.66975814369101</v>
      </c>
      <c r="J311" s="5">
        <f t="shared" si="19"/>
        <v>3</v>
      </c>
    </row>
    <row r="312" spans="1:10" x14ac:dyDescent="0.2">
      <c r="A312">
        <v>116</v>
      </c>
      <c r="B312" t="s">
        <v>281</v>
      </c>
      <c r="C312" s="5">
        <v>50</v>
      </c>
      <c r="D312" s="5">
        <f t="shared" si="16"/>
        <v>293.66975814369101</v>
      </c>
      <c r="E312" s="5">
        <f t="shared" si="18"/>
        <v>5</v>
      </c>
      <c r="F312" s="4">
        <v>112</v>
      </c>
      <c r="G312" s="5" t="s">
        <v>59</v>
      </c>
      <c r="H312" s="5">
        <v>40</v>
      </c>
      <c r="I312" s="5">
        <f t="shared" si="17"/>
        <v>164.8151702626221</v>
      </c>
      <c r="J312" s="5">
        <f t="shared" si="19"/>
        <v>10</v>
      </c>
    </row>
    <row r="313" spans="1:10" x14ac:dyDescent="0.2">
      <c r="A313">
        <v>116.25</v>
      </c>
      <c r="B313" t="s">
        <v>427</v>
      </c>
      <c r="C313" s="5">
        <v>52</v>
      </c>
      <c r="D313" s="5">
        <f t="shared" si="16"/>
        <v>329.63372180082422</v>
      </c>
      <c r="E313" s="5">
        <f t="shared" si="18"/>
        <v>2</v>
      </c>
      <c r="F313" s="4">
        <v>112.25</v>
      </c>
      <c r="G313" s="5" t="s">
        <v>56</v>
      </c>
      <c r="H313" s="5">
        <v>41</v>
      </c>
      <c r="I313" s="5">
        <f t="shared" si="17"/>
        <v>174.61573954711864</v>
      </c>
      <c r="J313" s="5">
        <f t="shared" si="19"/>
        <v>1</v>
      </c>
    </row>
    <row r="314" spans="1:10" x14ac:dyDescent="0.2">
      <c r="A314">
        <v>116.5</v>
      </c>
      <c r="B314" t="s">
        <v>218</v>
      </c>
      <c r="C314" s="5">
        <v>53</v>
      </c>
      <c r="D314" s="5">
        <f t="shared" si="16"/>
        <v>349.23506143398839</v>
      </c>
      <c r="E314" s="5">
        <f t="shared" si="18"/>
        <v>1</v>
      </c>
      <c r="F314" s="4">
        <v>112.5</v>
      </c>
      <c r="G314" s="5" t="s">
        <v>57</v>
      </c>
      <c r="H314" s="5">
        <v>43</v>
      </c>
      <c r="I314" s="5">
        <f t="shared" si="17"/>
        <v>195.99987576438383</v>
      </c>
      <c r="J314" s="5">
        <f t="shared" si="19"/>
        <v>2</v>
      </c>
    </row>
    <row r="315" spans="1:10" x14ac:dyDescent="0.2">
      <c r="A315">
        <v>116.75</v>
      </c>
      <c r="B315" t="s">
        <v>219</v>
      </c>
      <c r="C315" s="5">
        <v>55</v>
      </c>
      <c r="D315" s="5">
        <f t="shared" si="16"/>
        <v>392.00377257605692</v>
      </c>
      <c r="E315" s="5">
        <f t="shared" si="18"/>
        <v>2</v>
      </c>
      <c r="F315" s="4">
        <v>112.75</v>
      </c>
      <c r="G315" s="5" t="s">
        <v>273</v>
      </c>
      <c r="H315" s="5">
        <v>50</v>
      </c>
      <c r="I315" s="5">
        <f t="shared" si="17"/>
        <v>293.66975814369101</v>
      </c>
      <c r="J315" s="5">
        <f t="shared" si="19"/>
        <v>7</v>
      </c>
    </row>
    <row r="316" spans="1:10" x14ac:dyDescent="0.2">
      <c r="A316">
        <v>117</v>
      </c>
      <c r="B316" t="s">
        <v>428</v>
      </c>
      <c r="C316" s="5">
        <v>50</v>
      </c>
      <c r="D316" s="5">
        <f t="shared" si="16"/>
        <v>293.66975814369101</v>
      </c>
      <c r="E316" s="5">
        <f t="shared" si="18"/>
        <v>5</v>
      </c>
      <c r="F316" s="4">
        <v>113</v>
      </c>
      <c r="G316" s="5" t="s">
        <v>57</v>
      </c>
      <c r="H316" s="5">
        <v>43</v>
      </c>
      <c r="I316" s="5">
        <f t="shared" si="17"/>
        <v>195.99987576438383</v>
      </c>
      <c r="J316" s="5">
        <f t="shared" si="19"/>
        <v>7</v>
      </c>
    </row>
    <row r="317" spans="1:10" x14ac:dyDescent="0.2">
      <c r="A317">
        <v>117.25</v>
      </c>
      <c r="B317" t="s">
        <v>218</v>
      </c>
      <c r="C317" s="5">
        <v>53</v>
      </c>
      <c r="D317" s="5">
        <f t="shared" si="16"/>
        <v>349.23506143398839</v>
      </c>
      <c r="E317" s="5">
        <f t="shared" si="18"/>
        <v>3</v>
      </c>
      <c r="F317" s="4">
        <v>113.5</v>
      </c>
      <c r="G317" s="5" t="s">
        <v>60</v>
      </c>
      <c r="H317" s="5">
        <v>55</v>
      </c>
      <c r="I317" s="5">
        <f t="shared" si="17"/>
        <v>392.00377257605692</v>
      </c>
      <c r="J317" s="5">
        <f t="shared" si="19"/>
        <v>12</v>
      </c>
    </row>
    <row r="318" spans="1:10" x14ac:dyDescent="0.2">
      <c r="A318">
        <v>117.5</v>
      </c>
      <c r="B318" t="s">
        <v>220</v>
      </c>
      <c r="C318" s="5">
        <v>55</v>
      </c>
      <c r="D318" s="5">
        <f t="shared" si="16"/>
        <v>392.00377257605692</v>
      </c>
      <c r="E318" s="5">
        <f t="shared" si="18"/>
        <v>2</v>
      </c>
      <c r="F318" s="4">
        <v>114</v>
      </c>
      <c r="G318" s="5" t="s">
        <v>57</v>
      </c>
      <c r="H318" s="5">
        <v>43</v>
      </c>
      <c r="I318" s="5">
        <f t="shared" si="17"/>
        <v>195.99987576438383</v>
      </c>
      <c r="J318" s="5">
        <f t="shared" si="19"/>
        <v>12</v>
      </c>
    </row>
    <row r="319" spans="1:10" x14ac:dyDescent="0.2">
      <c r="A319">
        <v>117.75</v>
      </c>
      <c r="B319" t="s">
        <v>219</v>
      </c>
      <c r="C319" s="5">
        <v>55</v>
      </c>
      <c r="D319" s="5">
        <f t="shared" si="16"/>
        <v>392.00377257605692</v>
      </c>
      <c r="E319" s="5">
        <f t="shared" si="18"/>
        <v>0</v>
      </c>
      <c r="F319" s="4">
        <v>114.5</v>
      </c>
      <c r="G319" s="5" t="s">
        <v>273</v>
      </c>
      <c r="H319" s="5">
        <v>50</v>
      </c>
      <c r="I319" s="5">
        <f t="shared" si="17"/>
        <v>293.66975814369101</v>
      </c>
      <c r="J319" s="5">
        <f t="shared" si="19"/>
        <v>7</v>
      </c>
    </row>
    <row r="320" spans="1:10" x14ac:dyDescent="0.2">
      <c r="A320">
        <v>118</v>
      </c>
      <c r="B320" t="s">
        <v>429</v>
      </c>
      <c r="C320" s="5">
        <v>50</v>
      </c>
      <c r="D320" s="5">
        <f t="shared" si="16"/>
        <v>293.66975814369101</v>
      </c>
      <c r="E320" s="5">
        <f t="shared" si="18"/>
        <v>5</v>
      </c>
      <c r="F320" s="4">
        <v>115</v>
      </c>
      <c r="G320" s="5" t="s">
        <v>57</v>
      </c>
      <c r="H320" s="5">
        <v>43</v>
      </c>
      <c r="I320" s="5">
        <f t="shared" si="17"/>
        <v>195.99987576438383</v>
      </c>
      <c r="J320" s="5">
        <f t="shared" si="19"/>
        <v>7</v>
      </c>
    </row>
    <row r="321" spans="1:10" x14ac:dyDescent="0.2">
      <c r="A321">
        <v>118.25</v>
      </c>
      <c r="B321" t="s">
        <v>219</v>
      </c>
      <c r="C321" s="5">
        <v>55</v>
      </c>
      <c r="D321" s="5">
        <f t="shared" si="16"/>
        <v>392.00377257605692</v>
      </c>
      <c r="E321" s="5">
        <f t="shared" si="18"/>
        <v>5</v>
      </c>
      <c r="F321" s="4">
        <v>115.5</v>
      </c>
      <c r="G321" s="5" t="s">
        <v>273</v>
      </c>
      <c r="H321" s="5">
        <v>50</v>
      </c>
      <c r="I321" s="5">
        <f t="shared" si="17"/>
        <v>293.66975814369101</v>
      </c>
      <c r="J321" s="5">
        <f t="shared" si="19"/>
        <v>7</v>
      </c>
    </row>
    <row r="322" spans="1:10" x14ac:dyDescent="0.2">
      <c r="A322">
        <v>118.5</v>
      </c>
      <c r="B322" t="s">
        <v>289</v>
      </c>
      <c r="C322" s="5">
        <v>57</v>
      </c>
      <c r="D322" s="5">
        <f t="shared" si="16"/>
        <v>440.01010976071973</v>
      </c>
      <c r="E322" s="5">
        <f t="shared" si="18"/>
        <v>2</v>
      </c>
      <c r="F322" s="4">
        <v>116</v>
      </c>
      <c r="G322" s="5" t="s">
        <v>55</v>
      </c>
      <c r="H322" s="5">
        <v>40</v>
      </c>
      <c r="I322" s="5">
        <f t="shared" si="17"/>
        <v>164.8151702626221</v>
      </c>
      <c r="J322" s="5">
        <f t="shared" si="19"/>
        <v>10</v>
      </c>
    </row>
    <row r="323" spans="1:10" x14ac:dyDescent="0.2">
      <c r="A323">
        <v>118.75</v>
      </c>
      <c r="B323" t="s">
        <v>219</v>
      </c>
      <c r="C323" s="5">
        <v>55</v>
      </c>
      <c r="D323" s="5">
        <f t="shared" si="16"/>
        <v>392.00377257605692</v>
      </c>
      <c r="E323" s="5">
        <f t="shared" si="18"/>
        <v>2</v>
      </c>
      <c r="F323" s="4">
        <v>116.25</v>
      </c>
      <c r="G323" s="5" t="s">
        <v>56</v>
      </c>
      <c r="H323" s="5">
        <v>41</v>
      </c>
      <c r="I323" s="5">
        <f t="shared" si="17"/>
        <v>174.61573954711864</v>
      </c>
      <c r="J323" s="5">
        <f t="shared" si="19"/>
        <v>1</v>
      </c>
    </row>
    <row r="324" spans="1:10" x14ac:dyDescent="0.2">
      <c r="A324">
        <v>119</v>
      </c>
      <c r="B324" t="s">
        <v>281</v>
      </c>
      <c r="C324" s="5">
        <v>50</v>
      </c>
      <c r="D324" s="5">
        <f t="shared" ref="D324:D387" si="20">16.35117682*1.059464^C324</f>
        <v>293.66975814369101</v>
      </c>
      <c r="E324" s="5">
        <f t="shared" si="18"/>
        <v>5</v>
      </c>
      <c r="F324" s="4">
        <v>116.5</v>
      </c>
      <c r="G324" s="5" t="s">
        <v>57</v>
      </c>
      <c r="H324" s="5">
        <v>43</v>
      </c>
      <c r="I324" s="5">
        <f t="shared" ref="I324:I387" si="21">16.35117682*1.059464^H324</f>
        <v>195.99987576438383</v>
      </c>
      <c r="J324" s="5">
        <f t="shared" si="19"/>
        <v>2</v>
      </c>
    </row>
    <row r="325" spans="1:10" x14ac:dyDescent="0.2">
      <c r="A325">
        <v>119.25</v>
      </c>
      <c r="B325" t="s">
        <v>282</v>
      </c>
      <c r="C325" s="5">
        <v>57</v>
      </c>
      <c r="D325" s="5">
        <f t="shared" si="20"/>
        <v>440.01010976071973</v>
      </c>
      <c r="E325" s="5">
        <f t="shared" ref="E325:E388" si="22">ABS( C325-C324)</f>
        <v>7</v>
      </c>
      <c r="F325" s="4">
        <v>116.75</v>
      </c>
      <c r="G325" s="5" t="s">
        <v>273</v>
      </c>
      <c r="H325" s="5">
        <v>50</v>
      </c>
      <c r="I325" s="5">
        <f t="shared" si="21"/>
        <v>293.66975814369101</v>
      </c>
      <c r="J325" s="5">
        <f t="shared" ref="J325:J388" si="23">ABS( H325-H324)</f>
        <v>7</v>
      </c>
    </row>
    <row r="326" spans="1:10" x14ac:dyDescent="0.2">
      <c r="A326">
        <v>119.5</v>
      </c>
      <c r="B326" t="s">
        <v>283</v>
      </c>
      <c r="C326" s="5">
        <v>59</v>
      </c>
      <c r="D326" s="5">
        <f t="shared" si="20"/>
        <v>493.89549345236594</v>
      </c>
      <c r="E326" s="5">
        <f t="shared" si="22"/>
        <v>2</v>
      </c>
      <c r="F326" s="4">
        <v>117</v>
      </c>
      <c r="G326" s="5" t="s">
        <v>58</v>
      </c>
      <c r="H326" s="5">
        <v>40</v>
      </c>
      <c r="I326" s="5">
        <f t="shared" si="21"/>
        <v>164.8151702626221</v>
      </c>
      <c r="J326" s="5">
        <f t="shared" si="23"/>
        <v>10</v>
      </c>
    </row>
    <row r="327" spans="1:10" x14ac:dyDescent="0.2">
      <c r="A327">
        <v>119.75</v>
      </c>
      <c r="B327" t="s">
        <v>374</v>
      </c>
      <c r="C327">
        <v>55</v>
      </c>
      <c r="D327" s="5">
        <f t="shared" si="20"/>
        <v>392.00377257605692</v>
      </c>
      <c r="E327" s="5">
        <f t="shared" si="22"/>
        <v>4</v>
      </c>
      <c r="F327" s="4">
        <v>117.25</v>
      </c>
      <c r="G327" s="5" t="s">
        <v>57</v>
      </c>
      <c r="H327" s="5">
        <v>43</v>
      </c>
      <c r="I327" s="5">
        <f t="shared" si="21"/>
        <v>195.99987576438383</v>
      </c>
      <c r="J327" s="5">
        <f t="shared" si="23"/>
        <v>3</v>
      </c>
    </row>
    <row r="328" spans="1:10" x14ac:dyDescent="0.2">
      <c r="A328">
        <v>120</v>
      </c>
      <c r="B328" t="s">
        <v>287</v>
      </c>
      <c r="C328">
        <v>62</v>
      </c>
      <c r="D328" s="5">
        <f t="shared" si="20"/>
        <v>587.34554108704231</v>
      </c>
      <c r="E328" s="5">
        <f t="shared" si="22"/>
        <v>7</v>
      </c>
      <c r="F328" s="4">
        <v>117.5</v>
      </c>
      <c r="G328" s="5" t="s">
        <v>54</v>
      </c>
      <c r="H328" s="5">
        <v>45</v>
      </c>
      <c r="I328" s="5">
        <f t="shared" si="21"/>
        <v>220.00279814001337</v>
      </c>
      <c r="J328" s="5">
        <f t="shared" si="23"/>
        <v>2</v>
      </c>
    </row>
    <row r="329" spans="1:10" x14ac:dyDescent="0.2">
      <c r="A329">
        <v>120.5</v>
      </c>
      <c r="B329" t="s">
        <v>430</v>
      </c>
      <c r="C329">
        <v>67</v>
      </c>
      <c r="D329" s="5">
        <f t="shared" si="20"/>
        <v>784.01558732918636</v>
      </c>
      <c r="E329" s="5">
        <f t="shared" si="22"/>
        <v>5</v>
      </c>
      <c r="F329" s="4">
        <v>117.75</v>
      </c>
      <c r="G329" s="5" t="s">
        <v>273</v>
      </c>
      <c r="H329" s="5">
        <v>50</v>
      </c>
      <c r="I329" s="5">
        <f t="shared" si="21"/>
        <v>293.66975814369101</v>
      </c>
      <c r="J329" s="5">
        <f t="shared" si="23"/>
        <v>5</v>
      </c>
    </row>
    <row r="330" spans="1:10" x14ac:dyDescent="0.2">
      <c r="A330">
        <v>121</v>
      </c>
      <c r="B330" t="s">
        <v>287</v>
      </c>
      <c r="C330">
        <v>62</v>
      </c>
      <c r="D330" s="5">
        <f t="shared" si="20"/>
        <v>587.34554108704231</v>
      </c>
      <c r="E330" s="5">
        <f t="shared" si="22"/>
        <v>5</v>
      </c>
      <c r="F330" s="4">
        <v>118</v>
      </c>
      <c r="G330" s="5" t="s">
        <v>59</v>
      </c>
      <c r="H330" s="5">
        <v>40</v>
      </c>
      <c r="I330" s="5">
        <f t="shared" si="21"/>
        <v>164.8151702626221</v>
      </c>
      <c r="J330" s="5">
        <f t="shared" si="23"/>
        <v>10</v>
      </c>
    </row>
    <row r="331" spans="1:10" x14ac:dyDescent="0.2">
      <c r="A331">
        <v>121.5</v>
      </c>
      <c r="B331" t="s">
        <v>430</v>
      </c>
      <c r="C331">
        <v>67</v>
      </c>
      <c r="D331" s="5">
        <f t="shared" si="20"/>
        <v>784.01558732918636</v>
      </c>
      <c r="E331" s="5">
        <f t="shared" si="22"/>
        <v>5</v>
      </c>
      <c r="F331" s="4">
        <v>118.25</v>
      </c>
      <c r="G331" s="5" t="s">
        <v>54</v>
      </c>
      <c r="H331" s="5">
        <v>45</v>
      </c>
      <c r="I331" s="5">
        <f t="shared" si="21"/>
        <v>220.00279814001337</v>
      </c>
      <c r="J331" s="5">
        <f t="shared" si="23"/>
        <v>5</v>
      </c>
    </row>
    <row r="332" spans="1:10" x14ac:dyDescent="0.2">
      <c r="A332">
        <v>122</v>
      </c>
      <c r="B332" t="s">
        <v>287</v>
      </c>
      <c r="C332">
        <v>62</v>
      </c>
      <c r="D332" s="5">
        <f t="shared" si="20"/>
        <v>587.34554108704231</v>
      </c>
      <c r="E332" s="5">
        <f t="shared" si="22"/>
        <v>5</v>
      </c>
      <c r="F332" s="4">
        <v>118.5</v>
      </c>
      <c r="G332" s="5" t="s">
        <v>272</v>
      </c>
      <c r="H332" s="5">
        <v>47</v>
      </c>
      <c r="I332" s="5">
        <f t="shared" si="21"/>
        <v>246.94521361646048</v>
      </c>
      <c r="J332" s="5">
        <f t="shared" si="23"/>
        <v>2</v>
      </c>
    </row>
    <row r="333" spans="1:10" x14ac:dyDescent="0.2">
      <c r="A333">
        <v>122.5</v>
      </c>
      <c r="B333" t="s">
        <v>430</v>
      </c>
      <c r="C333">
        <v>67</v>
      </c>
      <c r="D333" s="5">
        <f t="shared" si="20"/>
        <v>784.01558732918636</v>
      </c>
      <c r="E333" s="5">
        <f t="shared" si="22"/>
        <v>5</v>
      </c>
      <c r="F333" s="4">
        <v>118.75</v>
      </c>
      <c r="G333" s="5" t="s">
        <v>273</v>
      </c>
      <c r="H333" s="5">
        <v>50</v>
      </c>
      <c r="I333" s="5">
        <f t="shared" si="21"/>
        <v>293.66975814369101</v>
      </c>
      <c r="J333" s="5">
        <f t="shared" si="23"/>
        <v>3</v>
      </c>
    </row>
    <row r="334" spans="1:10" x14ac:dyDescent="0.2">
      <c r="A334">
        <v>123</v>
      </c>
      <c r="B334" t="s">
        <v>287</v>
      </c>
      <c r="C334">
        <v>62</v>
      </c>
      <c r="D334" s="5">
        <f t="shared" si="20"/>
        <v>587.34554108704231</v>
      </c>
      <c r="E334" s="5">
        <f t="shared" si="22"/>
        <v>5</v>
      </c>
      <c r="F334" s="4">
        <v>119</v>
      </c>
      <c r="G334" s="5" t="s">
        <v>59</v>
      </c>
      <c r="H334" s="5">
        <v>40</v>
      </c>
      <c r="I334" s="5">
        <f t="shared" si="21"/>
        <v>164.8151702626221</v>
      </c>
      <c r="J334" s="5">
        <f t="shared" si="23"/>
        <v>10</v>
      </c>
    </row>
    <row r="335" spans="1:10" x14ac:dyDescent="0.2">
      <c r="A335">
        <v>123.5</v>
      </c>
      <c r="B335" t="s">
        <v>219</v>
      </c>
      <c r="C335">
        <v>55</v>
      </c>
      <c r="D335" s="5">
        <f t="shared" si="20"/>
        <v>392.00377257605692</v>
      </c>
      <c r="E335" s="5">
        <f t="shared" si="22"/>
        <v>7</v>
      </c>
      <c r="F335" s="4">
        <v>119.25</v>
      </c>
      <c r="G335" s="5" t="s">
        <v>57</v>
      </c>
      <c r="H335" s="5">
        <v>43</v>
      </c>
      <c r="I335" s="5">
        <f t="shared" si="21"/>
        <v>195.99987576438383</v>
      </c>
      <c r="J335" s="5">
        <f t="shared" si="23"/>
        <v>3</v>
      </c>
    </row>
    <row r="336" spans="1:10" x14ac:dyDescent="0.2">
      <c r="A336">
        <v>124</v>
      </c>
      <c r="B336" t="s">
        <v>281</v>
      </c>
      <c r="C336">
        <v>50</v>
      </c>
      <c r="D336" s="5">
        <f t="shared" si="20"/>
        <v>293.66975814369101</v>
      </c>
      <c r="E336" s="5">
        <f t="shared" si="22"/>
        <v>5</v>
      </c>
      <c r="F336" s="4">
        <v>119.5</v>
      </c>
      <c r="G336" s="5" t="s">
        <v>272</v>
      </c>
      <c r="H336" s="5">
        <v>47</v>
      </c>
      <c r="I336" s="5">
        <f t="shared" si="21"/>
        <v>246.94521361646048</v>
      </c>
      <c r="J336" s="5">
        <f t="shared" si="23"/>
        <v>4</v>
      </c>
    </row>
    <row r="337" spans="1:10" x14ac:dyDescent="0.2">
      <c r="A337">
        <v>124.25</v>
      </c>
      <c r="B337" t="s">
        <v>282</v>
      </c>
      <c r="C337">
        <v>57</v>
      </c>
      <c r="D337" s="5">
        <f t="shared" si="20"/>
        <v>440.01010976071973</v>
      </c>
      <c r="E337" s="5">
        <f t="shared" si="22"/>
        <v>7</v>
      </c>
      <c r="F337" s="4">
        <v>119.75</v>
      </c>
      <c r="G337" s="5" t="s">
        <v>273</v>
      </c>
      <c r="H337" s="5">
        <v>50</v>
      </c>
      <c r="I337" s="5">
        <f t="shared" si="21"/>
        <v>293.66975814369101</v>
      </c>
      <c r="J337" s="5">
        <f t="shared" si="23"/>
        <v>3</v>
      </c>
    </row>
    <row r="338" spans="1:10" x14ac:dyDescent="0.2">
      <c r="A338">
        <v>124.5</v>
      </c>
      <c r="B338" t="s">
        <v>283</v>
      </c>
      <c r="C338">
        <v>59</v>
      </c>
      <c r="D338" s="5">
        <f t="shared" si="20"/>
        <v>493.89549345236594</v>
      </c>
      <c r="E338" s="5">
        <f t="shared" si="22"/>
        <v>2</v>
      </c>
      <c r="F338" s="4">
        <v>120</v>
      </c>
      <c r="G338" s="5" t="s">
        <v>59</v>
      </c>
      <c r="H338" s="5">
        <v>40</v>
      </c>
      <c r="I338" s="5">
        <f t="shared" si="21"/>
        <v>164.8151702626221</v>
      </c>
      <c r="J338" s="5">
        <f t="shared" si="23"/>
        <v>10</v>
      </c>
    </row>
    <row r="339" spans="1:10" x14ac:dyDescent="0.2">
      <c r="A339">
        <v>124.75</v>
      </c>
      <c r="B339" t="s">
        <v>219</v>
      </c>
      <c r="C339" s="5">
        <v>55</v>
      </c>
      <c r="D339" s="5">
        <f t="shared" si="20"/>
        <v>392.00377257605692</v>
      </c>
      <c r="E339" s="5">
        <f t="shared" si="22"/>
        <v>4</v>
      </c>
      <c r="F339" s="4">
        <v>120.25</v>
      </c>
      <c r="G339" s="5" t="s">
        <v>56</v>
      </c>
      <c r="H339" s="5">
        <v>41</v>
      </c>
      <c r="I339" s="5">
        <f t="shared" si="21"/>
        <v>174.61573954711864</v>
      </c>
      <c r="J339" s="5">
        <f t="shared" si="23"/>
        <v>1</v>
      </c>
    </row>
    <row r="340" spans="1:10" x14ac:dyDescent="0.2">
      <c r="A340">
        <v>125</v>
      </c>
      <c r="B340" t="s">
        <v>284</v>
      </c>
      <c r="C340" s="5">
        <v>59</v>
      </c>
      <c r="D340" s="5">
        <f t="shared" si="20"/>
        <v>493.89549345236594</v>
      </c>
      <c r="E340" s="5">
        <f t="shared" si="22"/>
        <v>4</v>
      </c>
      <c r="F340" s="4">
        <v>120.5</v>
      </c>
      <c r="G340" s="5" t="s">
        <v>57</v>
      </c>
      <c r="H340" s="5">
        <v>43</v>
      </c>
      <c r="I340" s="5">
        <f t="shared" si="21"/>
        <v>195.99987576438383</v>
      </c>
      <c r="J340" s="5">
        <f t="shared" si="23"/>
        <v>2</v>
      </c>
    </row>
    <row r="341" spans="1:10" x14ac:dyDescent="0.2">
      <c r="A341">
        <v>125.5</v>
      </c>
      <c r="B341" t="s">
        <v>219</v>
      </c>
      <c r="C341" s="5">
        <v>55</v>
      </c>
      <c r="D341" s="5">
        <f t="shared" si="20"/>
        <v>392.00377257605692</v>
      </c>
      <c r="E341" s="5">
        <f t="shared" si="22"/>
        <v>4</v>
      </c>
      <c r="F341" s="4">
        <v>120.75</v>
      </c>
      <c r="G341" s="5" t="s">
        <v>273</v>
      </c>
      <c r="H341" s="5">
        <v>50</v>
      </c>
      <c r="I341" s="5">
        <f t="shared" si="21"/>
        <v>293.66975814369101</v>
      </c>
      <c r="J341" s="5">
        <f t="shared" si="23"/>
        <v>7</v>
      </c>
    </row>
    <row r="342" spans="1:10" x14ac:dyDescent="0.2">
      <c r="A342">
        <v>125.75</v>
      </c>
      <c r="B342" t="s">
        <v>281</v>
      </c>
      <c r="C342" s="5">
        <v>50</v>
      </c>
      <c r="D342" s="5">
        <f t="shared" si="20"/>
        <v>293.66975814369101</v>
      </c>
      <c r="E342" s="5">
        <f t="shared" si="22"/>
        <v>5</v>
      </c>
      <c r="F342" s="4">
        <v>121</v>
      </c>
      <c r="G342" s="5" t="s">
        <v>57</v>
      </c>
      <c r="H342" s="5">
        <v>43</v>
      </c>
      <c r="I342" s="5">
        <f t="shared" si="21"/>
        <v>195.99987576438383</v>
      </c>
      <c r="J342" s="5">
        <f t="shared" si="23"/>
        <v>7</v>
      </c>
    </row>
    <row r="343" spans="1:10" x14ac:dyDescent="0.2">
      <c r="A343">
        <v>126</v>
      </c>
      <c r="B343" t="s">
        <v>284</v>
      </c>
      <c r="C343" s="5">
        <v>59</v>
      </c>
      <c r="D343" s="5">
        <f t="shared" si="20"/>
        <v>493.89549345236594</v>
      </c>
      <c r="E343" s="5">
        <f t="shared" si="22"/>
        <v>9</v>
      </c>
      <c r="F343" s="4">
        <v>121.5</v>
      </c>
      <c r="G343" s="5" t="s">
        <v>60</v>
      </c>
      <c r="H343" s="5">
        <v>55</v>
      </c>
      <c r="I343" s="5">
        <f t="shared" si="21"/>
        <v>392.00377257605692</v>
      </c>
      <c r="J343" s="5">
        <f t="shared" si="23"/>
        <v>12</v>
      </c>
    </row>
    <row r="344" spans="1:10" x14ac:dyDescent="0.2">
      <c r="A344">
        <v>126.5</v>
      </c>
      <c r="B344" t="s">
        <v>286</v>
      </c>
      <c r="C344" s="5">
        <v>55</v>
      </c>
      <c r="D344" s="5">
        <f t="shared" si="20"/>
        <v>392.00377257605692</v>
      </c>
      <c r="E344" s="5">
        <f t="shared" si="22"/>
        <v>4</v>
      </c>
      <c r="F344" s="4">
        <v>122</v>
      </c>
      <c r="G344" s="5" t="s">
        <v>57</v>
      </c>
      <c r="H344" s="5">
        <v>43</v>
      </c>
      <c r="I344" s="5">
        <f t="shared" si="21"/>
        <v>195.99987576438383</v>
      </c>
      <c r="J344" s="5">
        <f t="shared" si="23"/>
        <v>12</v>
      </c>
    </row>
    <row r="345" spans="1:10" x14ac:dyDescent="0.2">
      <c r="A345">
        <v>127</v>
      </c>
      <c r="B345" t="s">
        <v>287</v>
      </c>
      <c r="C345" s="5">
        <v>62</v>
      </c>
      <c r="D345" s="5">
        <f t="shared" si="20"/>
        <v>587.34554108704231</v>
      </c>
      <c r="E345" s="5">
        <f t="shared" si="22"/>
        <v>7</v>
      </c>
      <c r="F345" s="4">
        <v>122.5</v>
      </c>
      <c r="G345" s="5" t="s">
        <v>273</v>
      </c>
      <c r="H345" s="5">
        <v>50</v>
      </c>
      <c r="I345" s="5">
        <f t="shared" si="21"/>
        <v>293.66975814369101</v>
      </c>
      <c r="J345" s="5">
        <f t="shared" si="23"/>
        <v>7</v>
      </c>
    </row>
    <row r="346" spans="1:10" x14ac:dyDescent="0.2">
      <c r="A346">
        <v>127.5</v>
      </c>
      <c r="B346" t="s">
        <v>219</v>
      </c>
      <c r="C346" s="5">
        <v>55</v>
      </c>
      <c r="D346" s="5">
        <f t="shared" si="20"/>
        <v>392.00377257605692</v>
      </c>
      <c r="E346" s="5">
        <f t="shared" si="22"/>
        <v>7</v>
      </c>
      <c r="F346" s="4">
        <v>123</v>
      </c>
      <c r="G346" s="5" t="s">
        <v>57</v>
      </c>
      <c r="H346" s="5">
        <v>43</v>
      </c>
      <c r="I346" s="5">
        <f t="shared" si="21"/>
        <v>195.99987576438383</v>
      </c>
      <c r="J346" s="5">
        <f t="shared" si="23"/>
        <v>7</v>
      </c>
    </row>
    <row r="347" spans="1:10" x14ac:dyDescent="0.2">
      <c r="A347">
        <v>128</v>
      </c>
      <c r="B347" t="s">
        <v>288</v>
      </c>
      <c r="C347" s="5">
        <v>50</v>
      </c>
      <c r="D347" s="5">
        <f t="shared" si="20"/>
        <v>293.66975814369101</v>
      </c>
      <c r="E347" s="5">
        <f t="shared" si="22"/>
        <v>5</v>
      </c>
      <c r="F347" s="4">
        <v>123.5</v>
      </c>
      <c r="G347" s="5" t="s">
        <v>273</v>
      </c>
      <c r="H347" s="5">
        <v>50</v>
      </c>
      <c r="I347" s="5">
        <f t="shared" si="21"/>
        <v>293.66975814369101</v>
      </c>
      <c r="J347" s="5">
        <f t="shared" si="23"/>
        <v>7</v>
      </c>
    </row>
    <row r="348" spans="1:10" x14ac:dyDescent="0.2">
      <c r="A348">
        <v>128.25</v>
      </c>
      <c r="B348" t="s">
        <v>289</v>
      </c>
      <c r="C348" s="5">
        <v>57</v>
      </c>
      <c r="D348" s="5">
        <f t="shared" si="20"/>
        <v>440.01010976071973</v>
      </c>
      <c r="E348" s="5">
        <f t="shared" si="22"/>
        <v>7</v>
      </c>
      <c r="F348" s="4">
        <v>124</v>
      </c>
      <c r="G348" s="5" t="s">
        <v>337</v>
      </c>
      <c r="H348" s="5">
        <v>45</v>
      </c>
      <c r="I348" s="5">
        <f t="shared" si="21"/>
        <v>220.00279814001337</v>
      </c>
      <c r="J348" s="5">
        <f t="shared" si="23"/>
        <v>5</v>
      </c>
    </row>
    <row r="349" spans="1:10" x14ac:dyDescent="0.2">
      <c r="A349">
        <v>128.5</v>
      </c>
      <c r="B349" t="s">
        <v>284</v>
      </c>
      <c r="C349" s="5">
        <v>59</v>
      </c>
      <c r="D349" s="5">
        <f t="shared" si="20"/>
        <v>493.89549345236594</v>
      </c>
      <c r="E349" s="5">
        <f t="shared" si="22"/>
        <v>2</v>
      </c>
      <c r="F349" s="4">
        <v>124.25</v>
      </c>
      <c r="G349" s="5" t="s">
        <v>202</v>
      </c>
      <c r="H349" s="5">
        <v>53</v>
      </c>
      <c r="I349" s="5">
        <f t="shared" si="21"/>
        <v>349.23506143398839</v>
      </c>
      <c r="J349" s="5">
        <f t="shared" si="23"/>
        <v>8</v>
      </c>
    </row>
    <row r="350" spans="1:10" x14ac:dyDescent="0.2">
      <c r="A350">
        <v>128.75</v>
      </c>
      <c r="B350" t="s">
        <v>219</v>
      </c>
      <c r="C350" s="5">
        <v>55</v>
      </c>
      <c r="D350" s="5">
        <f t="shared" si="20"/>
        <v>392.00377257605692</v>
      </c>
      <c r="E350" s="5">
        <f t="shared" si="22"/>
        <v>4</v>
      </c>
      <c r="F350" s="4">
        <v>124.5</v>
      </c>
      <c r="G350" s="5" t="s">
        <v>338</v>
      </c>
      <c r="H350" s="5">
        <v>55</v>
      </c>
      <c r="I350" s="5">
        <f t="shared" si="21"/>
        <v>392.00377257605692</v>
      </c>
      <c r="J350" s="5">
        <f t="shared" si="23"/>
        <v>2</v>
      </c>
    </row>
    <row r="351" spans="1:10" x14ac:dyDescent="0.2">
      <c r="A351">
        <v>129</v>
      </c>
      <c r="B351" t="s">
        <v>284</v>
      </c>
      <c r="C351" s="5">
        <v>59</v>
      </c>
      <c r="D351" s="5">
        <f t="shared" si="20"/>
        <v>493.89549345236594</v>
      </c>
      <c r="E351" s="5">
        <f t="shared" si="22"/>
        <v>4</v>
      </c>
      <c r="F351" s="4">
        <v>124.75</v>
      </c>
      <c r="G351" s="5" t="s">
        <v>247</v>
      </c>
      <c r="H351" s="5">
        <v>50</v>
      </c>
      <c r="I351" s="5">
        <f t="shared" si="21"/>
        <v>293.66975814369101</v>
      </c>
      <c r="J351" s="5">
        <f t="shared" si="23"/>
        <v>5</v>
      </c>
    </row>
    <row r="352" spans="1:10" x14ac:dyDescent="0.2">
      <c r="A352">
        <v>129.5</v>
      </c>
      <c r="B352" t="s">
        <v>219</v>
      </c>
      <c r="C352" s="5">
        <v>55</v>
      </c>
      <c r="D352" s="5">
        <f t="shared" si="20"/>
        <v>392.00377257605692</v>
      </c>
      <c r="E352" s="5">
        <f t="shared" si="22"/>
        <v>4</v>
      </c>
      <c r="F352" s="4">
        <v>125</v>
      </c>
      <c r="G352" s="5" t="s">
        <v>250</v>
      </c>
      <c r="H352" s="5">
        <v>55</v>
      </c>
      <c r="I352" s="5">
        <f t="shared" si="21"/>
        <v>392.00377257605692</v>
      </c>
      <c r="J352" s="5">
        <f t="shared" si="23"/>
        <v>5</v>
      </c>
    </row>
    <row r="353" spans="1:10" x14ac:dyDescent="0.2">
      <c r="A353">
        <v>129.75</v>
      </c>
      <c r="B353" t="s">
        <v>373</v>
      </c>
      <c r="C353" s="5">
        <v>50</v>
      </c>
      <c r="D353" s="5">
        <f t="shared" si="20"/>
        <v>293.66975814369101</v>
      </c>
      <c r="E353" s="5">
        <f t="shared" si="22"/>
        <v>5</v>
      </c>
      <c r="F353" s="4">
        <v>125.5</v>
      </c>
      <c r="G353" s="5" t="s">
        <v>339</v>
      </c>
      <c r="H353" s="5">
        <v>59</v>
      </c>
      <c r="I353" s="5">
        <f t="shared" si="21"/>
        <v>493.89549345236594</v>
      </c>
      <c r="J353" s="5">
        <f t="shared" si="23"/>
        <v>4</v>
      </c>
    </row>
    <row r="354" spans="1:10" x14ac:dyDescent="0.2">
      <c r="A354">
        <v>130</v>
      </c>
      <c r="B354" t="s">
        <v>283</v>
      </c>
      <c r="C354" s="5">
        <v>59</v>
      </c>
      <c r="D354" s="5">
        <f t="shared" si="20"/>
        <v>493.89549345236594</v>
      </c>
      <c r="E354" s="5">
        <f t="shared" si="22"/>
        <v>9</v>
      </c>
      <c r="F354" s="4">
        <v>125.75</v>
      </c>
      <c r="G354" s="5" t="s">
        <v>340</v>
      </c>
      <c r="H354" s="5">
        <v>50</v>
      </c>
      <c r="I354" s="5">
        <f t="shared" si="21"/>
        <v>293.66975814369101</v>
      </c>
      <c r="J354" s="5">
        <f t="shared" si="23"/>
        <v>9</v>
      </c>
    </row>
    <row r="355" spans="1:10" x14ac:dyDescent="0.2">
      <c r="A355">
        <v>130.5</v>
      </c>
      <c r="B355" t="s">
        <v>219</v>
      </c>
      <c r="C355" s="5">
        <v>55</v>
      </c>
      <c r="D355" s="5">
        <f t="shared" si="20"/>
        <v>392.00377257605692</v>
      </c>
      <c r="E355" s="5">
        <f t="shared" si="22"/>
        <v>4</v>
      </c>
      <c r="F355" s="4">
        <v>126</v>
      </c>
      <c r="G355" s="5" t="s">
        <v>250</v>
      </c>
      <c r="H355" s="5">
        <v>55</v>
      </c>
      <c r="I355" s="5">
        <f t="shared" si="21"/>
        <v>392.00377257605692</v>
      </c>
      <c r="J355" s="5">
        <f t="shared" si="23"/>
        <v>5</v>
      </c>
    </row>
    <row r="356" spans="1:10" x14ac:dyDescent="0.2">
      <c r="A356">
        <v>131</v>
      </c>
      <c r="B356" t="s">
        <v>285</v>
      </c>
      <c r="C356" s="5">
        <v>62</v>
      </c>
      <c r="D356" s="5">
        <f t="shared" si="20"/>
        <v>587.34554108704231</v>
      </c>
      <c r="E356" s="5">
        <f t="shared" si="22"/>
        <v>7</v>
      </c>
      <c r="F356" s="4">
        <v>126.5</v>
      </c>
      <c r="G356" s="5" t="s">
        <v>250</v>
      </c>
      <c r="H356" s="5">
        <v>55</v>
      </c>
      <c r="I356" s="5">
        <f t="shared" si="21"/>
        <v>392.00377257605692</v>
      </c>
      <c r="J356" s="5">
        <f t="shared" si="23"/>
        <v>0</v>
      </c>
    </row>
    <row r="357" spans="1:10" x14ac:dyDescent="0.2">
      <c r="A357">
        <v>131.5</v>
      </c>
      <c r="B357" t="s">
        <v>219</v>
      </c>
      <c r="C357" s="5">
        <v>55</v>
      </c>
      <c r="D357" s="5">
        <f t="shared" si="20"/>
        <v>392.00377257605692</v>
      </c>
      <c r="E357" s="5">
        <f t="shared" si="22"/>
        <v>7</v>
      </c>
      <c r="F357" s="4">
        <v>127</v>
      </c>
      <c r="G357" s="5" t="s">
        <v>341</v>
      </c>
      <c r="H357" s="5">
        <v>59</v>
      </c>
      <c r="I357" s="5">
        <f t="shared" si="21"/>
        <v>493.89549345236594</v>
      </c>
      <c r="J357" s="5">
        <f t="shared" si="23"/>
        <v>4</v>
      </c>
    </row>
    <row r="358" spans="1:10" x14ac:dyDescent="0.2">
      <c r="A358">
        <v>132</v>
      </c>
      <c r="B358" t="s">
        <v>375</v>
      </c>
      <c r="C358" s="5">
        <v>50</v>
      </c>
      <c r="D358" s="5">
        <f t="shared" si="20"/>
        <v>293.66975814369101</v>
      </c>
      <c r="E358" s="5">
        <f t="shared" si="22"/>
        <v>5</v>
      </c>
      <c r="F358" s="4">
        <v>127.5</v>
      </c>
      <c r="G358" s="5" t="s">
        <v>247</v>
      </c>
      <c r="H358" s="5">
        <v>50</v>
      </c>
      <c r="I358" s="5">
        <f t="shared" si="21"/>
        <v>293.66975814369101</v>
      </c>
      <c r="J358" s="5">
        <f t="shared" si="23"/>
        <v>9</v>
      </c>
    </row>
    <row r="359" spans="1:10" x14ac:dyDescent="0.2">
      <c r="A359">
        <v>132.25</v>
      </c>
      <c r="B359" t="s">
        <v>374</v>
      </c>
      <c r="C359" s="5">
        <v>55</v>
      </c>
      <c r="D359" s="5">
        <f t="shared" si="20"/>
        <v>392.00377257605692</v>
      </c>
      <c r="E359" s="5">
        <f t="shared" si="22"/>
        <v>5</v>
      </c>
      <c r="F359" s="4">
        <v>128</v>
      </c>
      <c r="G359" s="5" t="s">
        <v>337</v>
      </c>
      <c r="H359" s="5">
        <v>45</v>
      </c>
      <c r="I359" s="5">
        <f t="shared" si="21"/>
        <v>220.00279814001337</v>
      </c>
      <c r="J359" s="5">
        <f t="shared" si="23"/>
        <v>5</v>
      </c>
    </row>
    <row r="360" spans="1:10" x14ac:dyDescent="0.2">
      <c r="A360">
        <v>132.5</v>
      </c>
      <c r="B360" t="s">
        <v>381</v>
      </c>
      <c r="C360" s="5">
        <v>57</v>
      </c>
      <c r="D360" s="5">
        <f t="shared" si="20"/>
        <v>440.01010976071973</v>
      </c>
      <c r="E360" s="5">
        <f t="shared" si="22"/>
        <v>2</v>
      </c>
      <c r="F360" s="4">
        <v>128.25</v>
      </c>
      <c r="G360" s="5" t="s">
        <v>202</v>
      </c>
      <c r="H360" s="5">
        <v>53</v>
      </c>
      <c r="I360" s="5">
        <f t="shared" si="21"/>
        <v>349.23506143398839</v>
      </c>
      <c r="J360" s="5">
        <f t="shared" si="23"/>
        <v>8</v>
      </c>
    </row>
    <row r="361" spans="1:10" x14ac:dyDescent="0.2">
      <c r="A361">
        <v>132.75</v>
      </c>
      <c r="B361" t="s">
        <v>374</v>
      </c>
      <c r="C361" s="5">
        <v>55</v>
      </c>
      <c r="D361" s="5">
        <f t="shared" si="20"/>
        <v>392.00377257605692</v>
      </c>
      <c r="E361" s="5">
        <f t="shared" si="22"/>
        <v>2</v>
      </c>
      <c r="F361" s="4">
        <v>128.5</v>
      </c>
      <c r="G361" s="5" t="s">
        <v>250</v>
      </c>
      <c r="H361" s="5">
        <v>55</v>
      </c>
      <c r="I361" s="5">
        <f t="shared" si="21"/>
        <v>392.00377257605692</v>
      </c>
      <c r="J361" s="5">
        <f t="shared" si="23"/>
        <v>2</v>
      </c>
    </row>
    <row r="362" spans="1:10" x14ac:dyDescent="0.2">
      <c r="A362">
        <v>133</v>
      </c>
      <c r="B362" t="s">
        <v>282</v>
      </c>
      <c r="C362" s="5">
        <v>57</v>
      </c>
      <c r="D362" s="5">
        <f t="shared" si="20"/>
        <v>440.01010976071973</v>
      </c>
      <c r="E362" s="5">
        <f t="shared" si="22"/>
        <v>2</v>
      </c>
      <c r="F362" s="4">
        <v>128.75</v>
      </c>
      <c r="G362" s="5" t="s">
        <v>247</v>
      </c>
      <c r="H362" s="5">
        <v>50</v>
      </c>
      <c r="I362" s="5">
        <f t="shared" si="21"/>
        <v>293.66975814369101</v>
      </c>
      <c r="J362" s="5">
        <f t="shared" si="23"/>
        <v>5</v>
      </c>
    </row>
    <row r="363" spans="1:10" x14ac:dyDescent="0.2">
      <c r="A363">
        <v>133.5</v>
      </c>
      <c r="B363" t="s">
        <v>382</v>
      </c>
      <c r="C363" s="5">
        <v>55</v>
      </c>
      <c r="D363" s="5">
        <f t="shared" si="20"/>
        <v>392.00377257605692</v>
      </c>
      <c r="E363" s="5">
        <f t="shared" si="22"/>
        <v>2</v>
      </c>
      <c r="F363" s="4">
        <v>129</v>
      </c>
      <c r="G363" s="5" t="s">
        <v>250</v>
      </c>
      <c r="H363" s="5">
        <v>55</v>
      </c>
      <c r="I363" s="5">
        <f t="shared" si="21"/>
        <v>392.00377257605692</v>
      </c>
      <c r="J363" s="5">
        <f t="shared" si="23"/>
        <v>5</v>
      </c>
    </row>
    <row r="364" spans="1:10" x14ac:dyDescent="0.2">
      <c r="A364">
        <v>133.75</v>
      </c>
      <c r="B364" t="s">
        <v>281</v>
      </c>
      <c r="C364" s="5">
        <v>50</v>
      </c>
      <c r="D364" s="5">
        <f t="shared" si="20"/>
        <v>293.66975814369101</v>
      </c>
      <c r="E364" s="5">
        <f t="shared" si="22"/>
        <v>5</v>
      </c>
      <c r="F364" s="4">
        <v>129.5</v>
      </c>
      <c r="G364" s="5" t="s">
        <v>341</v>
      </c>
      <c r="H364" s="5">
        <v>59</v>
      </c>
      <c r="I364" s="5">
        <f t="shared" si="21"/>
        <v>493.89549345236594</v>
      </c>
      <c r="J364" s="5">
        <f t="shared" si="23"/>
        <v>4</v>
      </c>
    </row>
    <row r="365" spans="1:10" x14ac:dyDescent="0.2">
      <c r="A365">
        <v>134</v>
      </c>
      <c r="B365" t="s">
        <v>282</v>
      </c>
      <c r="C365" s="5">
        <v>57</v>
      </c>
      <c r="D365" s="5">
        <f t="shared" si="20"/>
        <v>440.01010976071973</v>
      </c>
      <c r="E365" s="5">
        <f t="shared" si="22"/>
        <v>7</v>
      </c>
      <c r="F365" s="4">
        <v>129.75</v>
      </c>
      <c r="G365" s="5" t="s">
        <v>247</v>
      </c>
      <c r="H365" s="5">
        <v>50</v>
      </c>
      <c r="I365" s="5">
        <f t="shared" si="21"/>
        <v>293.66975814369101</v>
      </c>
      <c r="J365" s="5">
        <f t="shared" si="23"/>
        <v>9</v>
      </c>
    </row>
    <row r="366" spans="1:10" x14ac:dyDescent="0.2">
      <c r="A366">
        <v>134.5</v>
      </c>
      <c r="B366" t="s">
        <v>286</v>
      </c>
      <c r="C366" s="5">
        <v>55</v>
      </c>
      <c r="D366" s="5">
        <f t="shared" si="20"/>
        <v>392.00377257605692</v>
      </c>
      <c r="E366" s="5">
        <f t="shared" si="22"/>
        <v>2</v>
      </c>
      <c r="F366" s="4">
        <v>130</v>
      </c>
      <c r="G366" s="5" t="s">
        <v>250</v>
      </c>
      <c r="H366" s="5">
        <v>55</v>
      </c>
      <c r="I366" s="5">
        <f t="shared" si="21"/>
        <v>392.00377257605692</v>
      </c>
      <c r="J366" s="5">
        <f t="shared" si="23"/>
        <v>5</v>
      </c>
    </row>
    <row r="367" spans="1:10" x14ac:dyDescent="0.2">
      <c r="A367">
        <v>135</v>
      </c>
      <c r="B367" t="s">
        <v>383</v>
      </c>
      <c r="C367">
        <v>60</v>
      </c>
      <c r="D367" s="5">
        <f t="shared" si="20"/>
        <v>523.26449507501752</v>
      </c>
      <c r="E367" s="5">
        <f t="shared" si="22"/>
        <v>5</v>
      </c>
      <c r="F367" s="4">
        <v>130.5</v>
      </c>
      <c r="G367" s="5" t="s">
        <v>250</v>
      </c>
      <c r="H367" s="5">
        <v>55</v>
      </c>
      <c r="I367" s="5">
        <f t="shared" si="21"/>
        <v>392.00377257605692</v>
      </c>
      <c r="J367" s="5">
        <f t="shared" si="23"/>
        <v>0</v>
      </c>
    </row>
    <row r="368" spans="1:10" x14ac:dyDescent="0.2">
      <c r="A368">
        <v>135.5</v>
      </c>
      <c r="B368" t="s">
        <v>219</v>
      </c>
      <c r="C368">
        <v>55</v>
      </c>
      <c r="D368" s="5">
        <f t="shared" si="20"/>
        <v>392.00377257605692</v>
      </c>
      <c r="E368" s="5">
        <f t="shared" si="22"/>
        <v>5</v>
      </c>
      <c r="F368" s="4">
        <v>131</v>
      </c>
      <c r="G368" s="5" t="s">
        <v>249</v>
      </c>
      <c r="H368" s="5">
        <v>59</v>
      </c>
      <c r="I368" s="5">
        <f t="shared" si="21"/>
        <v>493.89549345236594</v>
      </c>
      <c r="J368" s="5">
        <f t="shared" si="23"/>
        <v>4</v>
      </c>
    </row>
    <row r="369" spans="1:10" x14ac:dyDescent="0.2">
      <c r="A369">
        <v>136</v>
      </c>
      <c r="B369" t="s">
        <v>281</v>
      </c>
      <c r="C369">
        <v>50</v>
      </c>
      <c r="D369" s="5">
        <f t="shared" si="20"/>
        <v>293.66975814369101</v>
      </c>
      <c r="E369" s="5">
        <f t="shared" si="22"/>
        <v>5</v>
      </c>
      <c r="F369" s="4">
        <v>131.5</v>
      </c>
      <c r="G369" s="5" t="s">
        <v>247</v>
      </c>
      <c r="H369" s="5">
        <v>50</v>
      </c>
      <c r="I369" s="5">
        <f t="shared" si="21"/>
        <v>293.66975814369101</v>
      </c>
      <c r="J369" s="5">
        <f t="shared" si="23"/>
        <v>9</v>
      </c>
    </row>
    <row r="370" spans="1:10" x14ac:dyDescent="0.2">
      <c r="A370">
        <v>136.25</v>
      </c>
      <c r="B370" t="s">
        <v>423</v>
      </c>
      <c r="C370">
        <v>52</v>
      </c>
      <c r="D370" s="5">
        <f t="shared" si="20"/>
        <v>329.63372180082422</v>
      </c>
      <c r="E370" s="5">
        <f t="shared" si="22"/>
        <v>2</v>
      </c>
      <c r="F370" s="4">
        <v>132</v>
      </c>
      <c r="G370" s="5" t="s">
        <v>337</v>
      </c>
      <c r="H370" s="5">
        <v>45</v>
      </c>
      <c r="I370" s="5">
        <f t="shared" si="21"/>
        <v>220.00279814001337</v>
      </c>
      <c r="J370" s="5">
        <f t="shared" si="23"/>
        <v>5</v>
      </c>
    </row>
    <row r="371" spans="1:10" x14ac:dyDescent="0.2">
      <c r="A371">
        <v>136.5</v>
      </c>
      <c r="B371" t="s">
        <v>218</v>
      </c>
      <c r="C371">
        <v>53</v>
      </c>
      <c r="D371" s="5">
        <f t="shared" si="20"/>
        <v>349.23506143398839</v>
      </c>
      <c r="E371" s="5">
        <f t="shared" si="22"/>
        <v>1</v>
      </c>
      <c r="F371" s="4">
        <v>132.25</v>
      </c>
      <c r="G371" s="5" t="s">
        <v>38</v>
      </c>
      <c r="H371" s="5">
        <v>52</v>
      </c>
      <c r="I371" s="5">
        <f t="shared" si="21"/>
        <v>329.63372180082422</v>
      </c>
      <c r="J371" s="5">
        <f t="shared" si="23"/>
        <v>7</v>
      </c>
    </row>
    <row r="372" spans="1:10" x14ac:dyDescent="0.2">
      <c r="A372">
        <v>136.75</v>
      </c>
      <c r="B372" t="s">
        <v>219</v>
      </c>
      <c r="C372">
        <v>55</v>
      </c>
      <c r="D372" s="5">
        <f t="shared" si="20"/>
        <v>392.00377257605692</v>
      </c>
      <c r="E372" s="5">
        <f t="shared" si="22"/>
        <v>2</v>
      </c>
      <c r="F372" s="4">
        <v>132.5</v>
      </c>
      <c r="G372" s="5" t="s">
        <v>202</v>
      </c>
      <c r="H372" s="5">
        <v>53</v>
      </c>
      <c r="I372" s="5">
        <f t="shared" si="21"/>
        <v>349.23506143398839</v>
      </c>
      <c r="J372" s="5">
        <f t="shared" si="23"/>
        <v>1</v>
      </c>
    </row>
    <row r="373" spans="1:10" x14ac:dyDescent="0.2">
      <c r="A373">
        <v>137</v>
      </c>
      <c r="B373" t="s">
        <v>423</v>
      </c>
      <c r="C373">
        <v>52</v>
      </c>
      <c r="D373" s="5">
        <f t="shared" si="20"/>
        <v>329.63372180082422</v>
      </c>
      <c r="E373" s="5">
        <f t="shared" si="22"/>
        <v>3</v>
      </c>
      <c r="F373" s="4">
        <v>132.75</v>
      </c>
      <c r="G373" s="5" t="s">
        <v>247</v>
      </c>
      <c r="H373" s="5">
        <v>50</v>
      </c>
      <c r="I373" s="5">
        <f t="shared" si="21"/>
        <v>293.66975814369101</v>
      </c>
      <c r="J373" s="5">
        <f t="shared" si="23"/>
        <v>3</v>
      </c>
    </row>
    <row r="374" spans="1:10" x14ac:dyDescent="0.2">
      <c r="A374">
        <v>137.5</v>
      </c>
      <c r="B374" t="s">
        <v>219</v>
      </c>
      <c r="C374">
        <v>55</v>
      </c>
      <c r="D374" s="5">
        <f t="shared" si="20"/>
        <v>392.00377257605692</v>
      </c>
      <c r="E374" s="5">
        <f t="shared" si="22"/>
        <v>3</v>
      </c>
      <c r="F374" s="4">
        <v>133</v>
      </c>
      <c r="G374" s="5" t="s">
        <v>202</v>
      </c>
      <c r="H374" s="5">
        <v>53</v>
      </c>
      <c r="I374" s="5">
        <f t="shared" si="21"/>
        <v>349.23506143398839</v>
      </c>
      <c r="J374" s="5">
        <f t="shared" si="23"/>
        <v>3</v>
      </c>
    </row>
    <row r="375" spans="1:10" x14ac:dyDescent="0.2">
      <c r="A375">
        <v>138</v>
      </c>
      <c r="B375" t="s">
        <v>423</v>
      </c>
      <c r="C375">
        <v>52</v>
      </c>
      <c r="D375" s="5">
        <f t="shared" si="20"/>
        <v>329.63372180082422</v>
      </c>
      <c r="E375" s="5">
        <f t="shared" si="22"/>
        <v>3</v>
      </c>
      <c r="F375" s="4">
        <v>133.5</v>
      </c>
      <c r="G375" s="5" t="s">
        <v>118</v>
      </c>
      <c r="H375" s="5">
        <v>57</v>
      </c>
      <c r="I375" s="5">
        <f t="shared" si="21"/>
        <v>440.01010976071973</v>
      </c>
      <c r="J375" s="5">
        <f t="shared" si="23"/>
        <v>4</v>
      </c>
    </row>
    <row r="376" spans="1:10" x14ac:dyDescent="0.2">
      <c r="A376">
        <v>138.5</v>
      </c>
      <c r="B376" t="s">
        <v>219</v>
      </c>
      <c r="C376">
        <v>55</v>
      </c>
      <c r="D376" s="5">
        <f t="shared" si="20"/>
        <v>392.00377257605692</v>
      </c>
      <c r="E376" s="5">
        <f t="shared" si="22"/>
        <v>3</v>
      </c>
      <c r="F376" s="4">
        <v>133.75</v>
      </c>
      <c r="G376" s="5" t="s">
        <v>247</v>
      </c>
      <c r="H376" s="5">
        <v>50</v>
      </c>
      <c r="I376" s="5">
        <f t="shared" si="21"/>
        <v>293.66975814369101</v>
      </c>
      <c r="J376" s="5">
        <f t="shared" si="23"/>
        <v>7</v>
      </c>
    </row>
    <row r="377" spans="1:10" x14ac:dyDescent="0.2">
      <c r="A377">
        <v>139</v>
      </c>
      <c r="B377" t="s">
        <v>424</v>
      </c>
      <c r="C377">
        <v>52</v>
      </c>
      <c r="D377" s="5">
        <f t="shared" si="20"/>
        <v>329.63372180082422</v>
      </c>
      <c r="E377" s="5">
        <f t="shared" si="22"/>
        <v>3</v>
      </c>
      <c r="F377" s="4">
        <v>134</v>
      </c>
      <c r="G377" s="5" t="s">
        <v>202</v>
      </c>
      <c r="H377" s="5">
        <v>53</v>
      </c>
      <c r="I377" s="5">
        <f t="shared" si="21"/>
        <v>349.23506143398839</v>
      </c>
      <c r="J377" s="5">
        <f t="shared" si="23"/>
        <v>3</v>
      </c>
    </row>
    <row r="378" spans="1:10" x14ac:dyDescent="0.2">
      <c r="A378">
        <v>139.5</v>
      </c>
      <c r="B378" t="s">
        <v>219</v>
      </c>
      <c r="C378">
        <v>55</v>
      </c>
      <c r="D378" s="5">
        <f t="shared" si="20"/>
        <v>392.00377257605692</v>
      </c>
      <c r="E378" s="5">
        <f t="shared" si="22"/>
        <v>3</v>
      </c>
      <c r="F378" s="4">
        <v>134.5</v>
      </c>
      <c r="G378" s="5" t="s">
        <v>250</v>
      </c>
      <c r="H378" s="5">
        <v>55</v>
      </c>
      <c r="I378" s="5">
        <f t="shared" si="21"/>
        <v>392.00377257605692</v>
      </c>
      <c r="J378" s="5">
        <f t="shared" si="23"/>
        <v>2</v>
      </c>
    </row>
    <row r="379" spans="1:10" x14ac:dyDescent="0.2">
      <c r="A379">
        <v>140</v>
      </c>
      <c r="B379" t="s">
        <v>281</v>
      </c>
      <c r="C379">
        <v>50</v>
      </c>
      <c r="D379" s="5">
        <f t="shared" si="20"/>
        <v>293.66975814369101</v>
      </c>
      <c r="E379" s="5">
        <f t="shared" si="22"/>
        <v>5</v>
      </c>
      <c r="F379" s="4">
        <v>135</v>
      </c>
      <c r="G379" s="5" t="s">
        <v>248</v>
      </c>
      <c r="H379" s="5">
        <v>57</v>
      </c>
      <c r="I379" s="5">
        <f t="shared" si="21"/>
        <v>440.01010976071973</v>
      </c>
      <c r="J379" s="5">
        <f t="shared" si="23"/>
        <v>2</v>
      </c>
    </row>
    <row r="380" spans="1:10" x14ac:dyDescent="0.2">
      <c r="A380">
        <v>140.25</v>
      </c>
      <c r="B380" t="s">
        <v>282</v>
      </c>
      <c r="C380">
        <v>57</v>
      </c>
      <c r="D380" s="5">
        <f t="shared" si="20"/>
        <v>440.01010976071973</v>
      </c>
      <c r="E380" s="5">
        <f t="shared" si="22"/>
        <v>7</v>
      </c>
      <c r="F380" s="4">
        <v>135.5</v>
      </c>
      <c r="G380" s="5" t="s">
        <v>247</v>
      </c>
      <c r="H380" s="5">
        <v>50</v>
      </c>
      <c r="I380" s="5">
        <f t="shared" si="21"/>
        <v>293.66975814369101</v>
      </c>
      <c r="J380" s="5">
        <f t="shared" si="23"/>
        <v>7</v>
      </c>
    </row>
    <row r="381" spans="1:10" x14ac:dyDescent="0.2">
      <c r="A381">
        <v>140.5</v>
      </c>
      <c r="B381" t="s">
        <v>283</v>
      </c>
      <c r="C381">
        <v>59</v>
      </c>
      <c r="D381" s="5">
        <f t="shared" si="20"/>
        <v>493.89549345236594</v>
      </c>
      <c r="E381" s="5">
        <f t="shared" si="22"/>
        <v>2</v>
      </c>
      <c r="F381" s="4">
        <v>136</v>
      </c>
      <c r="G381" s="5" t="s">
        <v>342</v>
      </c>
      <c r="H381" s="5">
        <v>45</v>
      </c>
      <c r="I381" s="5">
        <f t="shared" si="21"/>
        <v>220.00279814001337</v>
      </c>
      <c r="J381" s="5">
        <f t="shared" si="23"/>
        <v>5</v>
      </c>
    </row>
    <row r="382" spans="1:10" x14ac:dyDescent="0.2">
      <c r="A382">
        <v>140.75</v>
      </c>
      <c r="B382" t="s">
        <v>219</v>
      </c>
      <c r="C382">
        <v>55</v>
      </c>
      <c r="D382" s="5">
        <f t="shared" si="20"/>
        <v>392.00377257605692</v>
      </c>
      <c r="E382" s="5">
        <f t="shared" si="22"/>
        <v>4</v>
      </c>
      <c r="F382" s="4">
        <v>136.25</v>
      </c>
      <c r="G382" s="5" t="s">
        <v>385</v>
      </c>
      <c r="H382">
        <v>47</v>
      </c>
      <c r="I382" s="5">
        <f t="shared" si="21"/>
        <v>246.94521361646048</v>
      </c>
      <c r="J382" s="5">
        <f t="shared" si="23"/>
        <v>2</v>
      </c>
    </row>
    <row r="383" spans="1:10" x14ac:dyDescent="0.2">
      <c r="A383">
        <v>141</v>
      </c>
      <c r="B383" t="s">
        <v>284</v>
      </c>
      <c r="C383">
        <v>59</v>
      </c>
      <c r="D383" s="5">
        <f t="shared" si="20"/>
        <v>493.89549345236594</v>
      </c>
      <c r="E383" s="5">
        <f t="shared" si="22"/>
        <v>4</v>
      </c>
      <c r="F383" s="4">
        <v>136.5</v>
      </c>
      <c r="G383" s="5" t="s">
        <v>386</v>
      </c>
      <c r="H383">
        <v>48</v>
      </c>
      <c r="I383" s="5">
        <f t="shared" si="21"/>
        <v>261.62956379894968</v>
      </c>
      <c r="J383" s="5">
        <f t="shared" si="23"/>
        <v>1</v>
      </c>
    </row>
    <row r="384" spans="1:10" x14ac:dyDescent="0.2">
      <c r="A384">
        <v>141.5</v>
      </c>
      <c r="B384" t="s">
        <v>219</v>
      </c>
      <c r="C384">
        <v>55</v>
      </c>
      <c r="D384" s="5">
        <f t="shared" si="20"/>
        <v>392.00377257605692</v>
      </c>
      <c r="E384" s="5">
        <f t="shared" si="22"/>
        <v>4</v>
      </c>
      <c r="F384" s="4">
        <v>136.75</v>
      </c>
      <c r="G384" s="5" t="s">
        <v>247</v>
      </c>
      <c r="H384">
        <v>50</v>
      </c>
      <c r="I384" s="5">
        <f t="shared" si="21"/>
        <v>293.66975814369101</v>
      </c>
      <c r="J384" s="5">
        <f t="shared" si="23"/>
        <v>2</v>
      </c>
    </row>
    <row r="385" spans="1:10" x14ac:dyDescent="0.2">
      <c r="A385">
        <v>141.75</v>
      </c>
      <c r="B385" t="s">
        <v>281</v>
      </c>
      <c r="C385">
        <v>50</v>
      </c>
      <c r="D385" s="5">
        <f t="shared" si="20"/>
        <v>293.66975814369101</v>
      </c>
      <c r="E385" s="5">
        <f t="shared" si="22"/>
        <v>5</v>
      </c>
      <c r="F385" s="4">
        <v>137</v>
      </c>
      <c r="G385" s="5" t="s">
        <v>386</v>
      </c>
      <c r="H385">
        <v>48</v>
      </c>
      <c r="I385" s="5">
        <f t="shared" si="21"/>
        <v>261.62956379894968</v>
      </c>
      <c r="J385" s="5">
        <f t="shared" si="23"/>
        <v>2</v>
      </c>
    </row>
    <row r="386" spans="1:10" x14ac:dyDescent="0.2">
      <c r="A386">
        <v>142</v>
      </c>
      <c r="B386" t="s">
        <v>284</v>
      </c>
      <c r="C386">
        <v>59</v>
      </c>
      <c r="D386" s="5">
        <f t="shared" si="20"/>
        <v>493.89549345236594</v>
      </c>
      <c r="E386" s="5">
        <f t="shared" si="22"/>
        <v>9</v>
      </c>
      <c r="F386" s="4">
        <v>137.5</v>
      </c>
      <c r="G386" s="5" t="s">
        <v>38</v>
      </c>
      <c r="H386">
        <v>52</v>
      </c>
      <c r="I386" s="5">
        <f t="shared" si="21"/>
        <v>329.63372180082422</v>
      </c>
      <c r="J386" s="5">
        <f t="shared" si="23"/>
        <v>4</v>
      </c>
    </row>
    <row r="387" spans="1:10" x14ac:dyDescent="0.2">
      <c r="A387">
        <v>142.5</v>
      </c>
      <c r="B387" t="s">
        <v>286</v>
      </c>
      <c r="C387">
        <v>55</v>
      </c>
      <c r="D387" s="5">
        <f t="shared" si="20"/>
        <v>392.00377257605692</v>
      </c>
      <c r="E387" s="5">
        <f t="shared" si="22"/>
        <v>4</v>
      </c>
      <c r="F387" s="4">
        <v>137.75</v>
      </c>
      <c r="G387" s="5" t="s">
        <v>247</v>
      </c>
      <c r="H387">
        <v>50</v>
      </c>
      <c r="I387" s="5">
        <f t="shared" si="21"/>
        <v>293.66975814369101</v>
      </c>
      <c r="J387" s="5">
        <f t="shared" si="23"/>
        <v>2</v>
      </c>
    </row>
    <row r="388" spans="1:10" x14ac:dyDescent="0.2">
      <c r="A388">
        <v>143</v>
      </c>
      <c r="B388" t="s">
        <v>287</v>
      </c>
      <c r="C388">
        <v>62</v>
      </c>
      <c r="D388" s="5">
        <f t="shared" ref="D388:D451" si="24">16.35117682*1.059464^C388</f>
        <v>587.34554108704231</v>
      </c>
      <c r="E388" s="5">
        <f t="shared" si="22"/>
        <v>7</v>
      </c>
      <c r="F388" s="4">
        <v>138</v>
      </c>
      <c r="G388" s="5" t="s">
        <v>386</v>
      </c>
      <c r="H388">
        <v>48</v>
      </c>
      <c r="I388" s="5">
        <f t="shared" ref="I388:I451" si="25">16.35117682*1.059464^H388</f>
        <v>261.62956379894968</v>
      </c>
      <c r="J388" s="5">
        <f t="shared" si="23"/>
        <v>2</v>
      </c>
    </row>
    <row r="389" spans="1:10" x14ac:dyDescent="0.2">
      <c r="A389">
        <v>143.5</v>
      </c>
      <c r="B389" t="s">
        <v>219</v>
      </c>
      <c r="C389">
        <v>55</v>
      </c>
      <c r="D389" s="5">
        <f t="shared" si="24"/>
        <v>392.00377257605692</v>
      </c>
      <c r="E389" s="5">
        <f t="shared" ref="E389:E452" si="26">ABS( C389-C388)</f>
        <v>7</v>
      </c>
      <c r="F389" s="4">
        <v>138.5</v>
      </c>
      <c r="G389" s="5" t="s">
        <v>250</v>
      </c>
      <c r="H389">
        <v>55</v>
      </c>
      <c r="I389" s="5">
        <f t="shared" si="25"/>
        <v>392.00377257605692</v>
      </c>
      <c r="J389" s="5">
        <f t="shared" ref="J389:J452" si="27">ABS( H389-H388)</f>
        <v>7</v>
      </c>
    </row>
    <row r="390" spans="1:10" x14ac:dyDescent="0.2">
      <c r="A390">
        <v>144</v>
      </c>
      <c r="B390" t="s">
        <v>288</v>
      </c>
      <c r="C390">
        <v>50</v>
      </c>
      <c r="D390" s="5">
        <f t="shared" si="24"/>
        <v>293.66975814369101</v>
      </c>
      <c r="E390" s="5">
        <f t="shared" si="26"/>
        <v>5</v>
      </c>
      <c r="F390" s="4">
        <v>139</v>
      </c>
      <c r="G390" s="5" t="s">
        <v>38</v>
      </c>
      <c r="H390">
        <v>52</v>
      </c>
      <c r="I390" s="5">
        <f t="shared" si="25"/>
        <v>329.63372180082422</v>
      </c>
      <c r="J390" s="5">
        <f t="shared" si="27"/>
        <v>3</v>
      </c>
    </row>
    <row r="391" spans="1:10" x14ac:dyDescent="0.2">
      <c r="A391">
        <v>144.25</v>
      </c>
      <c r="B391" t="s">
        <v>289</v>
      </c>
      <c r="C391">
        <v>57</v>
      </c>
      <c r="D391" s="5">
        <f t="shared" si="24"/>
        <v>440.01010976071973</v>
      </c>
      <c r="E391" s="5">
        <f t="shared" si="26"/>
        <v>7</v>
      </c>
      <c r="F391" s="4">
        <v>139.5</v>
      </c>
      <c r="G391" s="5" t="s">
        <v>247</v>
      </c>
      <c r="H391">
        <v>50</v>
      </c>
      <c r="I391" s="5">
        <f t="shared" si="25"/>
        <v>293.66975814369101</v>
      </c>
      <c r="J391" s="5">
        <f t="shared" si="27"/>
        <v>2</v>
      </c>
    </row>
    <row r="392" spans="1:10" x14ac:dyDescent="0.2">
      <c r="A392">
        <v>144.5</v>
      </c>
      <c r="B392" t="s">
        <v>284</v>
      </c>
      <c r="C392">
        <v>59</v>
      </c>
      <c r="D392" s="5">
        <f t="shared" si="24"/>
        <v>493.89549345236594</v>
      </c>
      <c r="E392" s="5">
        <f t="shared" si="26"/>
        <v>2</v>
      </c>
      <c r="F392" s="4">
        <v>140</v>
      </c>
      <c r="G392" s="5" t="s">
        <v>337</v>
      </c>
      <c r="H392">
        <v>45</v>
      </c>
      <c r="I392" s="5">
        <f t="shared" si="25"/>
        <v>220.00279814001337</v>
      </c>
      <c r="J392" s="5">
        <f t="shared" si="27"/>
        <v>5</v>
      </c>
    </row>
    <row r="393" spans="1:10" x14ac:dyDescent="0.2">
      <c r="A393">
        <v>144.75</v>
      </c>
      <c r="B393" t="s">
        <v>219</v>
      </c>
      <c r="C393">
        <v>55</v>
      </c>
      <c r="D393" s="5">
        <f t="shared" si="24"/>
        <v>392.00377257605692</v>
      </c>
      <c r="E393" s="5">
        <f t="shared" si="26"/>
        <v>4</v>
      </c>
      <c r="F393" s="4">
        <v>140.25</v>
      </c>
      <c r="G393" s="5" t="s">
        <v>202</v>
      </c>
      <c r="H393">
        <v>53</v>
      </c>
      <c r="I393" s="5">
        <f t="shared" si="25"/>
        <v>349.23506143398839</v>
      </c>
      <c r="J393" s="5">
        <f t="shared" si="27"/>
        <v>8</v>
      </c>
    </row>
    <row r="394" spans="1:10" x14ac:dyDescent="0.2">
      <c r="A394">
        <v>145</v>
      </c>
      <c r="B394" t="s">
        <v>284</v>
      </c>
      <c r="C394">
        <v>59</v>
      </c>
      <c r="D394" s="5">
        <f t="shared" si="24"/>
        <v>493.89549345236594</v>
      </c>
      <c r="E394" s="5">
        <f t="shared" si="26"/>
        <v>4</v>
      </c>
      <c r="F394" s="4">
        <v>140.5</v>
      </c>
      <c r="G394" s="5" t="s">
        <v>338</v>
      </c>
      <c r="H394">
        <v>55</v>
      </c>
      <c r="I394" s="5">
        <f t="shared" si="25"/>
        <v>392.00377257605692</v>
      </c>
      <c r="J394" s="5">
        <f t="shared" si="27"/>
        <v>2</v>
      </c>
    </row>
    <row r="395" spans="1:10" x14ac:dyDescent="0.2">
      <c r="A395">
        <v>145.5</v>
      </c>
      <c r="B395" t="s">
        <v>219</v>
      </c>
      <c r="C395">
        <v>55</v>
      </c>
      <c r="D395" s="5">
        <f t="shared" si="24"/>
        <v>392.00377257605692</v>
      </c>
      <c r="E395" s="5">
        <f t="shared" si="26"/>
        <v>4</v>
      </c>
      <c r="F395" s="4">
        <v>140.75</v>
      </c>
      <c r="G395" s="5" t="s">
        <v>247</v>
      </c>
      <c r="H395">
        <v>50</v>
      </c>
      <c r="I395" s="5">
        <f t="shared" si="25"/>
        <v>293.66975814369101</v>
      </c>
      <c r="J395" s="5">
        <f t="shared" si="27"/>
        <v>5</v>
      </c>
    </row>
    <row r="396" spans="1:10" x14ac:dyDescent="0.2">
      <c r="A396">
        <v>145.75</v>
      </c>
      <c r="B396" t="s">
        <v>373</v>
      </c>
      <c r="C396" s="5">
        <v>50</v>
      </c>
      <c r="D396" s="5">
        <f t="shared" si="24"/>
        <v>293.66975814369101</v>
      </c>
      <c r="E396" s="5">
        <f t="shared" si="26"/>
        <v>5</v>
      </c>
      <c r="F396" s="4">
        <v>141</v>
      </c>
      <c r="G396" s="5" t="s">
        <v>250</v>
      </c>
      <c r="H396">
        <v>55</v>
      </c>
      <c r="I396" s="5">
        <f t="shared" si="25"/>
        <v>392.00377257605692</v>
      </c>
      <c r="J396" s="5">
        <f t="shared" si="27"/>
        <v>5</v>
      </c>
    </row>
    <row r="397" spans="1:10" x14ac:dyDescent="0.2">
      <c r="A397">
        <v>146</v>
      </c>
      <c r="B397" t="s">
        <v>283</v>
      </c>
      <c r="C397" s="5">
        <v>59</v>
      </c>
      <c r="D397" s="5">
        <f t="shared" si="24"/>
        <v>493.89549345236594</v>
      </c>
      <c r="E397" s="5">
        <f t="shared" si="26"/>
        <v>9</v>
      </c>
      <c r="F397" s="4">
        <v>141.5</v>
      </c>
      <c r="G397" s="5" t="s">
        <v>339</v>
      </c>
      <c r="H397">
        <v>59</v>
      </c>
      <c r="I397" s="5">
        <f t="shared" si="25"/>
        <v>493.89549345236594</v>
      </c>
      <c r="J397" s="5">
        <f t="shared" si="27"/>
        <v>4</v>
      </c>
    </row>
    <row r="398" spans="1:10" x14ac:dyDescent="0.2">
      <c r="A398">
        <v>146.5</v>
      </c>
      <c r="B398" t="s">
        <v>219</v>
      </c>
      <c r="C398" s="5">
        <v>55</v>
      </c>
      <c r="D398" s="5">
        <f t="shared" si="24"/>
        <v>392.00377257605692</v>
      </c>
      <c r="E398" s="5">
        <f t="shared" si="26"/>
        <v>4</v>
      </c>
      <c r="F398" s="4">
        <v>141.75</v>
      </c>
      <c r="G398" s="5" t="s">
        <v>340</v>
      </c>
      <c r="H398">
        <v>50</v>
      </c>
      <c r="I398" s="5">
        <f t="shared" si="25"/>
        <v>293.66975814369101</v>
      </c>
      <c r="J398" s="5">
        <f t="shared" si="27"/>
        <v>9</v>
      </c>
    </row>
    <row r="399" spans="1:10" x14ac:dyDescent="0.2">
      <c r="A399">
        <v>147</v>
      </c>
      <c r="B399" t="s">
        <v>285</v>
      </c>
      <c r="C399" s="5">
        <v>62</v>
      </c>
      <c r="D399" s="5">
        <f t="shared" si="24"/>
        <v>587.34554108704231</v>
      </c>
      <c r="E399" s="5">
        <f t="shared" si="26"/>
        <v>7</v>
      </c>
      <c r="F399" s="4">
        <v>142</v>
      </c>
      <c r="G399" s="5" t="s">
        <v>250</v>
      </c>
      <c r="H399">
        <v>55</v>
      </c>
      <c r="I399" s="5">
        <f t="shared" si="25"/>
        <v>392.00377257605692</v>
      </c>
      <c r="J399" s="5">
        <f t="shared" si="27"/>
        <v>5</v>
      </c>
    </row>
    <row r="400" spans="1:10" x14ac:dyDescent="0.2">
      <c r="A400">
        <v>147.5</v>
      </c>
      <c r="B400" t="s">
        <v>219</v>
      </c>
      <c r="C400" s="5">
        <v>55</v>
      </c>
      <c r="D400" s="5">
        <f t="shared" si="24"/>
        <v>392.00377257605692</v>
      </c>
      <c r="E400" s="5">
        <f t="shared" si="26"/>
        <v>7</v>
      </c>
      <c r="F400" s="4">
        <v>142.5</v>
      </c>
      <c r="G400" s="5" t="s">
        <v>250</v>
      </c>
      <c r="H400">
        <v>55</v>
      </c>
      <c r="I400" s="5">
        <f t="shared" si="25"/>
        <v>392.00377257605692</v>
      </c>
      <c r="J400" s="5">
        <f t="shared" si="27"/>
        <v>0</v>
      </c>
    </row>
    <row r="401" spans="1:10" x14ac:dyDescent="0.2">
      <c r="A401">
        <v>148</v>
      </c>
      <c r="B401" t="s">
        <v>375</v>
      </c>
      <c r="C401" s="5">
        <v>50</v>
      </c>
      <c r="D401" s="5">
        <f t="shared" si="24"/>
        <v>293.66975814369101</v>
      </c>
      <c r="E401" s="5">
        <f t="shared" si="26"/>
        <v>5</v>
      </c>
      <c r="F401" s="4">
        <v>143</v>
      </c>
      <c r="G401" s="5" t="s">
        <v>341</v>
      </c>
      <c r="H401">
        <v>59</v>
      </c>
      <c r="I401" s="5">
        <f t="shared" si="25"/>
        <v>493.89549345236594</v>
      </c>
      <c r="J401" s="5">
        <f t="shared" si="27"/>
        <v>4</v>
      </c>
    </row>
    <row r="402" spans="1:10" x14ac:dyDescent="0.2">
      <c r="A402">
        <v>148.25</v>
      </c>
      <c r="B402" t="s">
        <v>374</v>
      </c>
      <c r="C402" s="5">
        <v>55</v>
      </c>
      <c r="D402" s="5">
        <f t="shared" si="24"/>
        <v>392.00377257605692</v>
      </c>
      <c r="E402" s="5">
        <f t="shared" si="26"/>
        <v>5</v>
      </c>
      <c r="F402" s="4">
        <v>143.5</v>
      </c>
      <c r="G402" s="5" t="s">
        <v>247</v>
      </c>
      <c r="H402">
        <v>50</v>
      </c>
      <c r="I402" s="5">
        <f t="shared" si="25"/>
        <v>293.66975814369101</v>
      </c>
      <c r="J402" s="5">
        <f t="shared" si="27"/>
        <v>9</v>
      </c>
    </row>
    <row r="403" spans="1:10" x14ac:dyDescent="0.2">
      <c r="A403">
        <v>148.5</v>
      </c>
      <c r="B403" t="s">
        <v>381</v>
      </c>
      <c r="C403" s="5">
        <v>57</v>
      </c>
      <c r="D403" s="5">
        <f t="shared" si="24"/>
        <v>440.01010976071973</v>
      </c>
      <c r="E403" s="5">
        <f t="shared" si="26"/>
        <v>2</v>
      </c>
      <c r="F403" s="4">
        <v>144</v>
      </c>
      <c r="G403" s="5" t="s">
        <v>337</v>
      </c>
      <c r="H403">
        <v>45</v>
      </c>
      <c r="I403" s="5">
        <f t="shared" si="25"/>
        <v>220.00279814001337</v>
      </c>
      <c r="J403" s="5">
        <f t="shared" si="27"/>
        <v>5</v>
      </c>
    </row>
    <row r="404" spans="1:10" x14ac:dyDescent="0.2">
      <c r="A404">
        <v>148.75</v>
      </c>
      <c r="B404" t="s">
        <v>374</v>
      </c>
      <c r="C404" s="5">
        <v>55</v>
      </c>
      <c r="D404" s="5">
        <f t="shared" si="24"/>
        <v>392.00377257605692</v>
      </c>
      <c r="E404" s="5">
        <f t="shared" si="26"/>
        <v>2</v>
      </c>
      <c r="F404" s="4">
        <v>144.25</v>
      </c>
      <c r="G404" s="5" t="s">
        <v>202</v>
      </c>
      <c r="H404">
        <v>53</v>
      </c>
      <c r="I404" s="5">
        <f t="shared" si="25"/>
        <v>349.23506143398839</v>
      </c>
      <c r="J404" s="5">
        <f t="shared" si="27"/>
        <v>8</v>
      </c>
    </row>
    <row r="405" spans="1:10" x14ac:dyDescent="0.2">
      <c r="A405">
        <v>149</v>
      </c>
      <c r="B405" t="s">
        <v>282</v>
      </c>
      <c r="C405" s="5">
        <v>57</v>
      </c>
      <c r="D405" s="5">
        <f t="shared" si="24"/>
        <v>440.01010976071973</v>
      </c>
      <c r="E405" s="5">
        <f t="shared" si="26"/>
        <v>2</v>
      </c>
      <c r="F405" s="4">
        <v>144.5</v>
      </c>
      <c r="G405" s="5" t="s">
        <v>250</v>
      </c>
      <c r="H405">
        <v>55</v>
      </c>
      <c r="I405" s="5">
        <f t="shared" si="25"/>
        <v>392.00377257605692</v>
      </c>
      <c r="J405" s="5">
        <f t="shared" si="27"/>
        <v>2</v>
      </c>
    </row>
    <row r="406" spans="1:10" x14ac:dyDescent="0.2">
      <c r="A406">
        <v>149.5</v>
      </c>
      <c r="B406" t="s">
        <v>382</v>
      </c>
      <c r="C406" s="5">
        <v>55</v>
      </c>
      <c r="D406" s="5">
        <f t="shared" si="24"/>
        <v>392.00377257605692</v>
      </c>
      <c r="E406" s="5">
        <f t="shared" si="26"/>
        <v>2</v>
      </c>
      <c r="F406" s="4">
        <v>144.75</v>
      </c>
      <c r="G406" s="5" t="s">
        <v>247</v>
      </c>
      <c r="H406">
        <v>50</v>
      </c>
      <c r="I406" s="5">
        <f t="shared" si="25"/>
        <v>293.66975814369101</v>
      </c>
      <c r="J406" s="5">
        <f t="shared" si="27"/>
        <v>5</v>
      </c>
    </row>
    <row r="407" spans="1:10" x14ac:dyDescent="0.2">
      <c r="A407">
        <v>149.75</v>
      </c>
      <c r="B407" t="s">
        <v>281</v>
      </c>
      <c r="C407" s="5">
        <v>50</v>
      </c>
      <c r="D407" s="5">
        <f t="shared" si="24"/>
        <v>293.66975814369101</v>
      </c>
      <c r="E407" s="5">
        <f t="shared" si="26"/>
        <v>5</v>
      </c>
      <c r="F407" s="4">
        <v>145</v>
      </c>
      <c r="G407" s="5" t="s">
        <v>250</v>
      </c>
      <c r="H407">
        <v>55</v>
      </c>
      <c r="I407" s="5">
        <f t="shared" si="25"/>
        <v>392.00377257605692</v>
      </c>
      <c r="J407" s="5">
        <f t="shared" si="27"/>
        <v>5</v>
      </c>
    </row>
    <row r="408" spans="1:10" x14ac:dyDescent="0.2">
      <c r="A408">
        <v>150</v>
      </c>
      <c r="B408" t="s">
        <v>282</v>
      </c>
      <c r="C408" s="5">
        <v>57</v>
      </c>
      <c r="D408" s="5">
        <f t="shared" si="24"/>
        <v>440.01010976071973</v>
      </c>
      <c r="E408" s="5">
        <f t="shared" si="26"/>
        <v>7</v>
      </c>
      <c r="F408" s="4">
        <v>145.5</v>
      </c>
      <c r="G408" s="5" t="s">
        <v>341</v>
      </c>
      <c r="H408">
        <v>59</v>
      </c>
      <c r="I408" s="5">
        <f t="shared" si="25"/>
        <v>493.89549345236594</v>
      </c>
      <c r="J408" s="5">
        <f t="shared" si="27"/>
        <v>4</v>
      </c>
    </row>
    <row r="409" spans="1:10" x14ac:dyDescent="0.2">
      <c r="A409">
        <v>150.5</v>
      </c>
      <c r="B409" t="s">
        <v>286</v>
      </c>
      <c r="C409" s="5">
        <v>55</v>
      </c>
      <c r="D409" s="5">
        <f t="shared" si="24"/>
        <v>392.00377257605692</v>
      </c>
      <c r="E409" s="5">
        <f t="shared" si="26"/>
        <v>2</v>
      </c>
      <c r="F409" s="4">
        <v>145.75</v>
      </c>
      <c r="G409" s="5" t="s">
        <v>247</v>
      </c>
      <c r="H409">
        <v>50</v>
      </c>
      <c r="I409" s="5">
        <f t="shared" si="25"/>
        <v>293.66975814369101</v>
      </c>
      <c r="J409" s="5">
        <f t="shared" si="27"/>
        <v>9</v>
      </c>
    </row>
    <row r="410" spans="1:10" x14ac:dyDescent="0.2">
      <c r="A410">
        <v>151</v>
      </c>
      <c r="B410" t="s">
        <v>383</v>
      </c>
      <c r="C410" s="5">
        <v>60</v>
      </c>
      <c r="D410" s="5">
        <f t="shared" si="24"/>
        <v>523.26449507501752</v>
      </c>
      <c r="E410" s="5">
        <f t="shared" si="26"/>
        <v>5</v>
      </c>
      <c r="F410" s="4">
        <v>146</v>
      </c>
      <c r="G410" s="5" t="s">
        <v>250</v>
      </c>
      <c r="H410">
        <v>55</v>
      </c>
      <c r="I410" s="5">
        <f t="shared" si="25"/>
        <v>392.00377257605692</v>
      </c>
      <c r="J410" s="5">
        <f t="shared" si="27"/>
        <v>5</v>
      </c>
    </row>
    <row r="411" spans="1:10" x14ac:dyDescent="0.2">
      <c r="A411">
        <v>151.5</v>
      </c>
      <c r="B411" t="s">
        <v>219</v>
      </c>
      <c r="C411" s="5">
        <v>55</v>
      </c>
      <c r="D411" s="5">
        <f t="shared" si="24"/>
        <v>392.00377257605692</v>
      </c>
      <c r="E411" s="5">
        <f t="shared" si="26"/>
        <v>5</v>
      </c>
      <c r="F411" s="4">
        <v>146.5</v>
      </c>
      <c r="G411" s="5" t="s">
        <v>250</v>
      </c>
      <c r="H411">
        <v>55</v>
      </c>
      <c r="I411" s="5">
        <f t="shared" si="25"/>
        <v>392.00377257605692</v>
      </c>
      <c r="J411" s="5">
        <f t="shared" si="27"/>
        <v>0</v>
      </c>
    </row>
    <row r="412" spans="1:10" x14ac:dyDescent="0.2">
      <c r="A412">
        <v>152</v>
      </c>
      <c r="B412" t="s">
        <v>281</v>
      </c>
      <c r="C412" s="5">
        <v>50</v>
      </c>
      <c r="D412" s="5">
        <f t="shared" si="24"/>
        <v>293.66975814369101</v>
      </c>
      <c r="E412" s="5">
        <f t="shared" si="26"/>
        <v>5</v>
      </c>
      <c r="F412" s="4">
        <v>147</v>
      </c>
      <c r="G412" s="5" t="s">
        <v>249</v>
      </c>
      <c r="H412">
        <v>59</v>
      </c>
      <c r="I412" s="5">
        <f t="shared" si="25"/>
        <v>493.89549345236594</v>
      </c>
      <c r="J412" s="5">
        <f t="shared" si="27"/>
        <v>4</v>
      </c>
    </row>
    <row r="413" spans="1:10" x14ac:dyDescent="0.2">
      <c r="A413">
        <v>152.25</v>
      </c>
      <c r="B413" t="s">
        <v>423</v>
      </c>
      <c r="C413" s="5">
        <v>52</v>
      </c>
      <c r="D413" s="5">
        <f t="shared" si="24"/>
        <v>329.63372180082422</v>
      </c>
      <c r="E413" s="5">
        <f t="shared" si="26"/>
        <v>2</v>
      </c>
      <c r="F413" s="4">
        <v>147.5</v>
      </c>
      <c r="G413" s="5" t="s">
        <v>247</v>
      </c>
      <c r="H413">
        <v>50</v>
      </c>
      <c r="I413" s="5">
        <f t="shared" si="25"/>
        <v>293.66975814369101</v>
      </c>
      <c r="J413" s="5">
        <f t="shared" si="27"/>
        <v>9</v>
      </c>
    </row>
    <row r="414" spans="1:10" x14ac:dyDescent="0.2">
      <c r="A414">
        <v>152.5</v>
      </c>
      <c r="B414" t="s">
        <v>218</v>
      </c>
      <c r="C414" s="5">
        <v>53</v>
      </c>
      <c r="D414" s="5">
        <f t="shared" si="24"/>
        <v>349.23506143398839</v>
      </c>
      <c r="E414" s="5">
        <f t="shared" si="26"/>
        <v>1</v>
      </c>
      <c r="F414" s="4">
        <v>148</v>
      </c>
      <c r="G414" s="5" t="s">
        <v>337</v>
      </c>
      <c r="H414">
        <v>45</v>
      </c>
      <c r="I414" s="5">
        <f t="shared" si="25"/>
        <v>220.00279814001337</v>
      </c>
      <c r="J414" s="5">
        <f t="shared" si="27"/>
        <v>5</v>
      </c>
    </row>
    <row r="415" spans="1:10" x14ac:dyDescent="0.2">
      <c r="A415">
        <v>152.75</v>
      </c>
      <c r="B415" t="s">
        <v>219</v>
      </c>
      <c r="C415" s="5">
        <v>55</v>
      </c>
      <c r="D415" s="5">
        <f t="shared" si="24"/>
        <v>392.00377257605692</v>
      </c>
      <c r="E415" s="5">
        <f t="shared" si="26"/>
        <v>2</v>
      </c>
      <c r="F415" s="4">
        <v>148.25</v>
      </c>
      <c r="G415" s="5" t="s">
        <v>38</v>
      </c>
      <c r="H415">
        <v>52</v>
      </c>
      <c r="I415" s="5">
        <f t="shared" si="25"/>
        <v>329.63372180082422</v>
      </c>
      <c r="J415" s="5">
        <f t="shared" si="27"/>
        <v>7</v>
      </c>
    </row>
    <row r="416" spans="1:10" x14ac:dyDescent="0.2">
      <c r="A416">
        <v>153</v>
      </c>
      <c r="B416" t="s">
        <v>423</v>
      </c>
      <c r="C416" s="5">
        <v>52</v>
      </c>
      <c r="D416" s="5">
        <f t="shared" si="24"/>
        <v>329.63372180082422</v>
      </c>
      <c r="E416" s="5">
        <f t="shared" si="26"/>
        <v>3</v>
      </c>
      <c r="F416" s="4">
        <v>148.5</v>
      </c>
      <c r="G416" s="5" t="s">
        <v>202</v>
      </c>
      <c r="H416">
        <v>53</v>
      </c>
      <c r="I416" s="5">
        <f t="shared" si="25"/>
        <v>349.23506143398839</v>
      </c>
      <c r="J416" s="5">
        <f t="shared" si="27"/>
        <v>1</v>
      </c>
    </row>
    <row r="417" spans="1:10" x14ac:dyDescent="0.2">
      <c r="A417">
        <v>153.5</v>
      </c>
      <c r="B417" t="s">
        <v>219</v>
      </c>
      <c r="C417" s="5">
        <v>55</v>
      </c>
      <c r="D417" s="5">
        <f t="shared" si="24"/>
        <v>392.00377257605692</v>
      </c>
      <c r="E417" s="5">
        <f t="shared" si="26"/>
        <v>3</v>
      </c>
      <c r="F417" s="4">
        <v>148.75</v>
      </c>
      <c r="G417" s="5" t="s">
        <v>247</v>
      </c>
      <c r="H417">
        <v>50</v>
      </c>
      <c r="I417" s="5">
        <f t="shared" si="25"/>
        <v>293.66975814369101</v>
      </c>
      <c r="J417" s="5">
        <f t="shared" si="27"/>
        <v>3</v>
      </c>
    </row>
    <row r="418" spans="1:10" x14ac:dyDescent="0.2">
      <c r="A418">
        <v>154</v>
      </c>
      <c r="B418" t="s">
        <v>423</v>
      </c>
      <c r="C418" s="5">
        <v>52</v>
      </c>
      <c r="D418" s="5">
        <f t="shared" si="24"/>
        <v>329.63372180082422</v>
      </c>
      <c r="E418" s="5">
        <f t="shared" si="26"/>
        <v>3</v>
      </c>
      <c r="F418" s="4">
        <v>149</v>
      </c>
      <c r="G418" s="5" t="s">
        <v>202</v>
      </c>
      <c r="H418">
        <v>53</v>
      </c>
      <c r="I418" s="5">
        <f t="shared" si="25"/>
        <v>349.23506143398839</v>
      </c>
      <c r="J418" s="5">
        <f t="shared" si="27"/>
        <v>3</v>
      </c>
    </row>
    <row r="419" spans="1:10" x14ac:dyDescent="0.2">
      <c r="A419">
        <v>154.5</v>
      </c>
      <c r="B419" t="s">
        <v>219</v>
      </c>
      <c r="C419" s="5">
        <v>55</v>
      </c>
      <c r="D419" s="5">
        <f t="shared" si="24"/>
        <v>392.00377257605692</v>
      </c>
      <c r="E419" s="5">
        <f t="shared" si="26"/>
        <v>3</v>
      </c>
      <c r="F419" s="4">
        <v>149.5</v>
      </c>
      <c r="G419" s="5" t="s">
        <v>118</v>
      </c>
      <c r="H419">
        <v>57</v>
      </c>
      <c r="I419" s="5">
        <f t="shared" si="25"/>
        <v>440.01010976071973</v>
      </c>
      <c r="J419" s="5">
        <f t="shared" si="27"/>
        <v>4</v>
      </c>
    </row>
    <row r="420" spans="1:10" x14ac:dyDescent="0.2">
      <c r="A420">
        <v>155</v>
      </c>
      <c r="B420" t="s">
        <v>424</v>
      </c>
      <c r="C420" s="5">
        <v>52</v>
      </c>
      <c r="D420" s="5">
        <f t="shared" si="24"/>
        <v>329.63372180082422</v>
      </c>
      <c r="E420" s="5">
        <f t="shared" si="26"/>
        <v>3</v>
      </c>
      <c r="F420" s="4">
        <v>149.75</v>
      </c>
      <c r="G420" s="5" t="s">
        <v>247</v>
      </c>
      <c r="H420">
        <v>50</v>
      </c>
      <c r="I420" s="5">
        <f t="shared" si="25"/>
        <v>293.66975814369101</v>
      </c>
      <c r="J420" s="5">
        <f t="shared" si="27"/>
        <v>7</v>
      </c>
    </row>
    <row r="421" spans="1:10" x14ac:dyDescent="0.2">
      <c r="A421">
        <v>155.5</v>
      </c>
      <c r="B421" t="s">
        <v>219</v>
      </c>
      <c r="C421" s="5">
        <v>55</v>
      </c>
      <c r="D421" s="5">
        <f t="shared" si="24"/>
        <v>392.00377257605692</v>
      </c>
      <c r="E421" s="5">
        <f t="shared" si="26"/>
        <v>3</v>
      </c>
      <c r="F421" s="4">
        <v>150</v>
      </c>
      <c r="G421" s="5" t="s">
        <v>202</v>
      </c>
      <c r="H421">
        <v>53</v>
      </c>
      <c r="I421" s="5">
        <f t="shared" si="25"/>
        <v>349.23506143398839</v>
      </c>
      <c r="J421" s="5">
        <f t="shared" si="27"/>
        <v>3</v>
      </c>
    </row>
    <row r="422" spans="1:10" x14ac:dyDescent="0.2">
      <c r="A422">
        <v>156</v>
      </c>
      <c r="B422" t="s">
        <v>281</v>
      </c>
      <c r="C422" s="5">
        <v>50</v>
      </c>
      <c r="D422" s="5">
        <f t="shared" si="24"/>
        <v>293.66975814369101</v>
      </c>
      <c r="E422" s="5">
        <f t="shared" si="26"/>
        <v>5</v>
      </c>
      <c r="F422" s="4">
        <v>150.5</v>
      </c>
      <c r="G422" s="5" t="s">
        <v>250</v>
      </c>
      <c r="H422">
        <v>55</v>
      </c>
      <c r="I422" s="5">
        <f t="shared" si="25"/>
        <v>392.00377257605692</v>
      </c>
      <c r="J422" s="5">
        <f t="shared" si="27"/>
        <v>2</v>
      </c>
    </row>
    <row r="423" spans="1:10" x14ac:dyDescent="0.2">
      <c r="A423">
        <v>156.25</v>
      </c>
      <c r="B423" t="s">
        <v>282</v>
      </c>
      <c r="C423" s="5">
        <v>57</v>
      </c>
      <c r="D423" s="5">
        <f t="shared" si="24"/>
        <v>440.01010976071973</v>
      </c>
      <c r="E423" s="5">
        <f t="shared" si="26"/>
        <v>7</v>
      </c>
      <c r="F423" s="4">
        <v>151</v>
      </c>
      <c r="G423" s="5" t="s">
        <v>248</v>
      </c>
      <c r="H423">
        <v>57</v>
      </c>
      <c r="I423" s="5">
        <f t="shared" si="25"/>
        <v>440.01010976071973</v>
      </c>
      <c r="J423" s="5">
        <f t="shared" si="27"/>
        <v>2</v>
      </c>
    </row>
    <row r="424" spans="1:10" x14ac:dyDescent="0.2">
      <c r="A424">
        <v>156.5</v>
      </c>
      <c r="B424" t="s">
        <v>283</v>
      </c>
      <c r="C424" s="5">
        <v>59</v>
      </c>
      <c r="D424" s="5">
        <f t="shared" si="24"/>
        <v>493.89549345236594</v>
      </c>
      <c r="E424" s="5">
        <f t="shared" si="26"/>
        <v>2</v>
      </c>
      <c r="F424" s="4">
        <v>151.5</v>
      </c>
      <c r="G424" s="5" t="s">
        <v>247</v>
      </c>
      <c r="H424">
        <v>50</v>
      </c>
      <c r="I424" s="5">
        <f t="shared" si="25"/>
        <v>293.66975814369101</v>
      </c>
      <c r="J424" s="5">
        <f t="shared" si="27"/>
        <v>7</v>
      </c>
    </row>
    <row r="425" spans="1:10" x14ac:dyDescent="0.2">
      <c r="A425">
        <v>156.75</v>
      </c>
      <c r="B425" t="s">
        <v>219</v>
      </c>
      <c r="C425" s="5">
        <v>55</v>
      </c>
      <c r="D425" s="5">
        <f t="shared" si="24"/>
        <v>392.00377257605692</v>
      </c>
      <c r="E425" s="5">
        <f t="shared" si="26"/>
        <v>4</v>
      </c>
      <c r="F425" s="4">
        <v>152</v>
      </c>
      <c r="G425" s="5" t="s">
        <v>342</v>
      </c>
      <c r="H425">
        <v>45</v>
      </c>
      <c r="I425" s="5">
        <f t="shared" si="25"/>
        <v>220.00279814001337</v>
      </c>
      <c r="J425" s="5">
        <f t="shared" si="27"/>
        <v>5</v>
      </c>
    </row>
    <row r="426" spans="1:10" x14ac:dyDescent="0.2">
      <c r="A426">
        <v>157</v>
      </c>
      <c r="B426" t="s">
        <v>284</v>
      </c>
      <c r="C426" s="5">
        <v>59</v>
      </c>
      <c r="D426" s="5">
        <f t="shared" si="24"/>
        <v>493.89549345236594</v>
      </c>
      <c r="E426" s="5">
        <f t="shared" si="26"/>
        <v>4</v>
      </c>
      <c r="F426" s="4">
        <v>152.25</v>
      </c>
      <c r="G426" s="5" t="s">
        <v>385</v>
      </c>
      <c r="H426">
        <v>47</v>
      </c>
      <c r="I426" s="5">
        <f t="shared" si="25"/>
        <v>246.94521361646048</v>
      </c>
      <c r="J426" s="5">
        <f t="shared" si="27"/>
        <v>2</v>
      </c>
    </row>
    <row r="427" spans="1:10" x14ac:dyDescent="0.2">
      <c r="A427">
        <v>157.5</v>
      </c>
      <c r="B427" t="s">
        <v>219</v>
      </c>
      <c r="C427" s="5">
        <v>55</v>
      </c>
      <c r="D427" s="5">
        <f t="shared" si="24"/>
        <v>392.00377257605692</v>
      </c>
      <c r="E427" s="5">
        <f t="shared" si="26"/>
        <v>4</v>
      </c>
      <c r="F427" s="4">
        <v>152.5</v>
      </c>
      <c r="G427" s="5" t="s">
        <v>386</v>
      </c>
      <c r="H427">
        <v>48</v>
      </c>
      <c r="I427" s="5">
        <f t="shared" si="25"/>
        <v>261.62956379894968</v>
      </c>
      <c r="J427" s="5">
        <f t="shared" si="27"/>
        <v>1</v>
      </c>
    </row>
    <row r="428" spans="1:10" x14ac:dyDescent="0.2">
      <c r="A428">
        <v>157.75</v>
      </c>
      <c r="B428" t="s">
        <v>281</v>
      </c>
      <c r="C428" s="5">
        <v>50</v>
      </c>
      <c r="D428" s="5">
        <f t="shared" si="24"/>
        <v>293.66975814369101</v>
      </c>
      <c r="E428" s="5">
        <f t="shared" si="26"/>
        <v>5</v>
      </c>
      <c r="F428" s="4">
        <v>152.75</v>
      </c>
      <c r="G428" s="5" t="s">
        <v>247</v>
      </c>
      <c r="H428">
        <v>50</v>
      </c>
      <c r="I428" s="5">
        <f t="shared" si="25"/>
        <v>293.66975814369101</v>
      </c>
      <c r="J428" s="5">
        <f t="shared" si="27"/>
        <v>2</v>
      </c>
    </row>
    <row r="429" spans="1:10" x14ac:dyDescent="0.2">
      <c r="A429">
        <v>158</v>
      </c>
      <c r="B429" t="s">
        <v>284</v>
      </c>
      <c r="C429" s="5">
        <v>59</v>
      </c>
      <c r="D429" s="5">
        <f t="shared" si="24"/>
        <v>493.89549345236594</v>
      </c>
      <c r="E429" s="5">
        <f t="shared" si="26"/>
        <v>9</v>
      </c>
      <c r="F429" s="4">
        <v>153</v>
      </c>
      <c r="G429" s="5" t="s">
        <v>386</v>
      </c>
      <c r="H429">
        <v>48</v>
      </c>
      <c r="I429" s="5">
        <f t="shared" si="25"/>
        <v>261.62956379894968</v>
      </c>
      <c r="J429" s="5">
        <f t="shared" si="27"/>
        <v>2</v>
      </c>
    </row>
    <row r="430" spans="1:10" x14ac:dyDescent="0.2">
      <c r="A430">
        <v>158.5</v>
      </c>
      <c r="B430" t="s">
        <v>286</v>
      </c>
      <c r="C430">
        <v>55</v>
      </c>
      <c r="D430" s="5">
        <f t="shared" si="24"/>
        <v>392.00377257605692</v>
      </c>
      <c r="E430" s="5">
        <f t="shared" si="26"/>
        <v>4</v>
      </c>
      <c r="F430" s="4">
        <v>153.5</v>
      </c>
      <c r="G430" s="5" t="s">
        <v>38</v>
      </c>
      <c r="H430">
        <v>52</v>
      </c>
      <c r="I430" s="5">
        <f t="shared" si="25"/>
        <v>329.63372180082422</v>
      </c>
      <c r="J430" s="5">
        <f t="shared" si="27"/>
        <v>4</v>
      </c>
    </row>
    <row r="431" spans="1:10" x14ac:dyDescent="0.2">
      <c r="A431">
        <v>159</v>
      </c>
      <c r="B431" t="s">
        <v>287</v>
      </c>
      <c r="C431">
        <v>62</v>
      </c>
      <c r="D431" s="5">
        <f t="shared" si="24"/>
        <v>587.34554108704231</v>
      </c>
      <c r="E431" s="5">
        <f t="shared" si="26"/>
        <v>7</v>
      </c>
      <c r="F431" s="4">
        <v>153.75</v>
      </c>
      <c r="G431" s="5" t="s">
        <v>247</v>
      </c>
      <c r="H431">
        <v>50</v>
      </c>
      <c r="I431" s="5">
        <f t="shared" si="25"/>
        <v>293.66975814369101</v>
      </c>
      <c r="J431" s="5">
        <f t="shared" si="27"/>
        <v>2</v>
      </c>
    </row>
    <row r="432" spans="1:10" x14ac:dyDescent="0.2">
      <c r="A432">
        <v>159.5</v>
      </c>
      <c r="B432" t="s">
        <v>219</v>
      </c>
      <c r="C432">
        <v>55</v>
      </c>
      <c r="D432" s="5">
        <f t="shared" si="24"/>
        <v>392.00377257605692</v>
      </c>
      <c r="E432" s="5">
        <f t="shared" si="26"/>
        <v>7</v>
      </c>
      <c r="F432" s="4">
        <v>154</v>
      </c>
      <c r="G432" s="5" t="s">
        <v>386</v>
      </c>
      <c r="H432">
        <v>48</v>
      </c>
      <c r="I432" s="5">
        <f t="shared" si="25"/>
        <v>261.62956379894968</v>
      </c>
      <c r="J432" s="5">
        <f t="shared" si="27"/>
        <v>2</v>
      </c>
    </row>
    <row r="433" spans="1:10" x14ac:dyDescent="0.2">
      <c r="A433">
        <v>160</v>
      </c>
      <c r="B433" t="s">
        <v>288</v>
      </c>
      <c r="C433">
        <v>50</v>
      </c>
      <c r="D433" s="5">
        <f t="shared" si="24"/>
        <v>293.66975814369101</v>
      </c>
      <c r="E433" s="5">
        <f t="shared" si="26"/>
        <v>5</v>
      </c>
      <c r="F433" s="4">
        <v>154.5</v>
      </c>
      <c r="G433" s="5" t="s">
        <v>250</v>
      </c>
      <c r="H433">
        <v>55</v>
      </c>
      <c r="I433" s="5">
        <f t="shared" si="25"/>
        <v>392.00377257605692</v>
      </c>
      <c r="J433" s="5">
        <f t="shared" si="27"/>
        <v>7</v>
      </c>
    </row>
    <row r="434" spans="1:10" x14ac:dyDescent="0.2">
      <c r="A434">
        <v>160.25</v>
      </c>
      <c r="B434" t="s">
        <v>289</v>
      </c>
      <c r="C434">
        <v>57</v>
      </c>
      <c r="D434" s="5">
        <f t="shared" si="24"/>
        <v>440.01010976071973</v>
      </c>
      <c r="E434" s="5">
        <f t="shared" si="26"/>
        <v>7</v>
      </c>
      <c r="F434" s="4">
        <v>155</v>
      </c>
      <c r="G434" s="5" t="s">
        <v>38</v>
      </c>
      <c r="H434">
        <v>52</v>
      </c>
      <c r="I434" s="5">
        <f t="shared" si="25"/>
        <v>329.63372180082422</v>
      </c>
      <c r="J434" s="5">
        <f t="shared" si="27"/>
        <v>3</v>
      </c>
    </row>
    <row r="435" spans="1:10" x14ac:dyDescent="0.2">
      <c r="A435">
        <v>160.5</v>
      </c>
      <c r="B435" t="s">
        <v>284</v>
      </c>
      <c r="C435">
        <v>59</v>
      </c>
      <c r="D435" s="5">
        <f t="shared" si="24"/>
        <v>493.89549345236594</v>
      </c>
      <c r="E435" s="5">
        <f t="shared" si="26"/>
        <v>2</v>
      </c>
      <c r="F435" s="4">
        <v>155.5</v>
      </c>
      <c r="G435" s="5" t="s">
        <v>247</v>
      </c>
      <c r="H435">
        <v>50</v>
      </c>
      <c r="I435" s="5">
        <f t="shared" si="25"/>
        <v>293.66975814369101</v>
      </c>
      <c r="J435" s="5">
        <f t="shared" si="27"/>
        <v>2</v>
      </c>
    </row>
    <row r="436" spans="1:10" x14ac:dyDescent="0.2">
      <c r="A436">
        <v>160.75</v>
      </c>
      <c r="B436" t="s">
        <v>219</v>
      </c>
      <c r="C436">
        <v>55</v>
      </c>
      <c r="D436" s="5">
        <f t="shared" si="24"/>
        <v>392.00377257605692</v>
      </c>
      <c r="E436" s="5">
        <f t="shared" si="26"/>
        <v>4</v>
      </c>
      <c r="F436" s="4">
        <v>156</v>
      </c>
      <c r="G436" s="5" t="s">
        <v>337</v>
      </c>
      <c r="H436">
        <v>45</v>
      </c>
      <c r="I436" s="5">
        <f t="shared" si="25"/>
        <v>220.00279814001337</v>
      </c>
      <c r="J436" s="5">
        <f t="shared" si="27"/>
        <v>5</v>
      </c>
    </row>
    <row r="437" spans="1:10" x14ac:dyDescent="0.2">
      <c r="A437">
        <v>161</v>
      </c>
      <c r="B437" t="s">
        <v>284</v>
      </c>
      <c r="C437">
        <v>59</v>
      </c>
      <c r="D437" s="5">
        <f t="shared" si="24"/>
        <v>493.89549345236594</v>
      </c>
      <c r="E437" s="5">
        <f t="shared" si="26"/>
        <v>4</v>
      </c>
      <c r="F437" s="4">
        <v>156.25</v>
      </c>
      <c r="G437" s="5" t="s">
        <v>202</v>
      </c>
      <c r="H437">
        <v>53</v>
      </c>
      <c r="I437" s="5">
        <f t="shared" si="25"/>
        <v>349.23506143398839</v>
      </c>
      <c r="J437" s="5">
        <f t="shared" si="27"/>
        <v>8</v>
      </c>
    </row>
    <row r="438" spans="1:10" x14ac:dyDescent="0.2">
      <c r="A438">
        <v>161.5</v>
      </c>
      <c r="B438" t="s">
        <v>219</v>
      </c>
      <c r="C438">
        <v>55</v>
      </c>
      <c r="D438" s="5">
        <f t="shared" si="24"/>
        <v>392.00377257605692</v>
      </c>
      <c r="E438" s="5">
        <f t="shared" si="26"/>
        <v>4</v>
      </c>
      <c r="F438" s="4">
        <v>156.5</v>
      </c>
      <c r="G438" s="5" t="s">
        <v>338</v>
      </c>
      <c r="H438">
        <v>55</v>
      </c>
      <c r="I438" s="5">
        <f t="shared" si="25"/>
        <v>392.00377257605692</v>
      </c>
      <c r="J438" s="5">
        <f t="shared" si="27"/>
        <v>2</v>
      </c>
    </row>
    <row r="439" spans="1:10" x14ac:dyDescent="0.2">
      <c r="A439">
        <v>161.75</v>
      </c>
      <c r="B439" t="s">
        <v>373</v>
      </c>
      <c r="C439">
        <v>50</v>
      </c>
      <c r="D439" s="5">
        <f t="shared" si="24"/>
        <v>293.66975814369101</v>
      </c>
      <c r="E439" s="5">
        <f t="shared" si="26"/>
        <v>5</v>
      </c>
      <c r="F439" s="4">
        <v>156.75</v>
      </c>
      <c r="G439" s="5" t="s">
        <v>247</v>
      </c>
      <c r="H439">
        <v>50</v>
      </c>
      <c r="I439" s="5">
        <f t="shared" si="25"/>
        <v>293.66975814369101</v>
      </c>
      <c r="J439" s="5">
        <f t="shared" si="27"/>
        <v>5</v>
      </c>
    </row>
    <row r="440" spans="1:10" x14ac:dyDescent="0.2">
      <c r="A440">
        <v>162</v>
      </c>
      <c r="B440" t="s">
        <v>283</v>
      </c>
      <c r="C440">
        <v>59</v>
      </c>
      <c r="D440" s="5">
        <f t="shared" si="24"/>
        <v>493.89549345236594</v>
      </c>
      <c r="E440" s="5">
        <f t="shared" si="26"/>
        <v>9</v>
      </c>
      <c r="F440" s="4">
        <v>157</v>
      </c>
      <c r="G440" s="5" t="s">
        <v>250</v>
      </c>
      <c r="H440">
        <v>55</v>
      </c>
      <c r="I440" s="5">
        <f t="shared" si="25"/>
        <v>392.00377257605692</v>
      </c>
      <c r="J440" s="5">
        <f t="shared" si="27"/>
        <v>5</v>
      </c>
    </row>
    <row r="441" spans="1:10" x14ac:dyDescent="0.2">
      <c r="A441">
        <v>162.5</v>
      </c>
      <c r="B441" t="s">
        <v>219</v>
      </c>
      <c r="C441">
        <v>55</v>
      </c>
      <c r="D441" s="5">
        <f t="shared" si="24"/>
        <v>392.00377257605692</v>
      </c>
      <c r="E441" s="5">
        <f t="shared" si="26"/>
        <v>4</v>
      </c>
      <c r="F441" s="4">
        <v>157.5</v>
      </c>
      <c r="G441" s="5" t="s">
        <v>339</v>
      </c>
      <c r="H441">
        <v>59</v>
      </c>
      <c r="I441" s="5">
        <f t="shared" si="25"/>
        <v>493.89549345236594</v>
      </c>
      <c r="J441" s="5">
        <f t="shared" si="27"/>
        <v>4</v>
      </c>
    </row>
    <row r="442" spans="1:10" x14ac:dyDescent="0.2">
      <c r="A442">
        <v>163</v>
      </c>
      <c r="B442" t="s">
        <v>285</v>
      </c>
      <c r="C442">
        <v>62</v>
      </c>
      <c r="D442" s="5">
        <f t="shared" si="24"/>
        <v>587.34554108704231</v>
      </c>
      <c r="E442" s="5">
        <f t="shared" si="26"/>
        <v>7</v>
      </c>
      <c r="F442" s="4">
        <v>157.75</v>
      </c>
      <c r="G442" s="5" t="s">
        <v>340</v>
      </c>
      <c r="H442">
        <v>50</v>
      </c>
      <c r="I442" s="5">
        <f t="shared" si="25"/>
        <v>293.66975814369101</v>
      </c>
      <c r="J442" s="5">
        <f t="shared" si="27"/>
        <v>9</v>
      </c>
    </row>
    <row r="443" spans="1:10" x14ac:dyDescent="0.2">
      <c r="A443">
        <v>163.5</v>
      </c>
      <c r="B443" t="s">
        <v>219</v>
      </c>
      <c r="C443">
        <v>55</v>
      </c>
      <c r="D443" s="5">
        <f t="shared" si="24"/>
        <v>392.00377257605692</v>
      </c>
      <c r="E443" s="5">
        <f t="shared" si="26"/>
        <v>7</v>
      </c>
      <c r="F443" s="4">
        <v>158</v>
      </c>
      <c r="G443" s="5" t="s">
        <v>250</v>
      </c>
      <c r="H443">
        <v>55</v>
      </c>
      <c r="I443" s="5">
        <f t="shared" si="25"/>
        <v>392.00377257605692</v>
      </c>
      <c r="J443" s="5">
        <f t="shared" si="27"/>
        <v>5</v>
      </c>
    </row>
    <row r="444" spans="1:10" x14ac:dyDescent="0.2">
      <c r="A444">
        <v>164</v>
      </c>
      <c r="B444" t="s">
        <v>375</v>
      </c>
      <c r="C444">
        <v>50</v>
      </c>
      <c r="D444" s="5">
        <f t="shared" si="24"/>
        <v>293.66975814369101</v>
      </c>
      <c r="E444" s="5">
        <f t="shared" si="26"/>
        <v>5</v>
      </c>
      <c r="F444" s="4">
        <v>158.5</v>
      </c>
      <c r="G444" s="5" t="s">
        <v>250</v>
      </c>
      <c r="H444">
        <v>55</v>
      </c>
      <c r="I444" s="5">
        <f t="shared" si="25"/>
        <v>392.00377257605692</v>
      </c>
      <c r="J444" s="5">
        <f t="shared" si="27"/>
        <v>0</v>
      </c>
    </row>
    <row r="445" spans="1:10" x14ac:dyDescent="0.2">
      <c r="A445">
        <v>164.25</v>
      </c>
      <c r="B445" t="s">
        <v>374</v>
      </c>
      <c r="C445">
        <v>55</v>
      </c>
      <c r="D445" s="5">
        <f t="shared" si="24"/>
        <v>392.00377257605692</v>
      </c>
      <c r="E445" s="5">
        <f t="shared" si="26"/>
        <v>5</v>
      </c>
      <c r="F445" s="4">
        <v>159</v>
      </c>
      <c r="G445" s="5" t="s">
        <v>341</v>
      </c>
      <c r="H445">
        <v>59</v>
      </c>
      <c r="I445" s="5">
        <f t="shared" si="25"/>
        <v>493.89549345236594</v>
      </c>
      <c r="J445" s="5">
        <f t="shared" si="27"/>
        <v>4</v>
      </c>
    </row>
    <row r="446" spans="1:10" x14ac:dyDescent="0.2">
      <c r="A446">
        <v>164.5</v>
      </c>
      <c r="B446" t="s">
        <v>381</v>
      </c>
      <c r="C446">
        <v>57</v>
      </c>
      <c r="D446" s="5">
        <f t="shared" si="24"/>
        <v>440.01010976071973</v>
      </c>
      <c r="E446" s="5">
        <f t="shared" si="26"/>
        <v>2</v>
      </c>
      <c r="F446" s="4">
        <v>159.5</v>
      </c>
      <c r="G446" s="5" t="s">
        <v>247</v>
      </c>
      <c r="H446">
        <v>50</v>
      </c>
      <c r="I446" s="5">
        <f t="shared" si="25"/>
        <v>293.66975814369101</v>
      </c>
      <c r="J446" s="5">
        <f t="shared" si="27"/>
        <v>9</v>
      </c>
    </row>
    <row r="447" spans="1:10" x14ac:dyDescent="0.2">
      <c r="A447">
        <v>164.75</v>
      </c>
      <c r="B447" t="s">
        <v>374</v>
      </c>
      <c r="C447">
        <v>55</v>
      </c>
      <c r="D447" s="5">
        <f t="shared" si="24"/>
        <v>392.00377257605692</v>
      </c>
      <c r="E447" s="5">
        <f t="shared" si="26"/>
        <v>2</v>
      </c>
      <c r="F447" s="4">
        <v>160</v>
      </c>
      <c r="G447" s="5" t="s">
        <v>337</v>
      </c>
      <c r="H447">
        <v>45</v>
      </c>
      <c r="I447" s="5">
        <f t="shared" si="25"/>
        <v>220.00279814001337</v>
      </c>
      <c r="J447" s="5">
        <f t="shared" si="27"/>
        <v>5</v>
      </c>
    </row>
    <row r="448" spans="1:10" x14ac:dyDescent="0.2">
      <c r="A448">
        <v>165</v>
      </c>
      <c r="B448" t="s">
        <v>282</v>
      </c>
      <c r="C448">
        <v>57</v>
      </c>
      <c r="D448" s="5">
        <f t="shared" si="24"/>
        <v>440.01010976071973</v>
      </c>
      <c r="E448" s="5">
        <f t="shared" si="26"/>
        <v>2</v>
      </c>
      <c r="F448" s="4">
        <v>160.25</v>
      </c>
      <c r="G448" s="5" t="s">
        <v>202</v>
      </c>
      <c r="H448">
        <v>53</v>
      </c>
      <c r="I448" s="5">
        <f t="shared" si="25"/>
        <v>349.23506143398839</v>
      </c>
      <c r="J448" s="5">
        <f t="shared" si="27"/>
        <v>8</v>
      </c>
    </row>
    <row r="449" spans="1:10" x14ac:dyDescent="0.2">
      <c r="A449">
        <v>165.5</v>
      </c>
      <c r="B449" t="s">
        <v>382</v>
      </c>
      <c r="C449">
        <v>55</v>
      </c>
      <c r="D449" s="5">
        <f t="shared" si="24"/>
        <v>392.00377257605692</v>
      </c>
      <c r="E449" s="5">
        <f t="shared" si="26"/>
        <v>2</v>
      </c>
      <c r="F449" s="4">
        <v>160.5</v>
      </c>
      <c r="G449" s="5" t="s">
        <v>250</v>
      </c>
      <c r="H449">
        <v>55</v>
      </c>
      <c r="I449" s="5">
        <f t="shared" si="25"/>
        <v>392.00377257605692</v>
      </c>
      <c r="J449" s="5">
        <f t="shared" si="27"/>
        <v>2</v>
      </c>
    </row>
    <row r="450" spans="1:10" x14ac:dyDescent="0.2">
      <c r="A450">
        <v>165.75</v>
      </c>
      <c r="B450" t="s">
        <v>281</v>
      </c>
      <c r="C450">
        <v>50</v>
      </c>
      <c r="D450" s="5">
        <f t="shared" si="24"/>
        <v>293.66975814369101</v>
      </c>
      <c r="E450" s="5">
        <f t="shared" si="26"/>
        <v>5</v>
      </c>
      <c r="F450" s="4">
        <v>160.75</v>
      </c>
      <c r="G450" s="5" t="s">
        <v>247</v>
      </c>
      <c r="H450">
        <v>50</v>
      </c>
      <c r="I450" s="5">
        <f t="shared" si="25"/>
        <v>293.66975814369101</v>
      </c>
      <c r="J450" s="5">
        <f t="shared" si="27"/>
        <v>5</v>
      </c>
    </row>
    <row r="451" spans="1:10" x14ac:dyDescent="0.2">
      <c r="A451">
        <v>166</v>
      </c>
      <c r="B451" t="s">
        <v>282</v>
      </c>
      <c r="C451">
        <v>57</v>
      </c>
      <c r="D451" s="5">
        <f t="shared" si="24"/>
        <v>440.01010976071973</v>
      </c>
      <c r="E451" s="5">
        <f t="shared" si="26"/>
        <v>7</v>
      </c>
      <c r="F451" s="4">
        <v>161</v>
      </c>
      <c r="G451" s="5" t="s">
        <v>250</v>
      </c>
      <c r="H451">
        <v>55</v>
      </c>
      <c r="I451" s="5">
        <f t="shared" si="25"/>
        <v>392.00377257605692</v>
      </c>
      <c r="J451" s="5">
        <f t="shared" si="27"/>
        <v>5</v>
      </c>
    </row>
    <row r="452" spans="1:10" x14ac:dyDescent="0.2">
      <c r="A452">
        <v>166.5</v>
      </c>
      <c r="B452" t="s">
        <v>286</v>
      </c>
      <c r="C452">
        <v>55</v>
      </c>
      <c r="D452" s="5">
        <f t="shared" ref="D452:D515" si="28">16.35117682*1.059464^C452</f>
        <v>392.00377257605692</v>
      </c>
      <c r="E452" s="5">
        <f t="shared" si="26"/>
        <v>2</v>
      </c>
      <c r="F452" s="4">
        <v>161.5</v>
      </c>
      <c r="G452" s="5" t="s">
        <v>341</v>
      </c>
      <c r="H452">
        <v>59</v>
      </c>
      <c r="I452" s="5">
        <f t="shared" ref="I452:I515" si="29">16.35117682*1.059464^H452</f>
        <v>493.89549345236594</v>
      </c>
      <c r="J452" s="5">
        <f t="shared" si="27"/>
        <v>4</v>
      </c>
    </row>
    <row r="453" spans="1:10" x14ac:dyDescent="0.2">
      <c r="A453">
        <v>167</v>
      </c>
      <c r="B453" t="s">
        <v>383</v>
      </c>
      <c r="C453" s="5">
        <v>60</v>
      </c>
      <c r="D453" s="5">
        <f t="shared" si="28"/>
        <v>523.26449507501752</v>
      </c>
      <c r="E453" s="5">
        <f t="shared" ref="E453:E516" si="30">ABS( C453-C452)</f>
        <v>5</v>
      </c>
      <c r="F453" s="4">
        <v>161.75</v>
      </c>
      <c r="G453" s="5" t="s">
        <v>247</v>
      </c>
      <c r="H453">
        <v>50</v>
      </c>
      <c r="I453" s="5">
        <f t="shared" si="29"/>
        <v>293.66975814369101</v>
      </c>
      <c r="J453" s="5">
        <f t="shared" ref="J453:J516" si="31">ABS( H453-H452)</f>
        <v>9</v>
      </c>
    </row>
    <row r="454" spans="1:10" x14ac:dyDescent="0.2">
      <c r="A454">
        <v>167.5</v>
      </c>
      <c r="B454" t="s">
        <v>219</v>
      </c>
      <c r="C454" s="5">
        <v>55</v>
      </c>
      <c r="D454" s="5">
        <f t="shared" si="28"/>
        <v>392.00377257605692</v>
      </c>
      <c r="E454" s="5">
        <f t="shared" si="30"/>
        <v>5</v>
      </c>
      <c r="F454" s="4">
        <v>162</v>
      </c>
      <c r="G454" s="5" t="s">
        <v>250</v>
      </c>
      <c r="H454">
        <v>55</v>
      </c>
      <c r="I454" s="5">
        <f t="shared" si="29"/>
        <v>392.00377257605692</v>
      </c>
      <c r="J454" s="5">
        <f t="shared" si="31"/>
        <v>5</v>
      </c>
    </row>
    <row r="455" spans="1:10" x14ac:dyDescent="0.2">
      <c r="A455">
        <v>168</v>
      </c>
      <c r="B455" t="s">
        <v>281</v>
      </c>
      <c r="C455" s="5">
        <v>50</v>
      </c>
      <c r="D455" s="5">
        <f t="shared" si="28"/>
        <v>293.66975814369101</v>
      </c>
      <c r="E455" s="5">
        <f t="shared" si="30"/>
        <v>5</v>
      </c>
      <c r="F455" s="4">
        <v>162.5</v>
      </c>
      <c r="G455" s="5" t="s">
        <v>250</v>
      </c>
      <c r="H455">
        <v>55</v>
      </c>
      <c r="I455" s="5">
        <f t="shared" si="29"/>
        <v>392.00377257605692</v>
      </c>
      <c r="J455" s="5">
        <f t="shared" si="31"/>
        <v>0</v>
      </c>
    </row>
    <row r="456" spans="1:10" x14ac:dyDescent="0.2">
      <c r="A456">
        <v>168.25</v>
      </c>
      <c r="B456" t="s">
        <v>423</v>
      </c>
      <c r="C456" s="5">
        <v>52</v>
      </c>
      <c r="D456" s="5">
        <f t="shared" si="28"/>
        <v>329.63372180082422</v>
      </c>
      <c r="E456" s="5">
        <f t="shared" si="30"/>
        <v>2</v>
      </c>
      <c r="F456" s="4">
        <v>163</v>
      </c>
      <c r="G456" s="5" t="s">
        <v>249</v>
      </c>
      <c r="H456">
        <v>59</v>
      </c>
      <c r="I456" s="5">
        <f t="shared" si="29"/>
        <v>493.89549345236594</v>
      </c>
      <c r="J456" s="5">
        <f t="shared" si="31"/>
        <v>4</v>
      </c>
    </row>
    <row r="457" spans="1:10" x14ac:dyDescent="0.2">
      <c r="A457">
        <v>168.5</v>
      </c>
      <c r="B457" t="s">
        <v>218</v>
      </c>
      <c r="C457" s="5">
        <v>53</v>
      </c>
      <c r="D457" s="5">
        <f t="shared" si="28"/>
        <v>349.23506143398839</v>
      </c>
      <c r="E457" s="5">
        <f t="shared" si="30"/>
        <v>1</v>
      </c>
      <c r="F457" s="4">
        <v>163.5</v>
      </c>
      <c r="G457" s="5" t="s">
        <v>247</v>
      </c>
      <c r="H457">
        <v>50</v>
      </c>
      <c r="I457" s="5">
        <f t="shared" si="29"/>
        <v>293.66975814369101</v>
      </c>
      <c r="J457" s="5">
        <f t="shared" si="31"/>
        <v>9</v>
      </c>
    </row>
    <row r="458" spans="1:10" x14ac:dyDescent="0.2">
      <c r="A458">
        <v>168.75</v>
      </c>
      <c r="B458" t="s">
        <v>219</v>
      </c>
      <c r="C458" s="5">
        <v>55</v>
      </c>
      <c r="D458" s="5">
        <f t="shared" si="28"/>
        <v>392.00377257605692</v>
      </c>
      <c r="E458" s="5">
        <f t="shared" si="30"/>
        <v>2</v>
      </c>
      <c r="F458" s="4">
        <v>164</v>
      </c>
      <c r="G458" s="5" t="s">
        <v>337</v>
      </c>
      <c r="H458">
        <v>45</v>
      </c>
      <c r="I458" s="5">
        <f t="shared" si="29"/>
        <v>220.00279814001337</v>
      </c>
      <c r="J458" s="5">
        <f t="shared" si="31"/>
        <v>5</v>
      </c>
    </row>
    <row r="459" spans="1:10" x14ac:dyDescent="0.2">
      <c r="A459">
        <v>169</v>
      </c>
      <c r="B459" t="s">
        <v>423</v>
      </c>
      <c r="C459" s="5">
        <v>52</v>
      </c>
      <c r="D459" s="5">
        <f t="shared" si="28"/>
        <v>329.63372180082422</v>
      </c>
      <c r="E459" s="5">
        <f t="shared" si="30"/>
        <v>3</v>
      </c>
      <c r="F459" s="4">
        <v>164.25</v>
      </c>
      <c r="G459" s="5" t="s">
        <v>38</v>
      </c>
      <c r="H459">
        <v>52</v>
      </c>
      <c r="I459" s="5">
        <f t="shared" si="29"/>
        <v>329.63372180082422</v>
      </c>
      <c r="J459" s="5">
        <f t="shared" si="31"/>
        <v>7</v>
      </c>
    </row>
    <row r="460" spans="1:10" x14ac:dyDescent="0.2">
      <c r="A460">
        <v>169.5</v>
      </c>
      <c r="B460" t="s">
        <v>219</v>
      </c>
      <c r="C460" s="5">
        <v>55</v>
      </c>
      <c r="D460" s="5">
        <f t="shared" si="28"/>
        <v>392.00377257605692</v>
      </c>
      <c r="E460" s="5">
        <f t="shared" si="30"/>
        <v>3</v>
      </c>
      <c r="F460" s="4">
        <v>164.5</v>
      </c>
      <c r="G460" s="5" t="s">
        <v>202</v>
      </c>
      <c r="H460">
        <v>53</v>
      </c>
      <c r="I460" s="5">
        <f t="shared" si="29"/>
        <v>349.23506143398839</v>
      </c>
      <c r="J460" s="5">
        <f t="shared" si="31"/>
        <v>1</v>
      </c>
    </row>
    <row r="461" spans="1:10" x14ac:dyDescent="0.2">
      <c r="A461">
        <v>170</v>
      </c>
      <c r="B461" t="s">
        <v>423</v>
      </c>
      <c r="C461" s="5">
        <v>52</v>
      </c>
      <c r="D461" s="5">
        <f t="shared" si="28"/>
        <v>329.63372180082422</v>
      </c>
      <c r="E461" s="5">
        <f t="shared" si="30"/>
        <v>3</v>
      </c>
      <c r="F461" s="4">
        <v>164.75</v>
      </c>
      <c r="G461" s="5" t="s">
        <v>247</v>
      </c>
      <c r="H461">
        <v>50</v>
      </c>
      <c r="I461" s="5">
        <f t="shared" si="29"/>
        <v>293.66975814369101</v>
      </c>
      <c r="J461" s="5">
        <f t="shared" si="31"/>
        <v>3</v>
      </c>
    </row>
    <row r="462" spans="1:10" x14ac:dyDescent="0.2">
      <c r="A462">
        <v>170.5</v>
      </c>
      <c r="B462" t="s">
        <v>219</v>
      </c>
      <c r="C462" s="5">
        <v>55</v>
      </c>
      <c r="D462" s="5">
        <f t="shared" si="28"/>
        <v>392.00377257605692</v>
      </c>
      <c r="E462" s="5">
        <f t="shared" si="30"/>
        <v>3</v>
      </c>
      <c r="F462" s="4">
        <v>165</v>
      </c>
      <c r="G462" s="5" t="s">
        <v>202</v>
      </c>
      <c r="H462">
        <v>53</v>
      </c>
      <c r="I462" s="5">
        <f t="shared" si="29"/>
        <v>349.23506143398839</v>
      </c>
      <c r="J462" s="5">
        <f t="shared" si="31"/>
        <v>3</v>
      </c>
    </row>
    <row r="463" spans="1:10" x14ac:dyDescent="0.2">
      <c r="A463">
        <v>171</v>
      </c>
      <c r="B463" t="s">
        <v>424</v>
      </c>
      <c r="C463" s="5">
        <v>52</v>
      </c>
      <c r="D463" s="5">
        <f t="shared" si="28"/>
        <v>329.63372180082422</v>
      </c>
      <c r="E463" s="5">
        <f t="shared" si="30"/>
        <v>3</v>
      </c>
      <c r="F463" s="4">
        <v>165.5</v>
      </c>
      <c r="G463" s="5" t="s">
        <v>118</v>
      </c>
      <c r="H463">
        <v>57</v>
      </c>
      <c r="I463" s="5">
        <f t="shared" si="29"/>
        <v>440.01010976071973</v>
      </c>
      <c r="J463" s="5">
        <f t="shared" si="31"/>
        <v>4</v>
      </c>
    </row>
    <row r="464" spans="1:10" x14ac:dyDescent="0.2">
      <c r="A464">
        <v>171.5</v>
      </c>
      <c r="B464" t="s">
        <v>219</v>
      </c>
      <c r="C464" s="5">
        <v>55</v>
      </c>
      <c r="D464" s="5">
        <f t="shared" si="28"/>
        <v>392.00377257605692</v>
      </c>
      <c r="E464" s="5">
        <f t="shared" si="30"/>
        <v>3</v>
      </c>
      <c r="F464" s="4">
        <v>165.75</v>
      </c>
      <c r="G464" s="5" t="s">
        <v>247</v>
      </c>
      <c r="H464">
        <v>50</v>
      </c>
      <c r="I464" s="5">
        <f t="shared" si="29"/>
        <v>293.66975814369101</v>
      </c>
      <c r="J464" s="5">
        <f t="shared" si="31"/>
        <v>7</v>
      </c>
    </row>
    <row r="465" spans="1:10" x14ac:dyDescent="0.2">
      <c r="A465">
        <v>172</v>
      </c>
      <c r="B465" t="s">
        <v>281</v>
      </c>
      <c r="C465" s="5">
        <v>50</v>
      </c>
      <c r="D465" s="5">
        <f t="shared" si="28"/>
        <v>293.66975814369101</v>
      </c>
      <c r="E465" s="5">
        <f t="shared" si="30"/>
        <v>5</v>
      </c>
      <c r="F465" s="4">
        <v>166</v>
      </c>
      <c r="G465" s="5" t="s">
        <v>202</v>
      </c>
      <c r="H465">
        <v>53</v>
      </c>
      <c r="I465" s="5">
        <f t="shared" si="29"/>
        <v>349.23506143398839</v>
      </c>
      <c r="J465" s="5">
        <f t="shared" si="31"/>
        <v>3</v>
      </c>
    </row>
    <row r="466" spans="1:10" x14ac:dyDescent="0.2">
      <c r="A466">
        <v>172.25</v>
      </c>
      <c r="B466" t="s">
        <v>282</v>
      </c>
      <c r="C466" s="5">
        <v>57</v>
      </c>
      <c r="D466" s="5">
        <f t="shared" si="28"/>
        <v>440.01010976071973</v>
      </c>
      <c r="E466" s="5">
        <f t="shared" si="30"/>
        <v>7</v>
      </c>
      <c r="F466" s="4">
        <v>166.5</v>
      </c>
      <c r="G466" s="5" t="s">
        <v>250</v>
      </c>
      <c r="H466">
        <v>55</v>
      </c>
      <c r="I466" s="5">
        <f t="shared" si="29"/>
        <v>392.00377257605692</v>
      </c>
      <c r="J466" s="5">
        <f t="shared" si="31"/>
        <v>2</v>
      </c>
    </row>
    <row r="467" spans="1:10" x14ac:dyDescent="0.2">
      <c r="A467">
        <v>172.5</v>
      </c>
      <c r="B467" t="s">
        <v>283</v>
      </c>
      <c r="C467" s="5">
        <v>59</v>
      </c>
      <c r="D467" s="5">
        <f t="shared" si="28"/>
        <v>493.89549345236594</v>
      </c>
      <c r="E467" s="5">
        <f t="shared" si="30"/>
        <v>2</v>
      </c>
      <c r="F467" s="4">
        <v>167</v>
      </c>
      <c r="G467" s="5" t="s">
        <v>248</v>
      </c>
      <c r="H467">
        <v>57</v>
      </c>
      <c r="I467" s="5">
        <f t="shared" si="29"/>
        <v>440.01010976071973</v>
      </c>
      <c r="J467" s="5">
        <f t="shared" si="31"/>
        <v>2</v>
      </c>
    </row>
    <row r="468" spans="1:10" x14ac:dyDescent="0.2">
      <c r="A468">
        <v>172.75</v>
      </c>
      <c r="B468" t="s">
        <v>219</v>
      </c>
      <c r="C468" s="5">
        <v>55</v>
      </c>
      <c r="D468" s="5">
        <f t="shared" si="28"/>
        <v>392.00377257605692</v>
      </c>
      <c r="E468" s="5">
        <f t="shared" si="30"/>
        <v>4</v>
      </c>
      <c r="F468" s="4">
        <v>167.5</v>
      </c>
      <c r="G468" s="5" t="s">
        <v>247</v>
      </c>
      <c r="H468">
        <v>50</v>
      </c>
      <c r="I468" s="5">
        <f t="shared" si="29"/>
        <v>293.66975814369101</v>
      </c>
      <c r="J468" s="5">
        <f t="shared" si="31"/>
        <v>7</v>
      </c>
    </row>
    <row r="469" spans="1:10" x14ac:dyDescent="0.2">
      <c r="A469">
        <v>173</v>
      </c>
      <c r="B469" t="s">
        <v>284</v>
      </c>
      <c r="C469" s="5">
        <v>59</v>
      </c>
      <c r="D469" s="5">
        <f t="shared" si="28"/>
        <v>493.89549345236594</v>
      </c>
      <c r="E469" s="5">
        <f t="shared" si="30"/>
        <v>4</v>
      </c>
      <c r="F469" s="4">
        <v>168</v>
      </c>
      <c r="G469" s="5" t="s">
        <v>342</v>
      </c>
      <c r="H469">
        <v>45</v>
      </c>
      <c r="I469" s="5">
        <f t="shared" si="29"/>
        <v>220.00279814001337</v>
      </c>
      <c r="J469" s="5">
        <f t="shared" si="31"/>
        <v>5</v>
      </c>
    </row>
    <row r="470" spans="1:10" x14ac:dyDescent="0.2">
      <c r="A470">
        <v>173.5</v>
      </c>
      <c r="B470" t="s">
        <v>219</v>
      </c>
      <c r="C470" s="5">
        <v>55</v>
      </c>
      <c r="D470" s="5">
        <f t="shared" si="28"/>
        <v>392.00377257605692</v>
      </c>
      <c r="E470" s="5">
        <f t="shared" si="30"/>
        <v>4</v>
      </c>
      <c r="F470" s="4">
        <v>168.25</v>
      </c>
      <c r="G470" s="5" t="s">
        <v>385</v>
      </c>
      <c r="H470">
        <v>47</v>
      </c>
      <c r="I470" s="5">
        <f t="shared" si="29"/>
        <v>246.94521361646048</v>
      </c>
      <c r="J470" s="5">
        <f t="shared" si="31"/>
        <v>2</v>
      </c>
    </row>
    <row r="471" spans="1:10" x14ac:dyDescent="0.2">
      <c r="A471">
        <v>173.75</v>
      </c>
      <c r="B471" t="s">
        <v>281</v>
      </c>
      <c r="C471" s="5">
        <v>50</v>
      </c>
      <c r="D471" s="5">
        <f t="shared" si="28"/>
        <v>293.66975814369101</v>
      </c>
      <c r="E471" s="5">
        <f t="shared" si="30"/>
        <v>5</v>
      </c>
      <c r="F471" s="4">
        <v>168.5</v>
      </c>
      <c r="G471" s="5" t="s">
        <v>386</v>
      </c>
      <c r="H471">
        <v>48</v>
      </c>
      <c r="I471" s="5">
        <f t="shared" si="29"/>
        <v>261.62956379894968</v>
      </c>
      <c r="J471" s="5">
        <f t="shared" si="31"/>
        <v>1</v>
      </c>
    </row>
    <row r="472" spans="1:10" x14ac:dyDescent="0.2">
      <c r="A472">
        <v>174</v>
      </c>
      <c r="B472" t="s">
        <v>284</v>
      </c>
      <c r="C472" s="5">
        <v>59</v>
      </c>
      <c r="D472" s="5">
        <f t="shared" si="28"/>
        <v>493.89549345236594</v>
      </c>
      <c r="E472" s="5">
        <f t="shared" si="30"/>
        <v>9</v>
      </c>
      <c r="F472" s="4">
        <v>168.75</v>
      </c>
      <c r="G472" s="5" t="s">
        <v>247</v>
      </c>
      <c r="H472">
        <v>50</v>
      </c>
      <c r="I472" s="5">
        <f t="shared" si="29"/>
        <v>293.66975814369101</v>
      </c>
      <c r="J472" s="5">
        <f t="shared" si="31"/>
        <v>2</v>
      </c>
    </row>
    <row r="473" spans="1:10" x14ac:dyDescent="0.2">
      <c r="A473">
        <v>174.5</v>
      </c>
      <c r="B473" t="s">
        <v>286</v>
      </c>
      <c r="C473" s="5">
        <v>55</v>
      </c>
      <c r="D473" s="5">
        <f t="shared" si="28"/>
        <v>392.00377257605692</v>
      </c>
      <c r="E473" s="5">
        <f t="shared" si="30"/>
        <v>4</v>
      </c>
      <c r="F473" s="4">
        <v>169</v>
      </c>
      <c r="G473" s="5" t="s">
        <v>386</v>
      </c>
      <c r="H473">
        <v>48</v>
      </c>
      <c r="I473" s="5">
        <f t="shared" si="29"/>
        <v>261.62956379894968</v>
      </c>
      <c r="J473" s="5">
        <f t="shared" si="31"/>
        <v>2</v>
      </c>
    </row>
    <row r="474" spans="1:10" x14ac:dyDescent="0.2">
      <c r="A474">
        <v>175</v>
      </c>
      <c r="B474" t="s">
        <v>287</v>
      </c>
      <c r="C474" s="5">
        <v>62</v>
      </c>
      <c r="D474" s="5">
        <f t="shared" si="28"/>
        <v>587.34554108704231</v>
      </c>
      <c r="E474" s="5">
        <f t="shared" si="30"/>
        <v>7</v>
      </c>
      <c r="F474" s="4">
        <v>169.5</v>
      </c>
      <c r="G474" s="5" t="s">
        <v>38</v>
      </c>
      <c r="H474">
        <v>52</v>
      </c>
      <c r="I474" s="5">
        <f t="shared" si="29"/>
        <v>329.63372180082422</v>
      </c>
      <c r="J474" s="5">
        <f t="shared" si="31"/>
        <v>4</v>
      </c>
    </row>
    <row r="475" spans="1:10" x14ac:dyDescent="0.2">
      <c r="A475">
        <v>175.5</v>
      </c>
      <c r="B475" t="s">
        <v>219</v>
      </c>
      <c r="C475" s="5">
        <v>55</v>
      </c>
      <c r="D475" s="5">
        <f t="shared" si="28"/>
        <v>392.00377257605692</v>
      </c>
      <c r="E475" s="5">
        <f t="shared" si="30"/>
        <v>7</v>
      </c>
      <c r="F475" s="4">
        <v>169.75</v>
      </c>
      <c r="G475" s="5" t="s">
        <v>247</v>
      </c>
      <c r="H475">
        <v>50</v>
      </c>
      <c r="I475" s="5">
        <f t="shared" si="29"/>
        <v>293.66975814369101</v>
      </c>
      <c r="J475" s="5">
        <f t="shared" si="31"/>
        <v>2</v>
      </c>
    </row>
    <row r="476" spans="1:10" x14ac:dyDescent="0.2">
      <c r="A476">
        <v>176</v>
      </c>
      <c r="B476" t="s">
        <v>288</v>
      </c>
      <c r="C476" s="5">
        <v>50</v>
      </c>
      <c r="D476" s="5">
        <f t="shared" si="28"/>
        <v>293.66975814369101</v>
      </c>
      <c r="E476" s="5">
        <f t="shared" si="30"/>
        <v>5</v>
      </c>
      <c r="F476" s="4">
        <v>170</v>
      </c>
      <c r="G476" s="5" t="s">
        <v>386</v>
      </c>
      <c r="H476">
        <v>48</v>
      </c>
      <c r="I476" s="5">
        <f t="shared" si="29"/>
        <v>261.62956379894968</v>
      </c>
      <c r="J476" s="5">
        <f t="shared" si="31"/>
        <v>2</v>
      </c>
    </row>
    <row r="477" spans="1:10" x14ac:dyDescent="0.2">
      <c r="A477">
        <v>176.25</v>
      </c>
      <c r="B477" t="s">
        <v>289</v>
      </c>
      <c r="C477" s="5">
        <v>57</v>
      </c>
      <c r="D477" s="5">
        <f t="shared" si="28"/>
        <v>440.01010976071973</v>
      </c>
      <c r="E477" s="5">
        <f t="shared" si="30"/>
        <v>7</v>
      </c>
      <c r="F477" s="4">
        <v>170.5</v>
      </c>
      <c r="G477" s="5" t="s">
        <v>250</v>
      </c>
      <c r="H477">
        <v>55</v>
      </c>
      <c r="I477" s="5">
        <f t="shared" si="29"/>
        <v>392.00377257605692</v>
      </c>
      <c r="J477" s="5">
        <f t="shared" si="31"/>
        <v>7</v>
      </c>
    </row>
    <row r="478" spans="1:10" x14ac:dyDescent="0.2">
      <c r="A478">
        <v>176.5</v>
      </c>
      <c r="B478" t="s">
        <v>284</v>
      </c>
      <c r="C478" s="5">
        <v>59</v>
      </c>
      <c r="D478" s="5">
        <f t="shared" si="28"/>
        <v>493.89549345236594</v>
      </c>
      <c r="E478" s="5">
        <f t="shared" si="30"/>
        <v>2</v>
      </c>
      <c r="F478" s="4">
        <v>171</v>
      </c>
      <c r="G478" s="5" t="s">
        <v>38</v>
      </c>
      <c r="H478">
        <v>52</v>
      </c>
      <c r="I478" s="5">
        <f t="shared" si="29"/>
        <v>329.63372180082422</v>
      </c>
      <c r="J478" s="5">
        <f t="shared" si="31"/>
        <v>3</v>
      </c>
    </row>
    <row r="479" spans="1:10" x14ac:dyDescent="0.2">
      <c r="A479">
        <v>176.75</v>
      </c>
      <c r="B479" t="s">
        <v>219</v>
      </c>
      <c r="C479" s="5">
        <v>55</v>
      </c>
      <c r="D479" s="5">
        <f t="shared" si="28"/>
        <v>392.00377257605692</v>
      </c>
      <c r="E479" s="5">
        <f t="shared" si="30"/>
        <v>4</v>
      </c>
      <c r="F479" s="4">
        <v>171.5</v>
      </c>
      <c r="G479" s="5" t="s">
        <v>247</v>
      </c>
      <c r="H479">
        <v>50</v>
      </c>
      <c r="I479" s="5">
        <f t="shared" si="29"/>
        <v>293.66975814369101</v>
      </c>
      <c r="J479" s="5">
        <f t="shared" si="31"/>
        <v>2</v>
      </c>
    </row>
    <row r="480" spans="1:10" x14ac:dyDescent="0.2">
      <c r="A480">
        <v>177</v>
      </c>
      <c r="B480" t="s">
        <v>284</v>
      </c>
      <c r="C480" s="5">
        <v>59</v>
      </c>
      <c r="D480" s="5">
        <f t="shared" si="28"/>
        <v>493.89549345236594</v>
      </c>
      <c r="E480" s="5">
        <f t="shared" si="30"/>
        <v>4</v>
      </c>
      <c r="F480" s="4">
        <v>172</v>
      </c>
      <c r="G480" s="5" t="s">
        <v>337</v>
      </c>
      <c r="H480">
        <v>45</v>
      </c>
      <c r="I480" s="5">
        <f t="shared" si="29"/>
        <v>220.00279814001337</v>
      </c>
      <c r="J480" s="5">
        <f t="shared" si="31"/>
        <v>5</v>
      </c>
    </row>
    <row r="481" spans="1:10" x14ac:dyDescent="0.2">
      <c r="A481">
        <v>177.5</v>
      </c>
      <c r="B481" t="s">
        <v>219</v>
      </c>
      <c r="C481" s="5">
        <v>55</v>
      </c>
      <c r="D481" s="5">
        <f t="shared" si="28"/>
        <v>392.00377257605692</v>
      </c>
      <c r="E481" s="5">
        <f t="shared" si="30"/>
        <v>4</v>
      </c>
      <c r="F481" s="4">
        <v>172.25</v>
      </c>
      <c r="G481" s="5" t="s">
        <v>202</v>
      </c>
      <c r="H481">
        <v>53</v>
      </c>
      <c r="I481" s="5">
        <f t="shared" si="29"/>
        <v>349.23506143398839</v>
      </c>
      <c r="J481" s="5">
        <f t="shared" si="31"/>
        <v>8</v>
      </c>
    </row>
    <row r="482" spans="1:10" x14ac:dyDescent="0.2">
      <c r="A482">
        <v>177.75</v>
      </c>
      <c r="B482" t="s">
        <v>373</v>
      </c>
      <c r="C482" s="5">
        <v>50</v>
      </c>
      <c r="D482" s="5">
        <f t="shared" si="28"/>
        <v>293.66975814369101</v>
      </c>
      <c r="E482" s="5">
        <f t="shared" si="30"/>
        <v>5</v>
      </c>
      <c r="F482" s="4">
        <v>172.5</v>
      </c>
      <c r="G482" s="5" t="s">
        <v>338</v>
      </c>
      <c r="H482">
        <v>55</v>
      </c>
      <c r="I482" s="5">
        <f t="shared" si="29"/>
        <v>392.00377257605692</v>
      </c>
      <c r="J482" s="5">
        <f t="shared" si="31"/>
        <v>2</v>
      </c>
    </row>
    <row r="483" spans="1:10" x14ac:dyDescent="0.2">
      <c r="A483">
        <v>178</v>
      </c>
      <c r="B483" t="s">
        <v>283</v>
      </c>
      <c r="C483" s="5">
        <v>59</v>
      </c>
      <c r="D483" s="5">
        <f t="shared" si="28"/>
        <v>493.89549345236594</v>
      </c>
      <c r="E483" s="5">
        <f t="shared" si="30"/>
        <v>9</v>
      </c>
      <c r="F483" s="4">
        <v>172.75</v>
      </c>
      <c r="G483" s="5" t="s">
        <v>247</v>
      </c>
      <c r="H483">
        <v>50</v>
      </c>
      <c r="I483" s="5">
        <f t="shared" si="29"/>
        <v>293.66975814369101</v>
      </c>
      <c r="J483" s="5">
        <f t="shared" si="31"/>
        <v>5</v>
      </c>
    </row>
    <row r="484" spans="1:10" x14ac:dyDescent="0.2">
      <c r="A484">
        <v>178.5</v>
      </c>
      <c r="B484" t="s">
        <v>219</v>
      </c>
      <c r="C484" s="5">
        <v>55</v>
      </c>
      <c r="D484" s="5">
        <f t="shared" si="28"/>
        <v>392.00377257605692</v>
      </c>
      <c r="E484" s="5">
        <f t="shared" si="30"/>
        <v>4</v>
      </c>
      <c r="F484" s="4">
        <v>173</v>
      </c>
      <c r="G484" s="5" t="s">
        <v>250</v>
      </c>
      <c r="H484" s="5">
        <v>55</v>
      </c>
      <c r="I484" s="5">
        <f t="shared" si="29"/>
        <v>392.00377257605692</v>
      </c>
      <c r="J484" s="5">
        <f t="shared" si="31"/>
        <v>5</v>
      </c>
    </row>
    <row r="485" spans="1:10" x14ac:dyDescent="0.2">
      <c r="A485">
        <v>179</v>
      </c>
      <c r="B485" t="s">
        <v>285</v>
      </c>
      <c r="C485" s="5">
        <v>62</v>
      </c>
      <c r="D485" s="5">
        <f t="shared" si="28"/>
        <v>587.34554108704231</v>
      </c>
      <c r="E485" s="5">
        <f t="shared" si="30"/>
        <v>7</v>
      </c>
      <c r="F485" s="4">
        <v>173.5</v>
      </c>
      <c r="G485" s="5" t="s">
        <v>339</v>
      </c>
      <c r="H485" s="5">
        <v>59</v>
      </c>
      <c r="I485" s="5">
        <f t="shared" si="29"/>
        <v>493.89549345236594</v>
      </c>
      <c r="J485" s="5">
        <f t="shared" si="31"/>
        <v>4</v>
      </c>
    </row>
    <row r="486" spans="1:10" x14ac:dyDescent="0.2">
      <c r="A486">
        <v>179.5</v>
      </c>
      <c r="B486" t="s">
        <v>219</v>
      </c>
      <c r="C486" s="5">
        <v>55</v>
      </c>
      <c r="D486" s="5">
        <f t="shared" si="28"/>
        <v>392.00377257605692</v>
      </c>
      <c r="E486" s="5">
        <f t="shared" si="30"/>
        <v>7</v>
      </c>
      <c r="F486" s="4">
        <v>173.75</v>
      </c>
      <c r="G486" s="5" t="s">
        <v>340</v>
      </c>
      <c r="H486" s="5">
        <v>50</v>
      </c>
      <c r="I486" s="5">
        <f t="shared" si="29"/>
        <v>293.66975814369101</v>
      </c>
      <c r="J486" s="5">
        <f t="shared" si="31"/>
        <v>9</v>
      </c>
    </row>
    <row r="487" spans="1:10" x14ac:dyDescent="0.2">
      <c r="A487">
        <v>180</v>
      </c>
      <c r="B487" t="s">
        <v>375</v>
      </c>
      <c r="C487" s="5">
        <v>50</v>
      </c>
      <c r="D487" s="5">
        <f t="shared" si="28"/>
        <v>293.66975814369101</v>
      </c>
      <c r="E487" s="5">
        <f t="shared" si="30"/>
        <v>5</v>
      </c>
      <c r="F487" s="4">
        <v>174</v>
      </c>
      <c r="G487" s="5" t="s">
        <v>250</v>
      </c>
      <c r="H487" s="5">
        <v>55</v>
      </c>
      <c r="I487" s="5">
        <f t="shared" si="29"/>
        <v>392.00377257605692</v>
      </c>
      <c r="J487" s="5">
        <f t="shared" si="31"/>
        <v>5</v>
      </c>
    </row>
    <row r="488" spans="1:10" x14ac:dyDescent="0.2">
      <c r="A488">
        <v>180.25</v>
      </c>
      <c r="B488" t="s">
        <v>374</v>
      </c>
      <c r="C488" s="5">
        <v>55</v>
      </c>
      <c r="D488" s="5">
        <f t="shared" si="28"/>
        <v>392.00377257605692</v>
      </c>
      <c r="E488" s="5">
        <f t="shared" si="30"/>
        <v>5</v>
      </c>
      <c r="F488" s="4">
        <v>174.5</v>
      </c>
      <c r="G488" s="5" t="s">
        <v>250</v>
      </c>
      <c r="H488" s="5">
        <v>55</v>
      </c>
      <c r="I488" s="5">
        <f t="shared" si="29"/>
        <v>392.00377257605692</v>
      </c>
      <c r="J488" s="5">
        <f t="shared" si="31"/>
        <v>0</v>
      </c>
    </row>
    <row r="489" spans="1:10" x14ac:dyDescent="0.2">
      <c r="A489">
        <v>180.5</v>
      </c>
      <c r="B489" t="s">
        <v>381</v>
      </c>
      <c r="C489" s="5">
        <v>57</v>
      </c>
      <c r="D489" s="5">
        <f t="shared" si="28"/>
        <v>440.01010976071973</v>
      </c>
      <c r="E489" s="5">
        <f t="shared" si="30"/>
        <v>2</v>
      </c>
      <c r="F489" s="4">
        <v>175</v>
      </c>
      <c r="G489" s="5" t="s">
        <v>341</v>
      </c>
      <c r="H489" s="5">
        <v>59</v>
      </c>
      <c r="I489" s="5">
        <f t="shared" si="29"/>
        <v>493.89549345236594</v>
      </c>
      <c r="J489" s="5">
        <f t="shared" si="31"/>
        <v>4</v>
      </c>
    </row>
    <row r="490" spans="1:10" x14ac:dyDescent="0.2">
      <c r="A490">
        <v>180.75</v>
      </c>
      <c r="B490" t="s">
        <v>374</v>
      </c>
      <c r="C490" s="5">
        <v>55</v>
      </c>
      <c r="D490" s="5">
        <f t="shared" si="28"/>
        <v>392.00377257605692</v>
      </c>
      <c r="E490" s="5">
        <f t="shared" si="30"/>
        <v>2</v>
      </c>
      <c r="F490" s="4">
        <v>175.5</v>
      </c>
      <c r="G490" s="5" t="s">
        <v>247</v>
      </c>
      <c r="H490" s="5">
        <v>50</v>
      </c>
      <c r="I490" s="5">
        <f t="shared" si="29"/>
        <v>293.66975814369101</v>
      </c>
      <c r="J490" s="5">
        <f t="shared" si="31"/>
        <v>9</v>
      </c>
    </row>
    <row r="491" spans="1:10" x14ac:dyDescent="0.2">
      <c r="A491">
        <v>181</v>
      </c>
      <c r="B491" t="s">
        <v>282</v>
      </c>
      <c r="C491" s="5">
        <v>57</v>
      </c>
      <c r="D491" s="5">
        <f t="shared" si="28"/>
        <v>440.01010976071973</v>
      </c>
      <c r="E491" s="5">
        <f t="shared" si="30"/>
        <v>2</v>
      </c>
      <c r="F491" s="4">
        <v>176</v>
      </c>
      <c r="G491" s="5" t="s">
        <v>337</v>
      </c>
      <c r="H491" s="5">
        <v>45</v>
      </c>
      <c r="I491" s="5">
        <f t="shared" si="29"/>
        <v>220.00279814001337</v>
      </c>
      <c r="J491" s="5">
        <f t="shared" si="31"/>
        <v>5</v>
      </c>
    </row>
    <row r="492" spans="1:10" x14ac:dyDescent="0.2">
      <c r="A492">
        <v>181.5</v>
      </c>
      <c r="B492" t="s">
        <v>382</v>
      </c>
      <c r="C492" s="5">
        <v>55</v>
      </c>
      <c r="D492" s="5">
        <f t="shared" si="28"/>
        <v>392.00377257605692</v>
      </c>
      <c r="E492" s="5">
        <f t="shared" si="30"/>
        <v>2</v>
      </c>
      <c r="F492" s="4">
        <v>176.25</v>
      </c>
      <c r="G492" s="5" t="s">
        <v>202</v>
      </c>
      <c r="H492" s="5">
        <v>53</v>
      </c>
      <c r="I492" s="5">
        <f t="shared" si="29"/>
        <v>349.23506143398839</v>
      </c>
      <c r="J492" s="5">
        <f t="shared" si="31"/>
        <v>8</v>
      </c>
    </row>
    <row r="493" spans="1:10" x14ac:dyDescent="0.2">
      <c r="A493">
        <v>181.75</v>
      </c>
      <c r="B493" t="s">
        <v>281</v>
      </c>
      <c r="C493" s="5">
        <v>50</v>
      </c>
      <c r="D493" s="5">
        <f t="shared" si="28"/>
        <v>293.66975814369101</v>
      </c>
      <c r="E493" s="5">
        <f t="shared" si="30"/>
        <v>5</v>
      </c>
      <c r="F493" s="4">
        <v>176.5</v>
      </c>
      <c r="G493" s="5" t="s">
        <v>250</v>
      </c>
      <c r="H493" s="5">
        <v>55</v>
      </c>
      <c r="I493" s="5">
        <f t="shared" si="29"/>
        <v>392.00377257605692</v>
      </c>
      <c r="J493" s="5">
        <f t="shared" si="31"/>
        <v>2</v>
      </c>
    </row>
    <row r="494" spans="1:10" x14ac:dyDescent="0.2">
      <c r="A494">
        <v>182</v>
      </c>
      <c r="B494" t="s">
        <v>282</v>
      </c>
      <c r="C494" s="5">
        <v>57</v>
      </c>
      <c r="D494" s="5">
        <f t="shared" si="28"/>
        <v>440.01010976071973</v>
      </c>
      <c r="E494" s="5">
        <f t="shared" si="30"/>
        <v>7</v>
      </c>
      <c r="F494" s="4">
        <v>176.75</v>
      </c>
      <c r="G494" s="5" t="s">
        <v>247</v>
      </c>
      <c r="H494" s="5">
        <v>50</v>
      </c>
      <c r="I494" s="5">
        <f t="shared" si="29"/>
        <v>293.66975814369101</v>
      </c>
      <c r="J494" s="5">
        <f t="shared" si="31"/>
        <v>5</v>
      </c>
    </row>
    <row r="495" spans="1:10" x14ac:dyDescent="0.2">
      <c r="A495">
        <v>182.5</v>
      </c>
      <c r="B495" t="s">
        <v>286</v>
      </c>
      <c r="C495" s="5">
        <v>55</v>
      </c>
      <c r="D495" s="5">
        <f t="shared" si="28"/>
        <v>392.00377257605692</v>
      </c>
      <c r="E495" s="5">
        <f t="shared" si="30"/>
        <v>2</v>
      </c>
      <c r="F495" s="4">
        <v>177</v>
      </c>
      <c r="G495" s="5" t="s">
        <v>250</v>
      </c>
      <c r="H495" s="5">
        <v>55</v>
      </c>
      <c r="I495" s="5">
        <f t="shared" si="29"/>
        <v>392.00377257605692</v>
      </c>
      <c r="J495" s="5">
        <f t="shared" si="31"/>
        <v>5</v>
      </c>
    </row>
    <row r="496" spans="1:10" x14ac:dyDescent="0.2">
      <c r="A496">
        <v>183</v>
      </c>
      <c r="B496" t="s">
        <v>383</v>
      </c>
      <c r="C496" s="5">
        <v>60</v>
      </c>
      <c r="D496" s="5">
        <f t="shared" si="28"/>
        <v>523.26449507501752</v>
      </c>
      <c r="E496" s="5">
        <f t="shared" si="30"/>
        <v>5</v>
      </c>
      <c r="F496" s="4">
        <v>177.5</v>
      </c>
      <c r="G496" s="5" t="s">
        <v>341</v>
      </c>
      <c r="H496" s="5">
        <v>59</v>
      </c>
      <c r="I496" s="5">
        <f t="shared" si="29"/>
        <v>493.89549345236594</v>
      </c>
      <c r="J496" s="5">
        <f t="shared" si="31"/>
        <v>4</v>
      </c>
    </row>
    <row r="497" spans="1:10" x14ac:dyDescent="0.2">
      <c r="A497">
        <v>183.5</v>
      </c>
      <c r="B497" t="s">
        <v>219</v>
      </c>
      <c r="C497" s="5">
        <v>55</v>
      </c>
      <c r="D497" s="5">
        <f t="shared" si="28"/>
        <v>392.00377257605692</v>
      </c>
      <c r="E497" s="5">
        <f t="shared" si="30"/>
        <v>5</v>
      </c>
      <c r="F497" s="4">
        <v>177.75</v>
      </c>
      <c r="G497" s="5" t="s">
        <v>247</v>
      </c>
      <c r="H497" s="5">
        <v>50</v>
      </c>
      <c r="I497" s="5">
        <f t="shared" si="29"/>
        <v>293.66975814369101</v>
      </c>
      <c r="J497" s="5">
        <f t="shared" si="31"/>
        <v>9</v>
      </c>
    </row>
    <row r="498" spans="1:10" x14ac:dyDescent="0.2">
      <c r="A498">
        <v>184</v>
      </c>
      <c r="B498" t="s">
        <v>281</v>
      </c>
      <c r="C498" s="5">
        <v>50</v>
      </c>
      <c r="D498" s="5">
        <f t="shared" si="28"/>
        <v>293.66975814369101</v>
      </c>
      <c r="E498" s="5">
        <f t="shared" si="30"/>
        <v>5</v>
      </c>
      <c r="F498" s="4">
        <v>178</v>
      </c>
      <c r="G498" s="5" t="s">
        <v>250</v>
      </c>
      <c r="H498" s="5">
        <v>55</v>
      </c>
      <c r="I498" s="5">
        <f t="shared" si="29"/>
        <v>392.00377257605692</v>
      </c>
      <c r="J498" s="5">
        <f t="shared" si="31"/>
        <v>5</v>
      </c>
    </row>
    <row r="499" spans="1:10" x14ac:dyDescent="0.2">
      <c r="A499">
        <v>184.25</v>
      </c>
      <c r="B499" t="s">
        <v>423</v>
      </c>
      <c r="C499" s="5">
        <v>52</v>
      </c>
      <c r="D499" s="5">
        <f t="shared" si="28"/>
        <v>329.63372180082422</v>
      </c>
      <c r="E499" s="5">
        <f t="shared" si="30"/>
        <v>2</v>
      </c>
      <c r="F499" s="4">
        <v>178.5</v>
      </c>
      <c r="G499" s="5" t="s">
        <v>250</v>
      </c>
      <c r="H499" s="5">
        <v>55</v>
      </c>
      <c r="I499" s="5">
        <f t="shared" si="29"/>
        <v>392.00377257605692</v>
      </c>
      <c r="J499" s="5">
        <f t="shared" si="31"/>
        <v>0</v>
      </c>
    </row>
    <row r="500" spans="1:10" x14ac:dyDescent="0.2">
      <c r="A500">
        <v>184.5</v>
      </c>
      <c r="B500" t="s">
        <v>218</v>
      </c>
      <c r="C500" s="5">
        <v>53</v>
      </c>
      <c r="D500" s="5">
        <f t="shared" si="28"/>
        <v>349.23506143398839</v>
      </c>
      <c r="E500" s="5">
        <f t="shared" si="30"/>
        <v>1</v>
      </c>
      <c r="F500" s="4">
        <v>179</v>
      </c>
      <c r="G500" s="5" t="s">
        <v>249</v>
      </c>
      <c r="H500" s="5">
        <v>59</v>
      </c>
      <c r="I500" s="5">
        <f t="shared" si="29"/>
        <v>493.89549345236594</v>
      </c>
      <c r="J500" s="5">
        <f t="shared" si="31"/>
        <v>4</v>
      </c>
    </row>
    <row r="501" spans="1:10" x14ac:dyDescent="0.2">
      <c r="A501">
        <v>184.75</v>
      </c>
      <c r="B501" t="s">
        <v>219</v>
      </c>
      <c r="C501" s="5">
        <v>55</v>
      </c>
      <c r="D501" s="5">
        <f t="shared" si="28"/>
        <v>392.00377257605692</v>
      </c>
      <c r="E501" s="5">
        <f t="shared" si="30"/>
        <v>2</v>
      </c>
      <c r="F501" s="4">
        <v>179.5</v>
      </c>
      <c r="G501" s="5" t="s">
        <v>247</v>
      </c>
      <c r="H501" s="5">
        <v>50</v>
      </c>
      <c r="I501" s="5">
        <f t="shared" si="29"/>
        <v>293.66975814369101</v>
      </c>
      <c r="J501" s="5">
        <f t="shared" si="31"/>
        <v>9</v>
      </c>
    </row>
    <row r="502" spans="1:10" x14ac:dyDescent="0.2">
      <c r="A502">
        <v>185</v>
      </c>
      <c r="B502" t="s">
        <v>423</v>
      </c>
      <c r="C502" s="5">
        <v>52</v>
      </c>
      <c r="D502" s="5">
        <f t="shared" si="28"/>
        <v>329.63372180082422</v>
      </c>
      <c r="E502" s="5">
        <f t="shared" si="30"/>
        <v>3</v>
      </c>
      <c r="F502" s="4">
        <v>180</v>
      </c>
      <c r="G502" s="5" t="s">
        <v>337</v>
      </c>
      <c r="H502" s="5">
        <v>45</v>
      </c>
      <c r="I502" s="5">
        <f t="shared" si="29"/>
        <v>220.00279814001337</v>
      </c>
      <c r="J502" s="5">
        <f t="shared" si="31"/>
        <v>5</v>
      </c>
    </row>
    <row r="503" spans="1:10" x14ac:dyDescent="0.2">
      <c r="A503">
        <v>185.5</v>
      </c>
      <c r="B503" t="s">
        <v>219</v>
      </c>
      <c r="C503" s="5">
        <v>55</v>
      </c>
      <c r="D503" s="5">
        <f t="shared" si="28"/>
        <v>392.00377257605692</v>
      </c>
      <c r="E503" s="5">
        <f t="shared" si="30"/>
        <v>3</v>
      </c>
      <c r="F503" s="4">
        <v>180.25</v>
      </c>
      <c r="G503" s="5" t="s">
        <v>38</v>
      </c>
      <c r="H503" s="5">
        <v>52</v>
      </c>
      <c r="I503" s="5">
        <f t="shared" si="29"/>
        <v>329.63372180082422</v>
      </c>
      <c r="J503" s="5">
        <f t="shared" si="31"/>
        <v>7</v>
      </c>
    </row>
    <row r="504" spans="1:10" x14ac:dyDescent="0.2">
      <c r="A504">
        <v>186</v>
      </c>
      <c r="B504" t="s">
        <v>423</v>
      </c>
      <c r="C504" s="5">
        <v>52</v>
      </c>
      <c r="D504" s="5">
        <f t="shared" si="28"/>
        <v>329.63372180082422</v>
      </c>
      <c r="E504" s="5">
        <f t="shared" si="30"/>
        <v>3</v>
      </c>
      <c r="F504" s="4">
        <v>180.5</v>
      </c>
      <c r="G504" s="5" t="s">
        <v>202</v>
      </c>
      <c r="H504" s="5">
        <v>53</v>
      </c>
      <c r="I504" s="5">
        <f t="shared" si="29"/>
        <v>349.23506143398839</v>
      </c>
      <c r="J504" s="5">
        <f t="shared" si="31"/>
        <v>1</v>
      </c>
    </row>
    <row r="505" spans="1:10" x14ac:dyDescent="0.2">
      <c r="A505">
        <v>186.5</v>
      </c>
      <c r="B505" t="s">
        <v>219</v>
      </c>
      <c r="C505" s="5">
        <v>55</v>
      </c>
      <c r="D505" s="5">
        <f t="shared" si="28"/>
        <v>392.00377257605692</v>
      </c>
      <c r="E505" s="5">
        <f t="shared" si="30"/>
        <v>3</v>
      </c>
      <c r="F505" s="4">
        <v>180.75</v>
      </c>
      <c r="G505" s="5" t="s">
        <v>247</v>
      </c>
      <c r="H505" s="5">
        <v>50</v>
      </c>
      <c r="I505" s="5">
        <f t="shared" si="29"/>
        <v>293.66975814369101</v>
      </c>
      <c r="J505" s="5">
        <f t="shared" si="31"/>
        <v>3</v>
      </c>
    </row>
    <row r="506" spans="1:10" x14ac:dyDescent="0.2">
      <c r="A506">
        <v>187</v>
      </c>
      <c r="B506" t="s">
        <v>424</v>
      </c>
      <c r="C506" s="5">
        <v>52</v>
      </c>
      <c r="D506" s="5">
        <f t="shared" si="28"/>
        <v>329.63372180082422</v>
      </c>
      <c r="E506" s="5">
        <f t="shared" si="30"/>
        <v>3</v>
      </c>
      <c r="F506" s="4">
        <v>181</v>
      </c>
      <c r="G506" s="5" t="s">
        <v>202</v>
      </c>
      <c r="H506" s="5">
        <v>53</v>
      </c>
      <c r="I506" s="5">
        <f t="shared" si="29"/>
        <v>349.23506143398839</v>
      </c>
      <c r="J506" s="5">
        <f t="shared" si="31"/>
        <v>3</v>
      </c>
    </row>
    <row r="507" spans="1:10" x14ac:dyDescent="0.2">
      <c r="A507">
        <v>187.5</v>
      </c>
      <c r="B507" t="s">
        <v>219</v>
      </c>
      <c r="C507" s="5">
        <v>55</v>
      </c>
      <c r="D507" s="5">
        <f t="shared" si="28"/>
        <v>392.00377257605692</v>
      </c>
      <c r="E507" s="5">
        <f t="shared" si="30"/>
        <v>3</v>
      </c>
      <c r="F507" s="4">
        <v>181.5</v>
      </c>
      <c r="G507" s="5" t="s">
        <v>118</v>
      </c>
      <c r="H507" s="5">
        <v>57</v>
      </c>
      <c r="I507" s="5">
        <f t="shared" si="29"/>
        <v>440.01010976071973</v>
      </c>
      <c r="J507" s="5">
        <f t="shared" si="31"/>
        <v>4</v>
      </c>
    </row>
    <row r="508" spans="1:10" x14ac:dyDescent="0.2">
      <c r="A508">
        <v>188</v>
      </c>
      <c r="B508" t="s">
        <v>218</v>
      </c>
      <c r="C508" s="5">
        <v>53</v>
      </c>
      <c r="D508" s="5">
        <f t="shared" si="28"/>
        <v>349.23506143398839</v>
      </c>
      <c r="E508" s="5">
        <f t="shared" si="30"/>
        <v>2</v>
      </c>
      <c r="F508" s="4">
        <v>181.75</v>
      </c>
      <c r="G508" s="5" t="s">
        <v>247</v>
      </c>
      <c r="H508" s="5">
        <v>50</v>
      </c>
      <c r="I508" s="5">
        <f t="shared" si="29"/>
        <v>293.66975814369101</v>
      </c>
      <c r="J508" s="5">
        <f t="shared" si="31"/>
        <v>7</v>
      </c>
    </row>
    <row r="509" spans="1:10" x14ac:dyDescent="0.2">
      <c r="A509">
        <v>188.25</v>
      </c>
      <c r="B509" t="s">
        <v>426</v>
      </c>
      <c r="C509" s="5">
        <v>54</v>
      </c>
      <c r="D509" s="5">
        <f t="shared" si="28"/>
        <v>370.00197512709912</v>
      </c>
      <c r="E509" s="5">
        <f t="shared" si="30"/>
        <v>1</v>
      </c>
      <c r="F509" s="4">
        <v>182</v>
      </c>
      <c r="G509" s="5" t="s">
        <v>202</v>
      </c>
      <c r="H509" s="5">
        <v>53</v>
      </c>
      <c r="I509" s="5">
        <f t="shared" si="29"/>
        <v>349.23506143398839</v>
      </c>
      <c r="J509" s="5">
        <f t="shared" si="31"/>
        <v>3</v>
      </c>
    </row>
    <row r="510" spans="1:10" x14ac:dyDescent="0.2">
      <c r="A510">
        <v>188.5</v>
      </c>
      <c r="B510" t="s">
        <v>219</v>
      </c>
      <c r="C510" s="5">
        <v>55</v>
      </c>
      <c r="D510" s="5">
        <f t="shared" si="28"/>
        <v>392.00377257605692</v>
      </c>
      <c r="E510" s="5">
        <f t="shared" si="30"/>
        <v>1</v>
      </c>
      <c r="F510" s="4">
        <v>182.5</v>
      </c>
      <c r="G510" s="5" t="s">
        <v>250</v>
      </c>
      <c r="H510" s="5">
        <v>55</v>
      </c>
      <c r="I510" s="5">
        <f t="shared" si="29"/>
        <v>392.00377257605692</v>
      </c>
      <c r="J510" s="5">
        <f t="shared" si="31"/>
        <v>2</v>
      </c>
    </row>
    <row r="511" spans="1:10" x14ac:dyDescent="0.2">
      <c r="A511">
        <v>188.75</v>
      </c>
      <c r="B511" t="s">
        <v>219</v>
      </c>
      <c r="C511" s="5">
        <v>55</v>
      </c>
      <c r="D511" s="5">
        <f t="shared" si="28"/>
        <v>392.00377257605692</v>
      </c>
      <c r="E511" s="5">
        <f t="shared" si="30"/>
        <v>0</v>
      </c>
      <c r="F511" s="4">
        <v>183</v>
      </c>
      <c r="G511" s="5" t="s">
        <v>248</v>
      </c>
      <c r="H511" s="5">
        <v>57</v>
      </c>
      <c r="I511" s="5">
        <f t="shared" si="29"/>
        <v>440.01010976071973</v>
      </c>
      <c r="J511" s="5">
        <f t="shared" si="31"/>
        <v>2</v>
      </c>
    </row>
    <row r="512" spans="1:10" x14ac:dyDescent="0.2">
      <c r="A512">
        <v>189</v>
      </c>
      <c r="B512" t="s">
        <v>219</v>
      </c>
      <c r="C512" s="5">
        <v>55</v>
      </c>
      <c r="D512" s="5">
        <f t="shared" si="28"/>
        <v>392.00377257605692</v>
      </c>
      <c r="E512" s="5">
        <f t="shared" si="30"/>
        <v>0</v>
      </c>
      <c r="F512" s="4">
        <v>183.5</v>
      </c>
      <c r="G512" s="5" t="s">
        <v>247</v>
      </c>
      <c r="H512" s="5">
        <v>50</v>
      </c>
      <c r="I512" s="5">
        <f t="shared" si="29"/>
        <v>293.66975814369101</v>
      </c>
      <c r="J512" s="5">
        <f t="shared" si="31"/>
        <v>7</v>
      </c>
    </row>
    <row r="513" spans="1:10" x14ac:dyDescent="0.2">
      <c r="A513">
        <v>189.5</v>
      </c>
      <c r="B513" t="s">
        <v>219</v>
      </c>
      <c r="C513" s="5">
        <v>55</v>
      </c>
      <c r="D513" s="5">
        <f t="shared" si="28"/>
        <v>392.00377257605692</v>
      </c>
      <c r="E513" s="5">
        <f t="shared" si="30"/>
        <v>0</v>
      </c>
      <c r="F513" s="4">
        <v>184</v>
      </c>
      <c r="G513" s="5" t="s">
        <v>342</v>
      </c>
      <c r="H513" s="5">
        <v>45</v>
      </c>
      <c r="I513" s="5">
        <f t="shared" si="29"/>
        <v>220.00279814001337</v>
      </c>
      <c r="J513" s="5">
        <f t="shared" si="31"/>
        <v>5</v>
      </c>
    </row>
    <row r="514" spans="1:10" x14ac:dyDescent="0.2">
      <c r="A514">
        <v>190</v>
      </c>
      <c r="B514" t="s">
        <v>218</v>
      </c>
      <c r="C514" s="5">
        <v>53</v>
      </c>
      <c r="D514" s="5">
        <f t="shared" si="28"/>
        <v>349.23506143398839</v>
      </c>
      <c r="E514" s="5">
        <f t="shared" si="30"/>
        <v>2</v>
      </c>
      <c r="F514" s="4">
        <v>184.25</v>
      </c>
      <c r="G514" s="5" t="s">
        <v>385</v>
      </c>
      <c r="H514" s="5">
        <v>47</v>
      </c>
      <c r="I514" s="5">
        <f t="shared" si="29"/>
        <v>246.94521361646048</v>
      </c>
      <c r="J514" s="5">
        <f t="shared" si="31"/>
        <v>2</v>
      </c>
    </row>
    <row r="515" spans="1:10" x14ac:dyDescent="0.2">
      <c r="A515">
        <v>190.25</v>
      </c>
      <c r="B515" t="s">
        <v>425</v>
      </c>
      <c r="C515" s="5">
        <v>54</v>
      </c>
      <c r="D515" s="5">
        <f t="shared" si="28"/>
        <v>370.00197512709912</v>
      </c>
      <c r="E515" s="5">
        <f t="shared" si="30"/>
        <v>1</v>
      </c>
      <c r="F515" s="4">
        <v>184.5</v>
      </c>
      <c r="G515" s="5" t="s">
        <v>386</v>
      </c>
      <c r="H515" s="5">
        <v>48</v>
      </c>
      <c r="I515" s="5">
        <f t="shared" si="29"/>
        <v>261.62956379894968</v>
      </c>
      <c r="J515" s="5">
        <f t="shared" si="31"/>
        <v>1</v>
      </c>
    </row>
    <row r="516" spans="1:10" x14ac:dyDescent="0.2">
      <c r="A516">
        <v>190.5</v>
      </c>
      <c r="B516" t="s">
        <v>220</v>
      </c>
      <c r="C516" s="5">
        <v>55</v>
      </c>
      <c r="D516" s="5">
        <f t="shared" ref="D516:D579" si="32">16.35117682*1.059464^C516</f>
        <v>392.00377257605692</v>
      </c>
      <c r="E516" s="5">
        <f t="shared" si="30"/>
        <v>1</v>
      </c>
      <c r="F516" s="4">
        <v>184.75</v>
      </c>
      <c r="G516" s="5" t="s">
        <v>247</v>
      </c>
      <c r="H516" s="5">
        <v>50</v>
      </c>
      <c r="I516" s="5">
        <f t="shared" ref="I516:I579" si="33">16.35117682*1.059464^H516</f>
        <v>293.66975814369101</v>
      </c>
      <c r="J516" s="5">
        <f t="shared" si="31"/>
        <v>2</v>
      </c>
    </row>
    <row r="517" spans="1:10" x14ac:dyDescent="0.2">
      <c r="A517">
        <v>190.75</v>
      </c>
      <c r="B517" t="s">
        <v>220</v>
      </c>
      <c r="C517" s="5">
        <v>55</v>
      </c>
      <c r="D517" s="5">
        <f t="shared" si="32"/>
        <v>392.00377257605692</v>
      </c>
      <c r="E517" s="5">
        <f t="shared" ref="E517:E580" si="34">ABS( C517-C516)</f>
        <v>0</v>
      </c>
      <c r="F517" s="4">
        <v>185</v>
      </c>
      <c r="G517" s="5" t="s">
        <v>386</v>
      </c>
      <c r="H517" s="5">
        <v>48</v>
      </c>
      <c r="I517" s="5">
        <f t="shared" si="33"/>
        <v>261.62956379894968</v>
      </c>
      <c r="J517" s="5">
        <f t="shared" ref="J517:J580" si="35">ABS( H517-H516)</f>
        <v>2</v>
      </c>
    </row>
    <row r="518" spans="1:10" x14ac:dyDescent="0.2">
      <c r="A518">
        <v>191</v>
      </c>
      <c r="B518" t="s">
        <v>220</v>
      </c>
      <c r="C518" s="5">
        <v>55</v>
      </c>
      <c r="D518" s="5">
        <f t="shared" si="32"/>
        <v>392.00377257605692</v>
      </c>
      <c r="E518" s="5">
        <f t="shared" si="34"/>
        <v>0</v>
      </c>
      <c r="F518" s="4">
        <v>185.5</v>
      </c>
      <c r="G518" s="5" t="s">
        <v>38</v>
      </c>
      <c r="H518" s="5">
        <v>52</v>
      </c>
      <c r="I518" s="5">
        <f t="shared" si="33"/>
        <v>329.63372180082422</v>
      </c>
      <c r="J518" s="5">
        <f t="shared" si="35"/>
        <v>4</v>
      </c>
    </row>
    <row r="519" spans="1:10" x14ac:dyDescent="0.2">
      <c r="A519">
        <v>191.5</v>
      </c>
      <c r="B519" t="s">
        <v>220</v>
      </c>
      <c r="C519" s="5">
        <v>55</v>
      </c>
      <c r="D519" s="5">
        <f t="shared" si="32"/>
        <v>392.00377257605692</v>
      </c>
      <c r="E519" s="5">
        <f t="shared" si="34"/>
        <v>0</v>
      </c>
      <c r="F519" s="4">
        <v>185.75</v>
      </c>
      <c r="G519" s="5" t="s">
        <v>247</v>
      </c>
      <c r="H519" s="5">
        <v>50</v>
      </c>
      <c r="I519" s="5">
        <f t="shared" si="33"/>
        <v>293.66975814369101</v>
      </c>
      <c r="J519" s="5">
        <f t="shared" si="35"/>
        <v>2</v>
      </c>
    </row>
    <row r="520" spans="1:10" x14ac:dyDescent="0.2">
      <c r="A520">
        <v>192</v>
      </c>
      <c r="B520" t="s">
        <v>218</v>
      </c>
      <c r="C520" s="5">
        <v>53</v>
      </c>
      <c r="D520" s="5">
        <f t="shared" si="32"/>
        <v>349.23506143398839</v>
      </c>
      <c r="E520" s="5">
        <f t="shared" si="34"/>
        <v>2</v>
      </c>
      <c r="F520" s="4">
        <v>186</v>
      </c>
      <c r="G520" s="5" t="s">
        <v>386</v>
      </c>
      <c r="H520" s="5">
        <v>48</v>
      </c>
      <c r="I520" s="5">
        <f t="shared" si="33"/>
        <v>261.62956379894968</v>
      </c>
      <c r="J520" s="5">
        <f t="shared" si="35"/>
        <v>2</v>
      </c>
    </row>
    <row r="521" spans="1:10" x14ac:dyDescent="0.2">
      <c r="A521">
        <v>192.25</v>
      </c>
      <c r="B521" t="s">
        <v>426</v>
      </c>
      <c r="C521" s="5">
        <v>54</v>
      </c>
      <c r="D521" s="5">
        <f t="shared" si="32"/>
        <v>370.00197512709912</v>
      </c>
      <c r="E521" s="5">
        <f t="shared" si="34"/>
        <v>1</v>
      </c>
      <c r="F521" s="4">
        <v>186.5</v>
      </c>
      <c r="G521" s="5" t="s">
        <v>250</v>
      </c>
      <c r="H521" s="5">
        <v>55</v>
      </c>
      <c r="I521" s="5">
        <f t="shared" si="33"/>
        <v>392.00377257605692</v>
      </c>
      <c r="J521" s="5">
        <f t="shared" si="35"/>
        <v>7</v>
      </c>
    </row>
    <row r="522" spans="1:10" x14ac:dyDescent="0.2">
      <c r="A522">
        <v>192.5</v>
      </c>
      <c r="B522" t="s">
        <v>219</v>
      </c>
      <c r="C522" s="5">
        <v>55</v>
      </c>
      <c r="D522" s="5">
        <f t="shared" si="32"/>
        <v>392.00377257605692</v>
      </c>
      <c r="E522" s="5">
        <f t="shared" si="34"/>
        <v>1</v>
      </c>
      <c r="F522" s="4">
        <v>187</v>
      </c>
      <c r="G522" s="5" t="s">
        <v>38</v>
      </c>
      <c r="H522" s="5">
        <v>52</v>
      </c>
      <c r="I522" s="5">
        <f t="shared" si="33"/>
        <v>329.63372180082422</v>
      </c>
      <c r="J522" s="5">
        <f t="shared" si="35"/>
        <v>3</v>
      </c>
    </row>
    <row r="523" spans="1:10" x14ac:dyDescent="0.2">
      <c r="A523">
        <v>192.75</v>
      </c>
      <c r="B523" t="s">
        <v>219</v>
      </c>
      <c r="C523" s="5">
        <v>55</v>
      </c>
      <c r="D523" s="5">
        <f t="shared" si="32"/>
        <v>392.00377257605692</v>
      </c>
      <c r="E523" s="5">
        <f t="shared" si="34"/>
        <v>0</v>
      </c>
      <c r="F523" s="4">
        <v>187.5</v>
      </c>
      <c r="G523" s="5" t="s">
        <v>247</v>
      </c>
      <c r="H523" s="5">
        <v>50</v>
      </c>
      <c r="I523" s="5">
        <f t="shared" si="33"/>
        <v>293.66975814369101</v>
      </c>
      <c r="J523" s="5">
        <f t="shared" si="35"/>
        <v>2</v>
      </c>
    </row>
    <row r="524" spans="1:10" x14ac:dyDescent="0.2">
      <c r="A524">
        <v>193</v>
      </c>
      <c r="B524" t="s">
        <v>219</v>
      </c>
      <c r="C524" s="5">
        <v>55</v>
      </c>
      <c r="D524" s="5">
        <f t="shared" si="32"/>
        <v>392.00377257605692</v>
      </c>
      <c r="E524" s="5">
        <f t="shared" si="34"/>
        <v>0</v>
      </c>
      <c r="F524" s="4">
        <v>188</v>
      </c>
      <c r="G524" s="5" t="s">
        <v>271</v>
      </c>
      <c r="H524" s="5">
        <v>45</v>
      </c>
      <c r="I524" s="5">
        <f t="shared" si="33"/>
        <v>220.00279814001337</v>
      </c>
      <c r="J524" s="5">
        <f t="shared" si="35"/>
        <v>5</v>
      </c>
    </row>
    <row r="525" spans="1:10" x14ac:dyDescent="0.2">
      <c r="A525">
        <v>193.5</v>
      </c>
      <c r="B525" t="s">
        <v>219</v>
      </c>
      <c r="C525" s="5">
        <v>55</v>
      </c>
      <c r="D525" s="5">
        <f t="shared" si="32"/>
        <v>392.00377257605692</v>
      </c>
      <c r="E525" s="5">
        <f t="shared" si="34"/>
        <v>0</v>
      </c>
      <c r="F525" s="4">
        <v>188.25</v>
      </c>
      <c r="G525" s="5" t="s">
        <v>270</v>
      </c>
      <c r="H525" s="5">
        <v>46</v>
      </c>
      <c r="I525" s="5">
        <f t="shared" si="33"/>
        <v>233.08504452861115</v>
      </c>
      <c r="J525" s="5">
        <f t="shared" si="35"/>
        <v>1</v>
      </c>
    </row>
    <row r="526" spans="1:10" x14ac:dyDescent="0.2">
      <c r="A526">
        <v>194</v>
      </c>
      <c r="B526" t="s">
        <v>218</v>
      </c>
      <c r="C526" s="5">
        <v>53</v>
      </c>
      <c r="D526" s="5">
        <f t="shared" si="32"/>
        <v>349.23506143398839</v>
      </c>
      <c r="E526" s="5">
        <f t="shared" si="34"/>
        <v>2</v>
      </c>
      <c r="F526" s="4">
        <v>188.5</v>
      </c>
      <c r="G526" s="5" t="s">
        <v>272</v>
      </c>
      <c r="H526" s="5">
        <v>47</v>
      </c>
      <c r="I526" s="5">
        <f t="shared" si="33"/>
        <v>246.94521361646048</v>
      </c>
      <c r="J526" s="5">
        <f t="shared" si="35"/>
        <v>1</v>
      </c>
    </row>
    <row r="527" spans="1:10" x14ac:dyDescent="0.2">
      <c r="A527">
        <v>194.25</v>
      </c>
      <c r="B527" t="s">
        <v>425</v>
      </c>
      <c r="C527" s="5">
        <v>54</v>
      </c>
      <c r="D527" s="5">
        <f t="shared" si="32"/>
        <v>370.00197512709912</v>
      </c>
      <c r="E527" s="5">
        <f t="shared" si="34"/>
        <v>1</v>
      </c>
      <c r="F527" s="4">
        <v>188.75</v>
      </c>
      <c r="G527" s="5" t="s">
        <v>273</v>
      </c>
      <c r="H527" s="5">
        <v>50</v>
      </c>
      <c r="I527" s="5">
        <f t="shared" si="33"/>
        <v>293.66975814369101</v>
      </c>
      <c r="J527" s="5">
        <f t="shared" si="35"/>
        <v>3</v>
      </c>
    </row>
    <row r="528" spans="1:10" x14ac:dyDescent="0.2">
      <c r="A528">
        <v>194.5</v>
      </c>
      <c r="B528" t="s">
        <v>220</v>
      </c>
      <c r="C528" s="5">
        <v>55</v>
      </c>
      <c r="D528" s="5">
        <f t="shared" si="32"/>
        <v>392.00377257605692</v>
      </c>
      <c r="E528" s="5">
        <f t="shared" si="34"/>
        <v>1</v>
      </c>
      <c r="F528" s="4">
        <v>189</v>
      </c>
      <c r="G528" s="5" t="s">
        <v>274</v>
      </c>
      <c r="H528" s="5">
        <v>59</v>
      </c>
      <c r="I528" s="5">
        <f t="shared" si="33"/>
        <v>493.89549345236594</v>
      </c>
      <c r="J528" s="5">
        <f t="shared" si="35"/>
        <v>9</v>
      </c>
    </row>
    <row r="529" spans="1:10" x14ac:dyDescent="0.2">
      <c r="A529">
        <v>194.75</v>
      </c>
      <c r="B529" t="s">
        <v>220</v>
      </c>
      <c r="C529" s="5">
        <v>55</v>
      </c>
      <c r="D529" s="5">
        <f t="shared" si="32"/>
        <v>392.00377257605692</v>
      </c>
      <c r="E529" s="5">
        <f t="shared" si="34"/>
        <v>0</v>
      </c>
      <c r="F529" s="4">
        <v>189.5</v>
      </c>
      <c r="G529" s="5" t="s">
        <v>53</v>
      </c>
      <c r="H529" s="5">
        <v>55</v>
      </c>
      <c r="I529" s="5">
        <f t="shared" si="33"/>
        <v>392.00377257605692</v>
      </c>
      <c r="J529" s="5">
        <f t="shared" si="35"/>
        <v>4</v>
      </c>
    </row>
    <row r="530" spans="1:10" x14ac:dyDescent="0.2">
      <c r="A530">
        <v>195</v>
      </c>
      <c r="B530" t="s">
        <v>220</v>
      </c>
      <c r="C530" s="5">
        <v>55</v>
      </c>
      <c r="D530" s="5">
        <f t="shared" si="32"/>
        <v>392.00377257605692</v>
      </c>
      <c r="E530" s="5">
        <f t="shared" si="34"/>
        <v>0</v>
      </c>
      <c r="F530" s="4">
        <v>190</v>
      </c>
      <c r="G530" s="5" t="s">
        <v>271</v>
      </c>
      <c r="H530" s="5">
        <v>45</v>
      </c>
      <c r="I530" s="5">
        <f t="shared" si="33"/>
        <v>220.00279814001337</v>
      </c>
      <c r="J530" s="5">
        <f t="shared" si="35"/>
        <v>10</v>
      </c>
    </row>
    <row r="531" spans="1:10" x14ac:dyDescent="0.2">
      <c r="A531">
        <v>195.5</v>
      </c>
      <c r="B531" t="s">
        <v>220</v>
      </c>
      <c r="C531" s="5">
        <v>55</v>
      </c>
      <c r="D531" s="5">
        <f t="shared" si="32"/>
        <v>392.00377257605692</v>
      </c>
      <c r="E531" s="5">
        <f t="shared" si="34"/>
        <v>0</v>
      </c>
      <c r="F531" s="4">
        <v>190.25</v>
      </c>
      <c r="G531" s="5" t="s">
        <v>270</v>
      </c>
      <c r="H531" s="5">
        <v>46</v>
      </c>
      <c r="I531" s="5">
        <f t="shared" si="33"/>
        <v>233.08504452861115</v>
      </c>
      <c r="J531" s="5">
        <f t="shared" si="35"/>
        <v>1</v>
      </c>
    </row>
    <row r="532" spans="1:10" x14ac:dyDescent="0.2">
      <c r="A532">
        <v>196</v>
      </c>
      <c r="B532" t="s">
        <v>281</v>
      </c>
      <c r="C532" s="5">
        <v>50</v>
      </c>
      <c r="D532" s="5">
        <f t="shared" si="32"/>
        <v>293.66975814369101</v>
      </c>
      <c r="E532" s="5">
        <f t="shared" si="34"/>
        <v>5</v>
      </c>
      <c r="F532" s="4">
        <v>190.5</v>
      </c>
      <c r="G532" s="5" t="s">
        <v>272</v>
      </c>
      <c r="H532" s="5">
        <v>47</v>
      </c>
      <c r="I532" s="5">
        <f t="shared" si="33"/>
        <v>246.94521361646048</v>
      </c>
      <c r="J532" s="5">
        <f t="shared" si="35"/>
        <v>1</v>
      </c>
    </row>
    <row r="533" spans="1:10" x14ac:dyDescent="0.2">
      <c r="A533">
        <v>196.25</v>
      </c>
      <c r="B533" t="s">
        <v>423</v>
      </c>
      <c r="C533" s="5">
        <v>52</v>
      </c>
      <c r="D533" s="5">
        <f t="shared" si="32"/>
        <v>329.63372180082422</v>
      </c>
      <c r="E533" s="5">
        <f t="shared" si="34"/>
        <v>2</v>
      </c>
      <c r="F533" s="4">
        <v>190.75</v>
      </c>
      <c r="G533" s="5" t="s">
        <v>273</v>
      </c>
      <c r="H533" s="5">
        <v>50</v>
      </c>
      <c r="I533" s="5">
        <f t="shared" si="33"/>
        <v>293.66975814369101</v>
      </c>
      <c r="J533" s="5">
        <f t="shared" si="35"/>
        <v>3</v>
      </c>
    </row>
    <row r="534" spans="1:10" x14ac:dyDescent="0.2">
      <c r="A534">
        <v>196.5</v>
      </c>
      <c r="B534" t="s">
        <v>218</v>
      </c>
      <c r="C534" s="5">
        <v>53</v>
      </c>
      <c r="D534" s="5">
        <f t="shared" si="32"/>
        <v>349.23506143398839</v>
      </c>
      <c r="E534" s="5">
        <f t="shared" si="34"/>
        <v>1</v>
      </c>
      <c r="F534" s="4">
        <v>191</v>
      </c>
      <c r="G534" s="5" t="s">
        <v>274</v>
      </c>
      <c r="H534" s="5">
        <v>59</v>
      </c>
      <c r="I534" s="5">
        <f t="shared" si="33"/>
        <v>493.89549345236594</v>
      </c>
      <c r="J534" s="5">
        <f t="shared" si="35"/>
        <v>9</v>
      </c>
    </row>
    <row r="535" spans="1:10" x14ac:dyDescent="0.2">
      <c r="A535">
        <v>196.75</v>
      </c>
      <c r="B535" t="s">
        <v>219</v>
      </c>
      <c r="C535" s="5">
        <v>55</v>
      </c>
      <c r="D535" s="5">
        <f t="shared" si="32"/>
        <v>392.00377257605692</v>
      </c>
      <c r="E535" s="5">
        <f t="shared" si="34"/>
        <v>2</v>
      </c>
      <c r="F535" s="4">
        <v>191.5</v>
      </c>
      <c r="G535" s="5" t="s">
        <v>53</v>
      </c>
      <c r="H535" s="5">
        <v>55</v>
      </c>
      <c r="I535" s="5">
        <f t="shared" si="33"/>
        <v>392.00377257605692</v>
      </c>
      <c r="J535" s="5">
        <f t="shared" si="35"/>
        <v>4</v>
      </c>
    </row>
    <row r="536" spans="1:10" x14ac:dyDescent="0.2">
      <c r="A536">
        <v>197</v>
      </c>
      <c r="B536" t="s">
        <v>281</v>
      </c>
      <c r="C536" s="5">
        <v>50</v>
      </c>
      <c r="D536" s="5">
        <f t="shared" si="32"/>
        <v>293.66975814369101</v>
      </c>
      <c r="E536" s="5">
        <f t="shared" si="34"/>
        <v>5</v>
      </c>
      <c r="F536" s="4">
        <v>192</v>
      </c>
      <c r="G536" s="5" t="s">
        <v>271</v>
      </c>
      <c r="H536" s="5">
        <v>45</v>
      </c>
      <c r="I536" s="5">
        <f t="shared" si="33"/>
        <v>220.00279814001337</v>
      </c>
      <c r="J536" s="5">
        <f t="shared" si="35"/>
        <v>10</v>
      </c>
    </row>
    <row r="537" spans="1:10" x14ac:dyDescent="0.2">
      <c r="A537">
        <v>197.25</v>
      </c>
      <c r="B537" t="s">
        <v>218</v>
      </c>
      <c r="C537" s="5">
        <v>53</v>
      </c>
      <c r="D537" s="5">
        <f t="shared" si="32"/>
        <v>349.23506143398839</v>
      </c>
      <c r="E537" s="5">
        <f t="shared" si="34"/>
        <v>3</v>
      </c>
      <c r="F537" s="4">
        <v>192.25</v>
      </c>
      <c r="G537" s="5" t="s">
        <v>270</v>
      </c>
      <c r="H537" s="5">
        <v>46</v>
      </c>
      <c r="I537" s="5">
        <f t="shared" si="33"/>
        <v>233.08504452861115</v>
      </c>
      <c r="J537" s="5">
        <f t="shared" si="35"/>
        <v>1</v>
      </c>
    </row>
    <row r="538" spans="1:10" x14ac:dyDescent="0.2">
      <c r="A538">
        <v>197.5</v>
      </c>
      <c r="B538" t="s">
        <v>219</v>
      </c>
      <c r="C538" s="5">
        <v>55</v>
      </c>
      <c r="D538" s="5">
        <f t="shared" si="32"/>
        <v>392.00377257605692</v>
      </c>
      <c r="E538" s="5">
        <f t="shared" si="34"/>
        <v>2</v>
      </c>
      <c r="F538" s="4">
        <v>192.5</v>
      </c>
      <c r="G538" s="5" t="s">
        <v>272</v>
      </c>
      <c r="H538" s="5">
        <v>47</v>
      </c>
      <c r="I538" s="5">
        <f t="shared" si="33"/>
        <v>246.94521361646048</v>
      </c>
      <c r="J538" s="5">
        <f t="shared" si="35"/>
        <v>1</v>
      </c>
    </row>
    <row r="539" spans="1:10" x14ac:dyDescent="0.2">
      <c r="A539">
        <v>197.75</v>
      </c>
      <c r="B539" t="s">
        <v>220</v>
      </c>
      <c r="C539" s="5">
        <v>55</v>
      </c>
      <c r="D539" s="5">
        <f t="shared" si="32"/>
        <v>392.00377257605692</v>
      </c>
      <c r="E539" s="5">
        <f t="shared" si="34"/>
        <v>0</v>
      </c>
      <c r="F539" s="4">
        <v>192.75</v>
      </c>
      <c r="G539" s="5" t="s">
        <v>273</v>
      </c>
      <c r="H539" s="5">
        <v>50</v>
      </c>
      <c r="I539" s="5">
        <f t="shared" si="33"/>
        <v>293.66975814369101</v>
      </c>
      <c r="J539" s="5">
        <f t="shared" si="35"/>
        <v>3</v>
      </c>
    </row>
    <row r="540" spans="1:10" x14ac:dyDescent="0.2">
      <c r="A540">
        <v>198</v>
      </c>
      <c r="B540" t="s">
        <v>431</v>
      </c>
      <c r="C540" s="5">
        <v>50</v>
      </c>
      <c r="D540" s="5">
        <f t="shared" si="32"/>
        <v>293.66975814369101</v>
      </c>
      <c r="E540" s="5">
        <f t="shared" si="34"/>
        <v>5</v>
      </c>
      <c r="F540" s="4">
        <v>193</v>
      </c>
      <c r="G540" s="5" t="s">
        <v>274</v>
      </c>
      <c r="H540" s="5">
        <v>59</v>
      </c>
      <c r="I540" s="5">
        <f t="shared" si="33"/>
        <v>493.89549345236594</v>
      </c>
      <c r="J540" s="5">
        <f t="shared" si="35"/>
        <v>9</v>
      </c>
    </row>
    <row r="541" spans="1:10" x14ac:dyDescent="0.2">
      <c r="A541">
        <v>198.25</v>
      </c>
      <c r="B541" t="s">
        <v>220</v>
      </c>
      <c r="C541" s="5">
        <v>55</v>
      </c>
      <c r="D541" s="5">
        <f t="shared" si="32"/>
        <v>392.00377257605692</v>
      </c>
      <c r="E541" s="5">
        <f t="shared" si="34"/>
        <v>5</v>
      </c>
      <c r="F541" s="4">
        <v>193.5</v>
      </c>
      <c r="G541" s="5" t="s">
        <v>53</v>
      </c>
      <c r="H541" s="5">
        <v>55</v>
      </c>
      <c r="I541" s="5">
        <f t="shared" si="33"/>
        <v>392.00377257605692</v>
      </c>
      <c r="J541" s="5">
        <f t="shared" si="35"/>
        <v>4</v>
      </c>
    </row>
    <row r="542" spans="1:10" x14ac:dyDescent="0.2">
      <c r="A542">
        <v>198.5</v>
      </c>
      <c r="B542" t="s">
        <v>282</v>
      </c>
      <c r="C542" s="5">
        <v>57</v>
      </c>
      <c r="D542" s="5">
        <f t="shared" si="32"/>
        <v>440.01010976071973</v>
      </c>
      <c r="E542" s="5">
        <f t="shared" si="34"/>
        <v>2</v>
      </c>
      <c r="F542" s="4">
        <v>194</v>
      </c>
      <c r="G542" s="5" t="s">
        <v>271</v>
      </c>
      <c r="H542" s="5">
        <v>45</v>
      </c>
      <c r="I542" s="5">
        <f t="shared" si="33"/>
        <v>220.00279814001337</v>
      </c>
      <c r="J542" s="5">
        <f t="shared" si="35"/>
        <v>10</v>
      </c>
    </row>
    <row r="543" spans="1:10" x14ac:dyDescent="0.2">
      <c r="A543">
        <v>198.75</v>
      </c>
      <c r="B543" t="s">
        <v>286</v>
      </c>
      <c r="C543" s="5">
        <v>55</v>
      </c>
      <c r="D543" s="5">
        <f t="shared" si="32"/>
        <v>392.00377257605692</v>
      </c>
      <c r="E543" s="5">
        <f t="shared" si="34"/>
        <v>2</v>
      </c>
      <c r="F543" s="4">
        <v>194.25</v>
      </c>
      <c r="G543" s="5" t="s">
        <v>270</v>
      </c>
      <c r="H543" s="5">
        <v>46</v>
      </c>
      <c r="I543" s="5">
        <f t="shared" si="33"/>
        <v>233.08504452861115</v>
      </c>
      <c r="J543" s="5">
        <f t="shared" si="35"/>
        <v>1</v>
      </c>
    </row>
    <row r="544" spans="1:10" x14ac:dyDescent="0.2">
      <c r="A544">
        <v>199</v>
      </c>
      <c r="B544" t="s">
        <v>429</v>
      </c>
      <c r="C544" s="5">
        <v>50</v>
      </c>
      <c r="D544" s="5">
        <f t="shared" si="32"/>
        <v>293.66975814369101</v>
      </c>
      <c r="E544" s="5">
        <f t="shared" si="34"/>
        <v>5</v>
      </c>
      <c r="F544" s="4">
        <v>194.5</v>
      </c>
      <c r="G544" s="5" t="s">
        <v>272</v>
      </c>
      <c r="H544" s="5">
        <v>47</v>
      </c>
      <c r="I544" s="5">
        <f t="shared" si="33"/>
        <v>246.94521361646048</v>
      </c>
      <c r="J544" s="5">
        <f t="shared" si="35"/>
        <v>1</v>
      </c>
    </row>
    <row r="545" spans="1:10" x14ac:dyDescent="0.2">
      <c r="A545">
        <v>199.25</v>
      </c>
      <c r="B545" t="s">
        <v>282</v>
      </c>
      <c r="C545" s="5">
        <v>57</v>
      </c>
      <c r="D545" s="5">
        <f t="shared" si="32"/>
        <v>440.01010976071973</v>
      </c>
      <c r="E545" s="5">
        <f t="shared" si="34"/>
        <v>7</v>
      </c>
      <c r="F545" s="4">
        <v>194.75</v>
      </c>
      <c r="G545" s="5" t="s">
        <v>273</v>
      </c>
      <c r="H545" s="5">
        <v>50</v>
      </c>
      <c r="I545" s="5">
        <f t="shared" si="33"/>
        <v>293.66975814369101</v>
      </c>
      <c r="J545" s="5">
        <f t="shared" si="35"/>
        <v>3</v>
      </c>
    </row>
    <row r="546" spans="1:10" x14ac:dyDescent="0.2">
      <c r="A546">
        <v>199.5</v>
      </c>
      <c r="B546" t="s">
        <v>283</v>
      </c>
      <c r="C546" s="5">
        <v>59</v>
      </c>
      <c r="D546" s="5">
        <f t="shared" si="32"/>
        <v>493.89549345236594</v>
      </c>
      <c r="E546" s="5">
        <f t="shared" si="34"/>
        <v>2</v>
      </c>
      <c r="F546" s="4">
        <v>195</v>
      </c>
      <c r="G546" s="5" t="s">
        <v>274</v>
      </c>
      <c r="H546" s="5">
        <v>59</v>
      </c>
      <c r="I546" s="5">
        <f t="shared" si="33"/>
        <v>493.89549345236594</v>
      </c>
      <c r="J546" s="5">
        <f t="shared" si="35"/>
        <v>9</v>
      </c>
    </row>
    <row r="547" spans="1:10" x14ac:dyDescent="0.2">
      <c r="A547">
        <v>199.75</v>
      </c>
      <c r="B547" t="s">
        <v>219</v>
      </c>
      <c r="C547" s="5">
        <v>55</v>
      </c>
      <c r="D547" s="5">
        <f t="shared" si="32"/>
        <v>392.00377257605692</v>
      </c>
      <c r="E547" s="5">
        <f t="shared" si="34"/>
        <v>4</v>
      </c>
      <c r="F547" s="4">
        <v>195.5</v>
      </c>
      <c r="G547" s="5" t="s">
        <v>53</v>
      </c>
      <c r="H547" s="5">
        <v>55</v>
      </c>
      <c r="I547" s="5">
        <f t="shared" si="33"/>
        <v>392.00377257605692</v>
      </c>
      <c r="J547" s="5">
        <f t="shared" si="35"/>
        <v>4</v>
      </c>
    </row>
    <row r="548" spans="1:10" x14ac:dyDescent="0.2">
      <c r="A548">
        <v>200</v>
      </c>
      <c r="B548" t="s">
        <v>287</v>
      </c>
      <c r="C548" s="5">
        <v>62</v>
      </c>
      <c r="D548" s="5">
        <f t="shared" si="32"/>
        <v>587.34554108704231</v>
      </c>
      <c r="E548" s="5">
        <f t="shared" si="34"/>
        <v>7</v>
      </c>
      <c r="F548" s="4">
        <v>196</v>
      </c>
      <c r="G548" s="5" t="s">
        <v>59</v>
      </c>
      <c r="H548" s="5">
        <v>40</v>
      </c>
      <c r="I548" s="5">
        <f t="shared" si="33"/>
        <v>164.8151702626221</v>
      </c>
      <c r="J548" s="5">
        <f t="shared" si="35"/>
        <v>15</v>
      </c>
    </row>
    <row r="549" spans="1:10" x14ac:dyDescent="0.2">
      <c r="A549">
        <v>200.5</v>
      </c>
      <c r="B549" t="s">
        <v>430</v>
      </c>
      <c r="C549" s="5">
        <v>67</v>
      </c>
      <c r="D549" s="5">
        <f t="shared" si="32"/>
        <v>784.01558732918636</v>
      </c>
      <c r="E549" s="5">
        <f t="shared" si="34"/>
        <v>5</v>
      </c>
      <c r="F549" s="4">
        <v>196.25</v>
      </c>
      <c r="G549" s="5" t="s">
        <v>56</v>
      </c>
      <c r="H549" s="5">
        <v>41</v>
      </c>
      <c r="I549" s="5">
        <f t="shared" si="33"/>
        <v>174.61573954711864</v>
      </c>
      <c r="J549" s="5">
        <f t="shared" si="35"/>
        <v>1</v>
      </c>
    </row>
    <row r="550" spans="1:10" x14ac:dyDescent="0.2">
      <c r="A550">
        <v>201</v>
      </c>
      <c r="B550" t="s">
        <v>432</v>
      </c>
      <c r="C550" s="5">
        <v>62</v>
      </c>
      <c r="D550" s="5">
        <f t="shared" si="32"/>
        <v>587.34554108704231</v>
      </c>
      <c r="E550" s="5">
        <f t="shared" si="34"/>
        <v>5</v>
      </c>
      <c r="F550" s="4">
        <v>196.5</v>
      </c>
      <c r="G550" s="5" t="s">
        <v>57</v>
      </c>
      <c r="H550" s="5">
        <v>43</v>
      </c>
      <c r="I550" s="5">
        <f t="shared" si="33"/>
        <v>195.99987576438383</v>
      </c>
      <c r="J550" s="5">
        <f t="shared" si="35"/>
        <v>2</v>
      </c>
    </row>
    <row r="551" spans="1:10" x14ac:dyDescent="0.2">
      <c r="A551">
        <v>201.5</v>
      </c>
      <c r="B551" t="s">
        <v>430</v>
      </c>
      <c r="C551" s="5">
        <v>67</v>
      </c>
      <c r="D551" s="5">
        <f t="shared" si="32"/>
        <v>784.01558732918636</v>
      </c>
      <c r="E551" s="5">
        <f t="shared" si="34"/>
        <v>5</v>
      </c>
      <c r="F551" s="4">
        <v>196.75</v>
      </c>
      <c r="G551" s="5" t="s">
        <v>273</v>
      </c>
      <c r="H551" s="5">
        <v>50</v>
      </c>
      <c r="I551" s="5">
        <f t="shared" si="33"/>
        <v>293.66975814369101</v>
      </c>
      <c r="J551" s="5">
        <f t="shared" si="35"/>
        <v>7</v>
      </c>
    </row>
    <row r="552" spans="1:10" x14ac:dyDescent="0.2">
      <c r="A552">
        <v>202</v>
      </c>
      <c r="B552" t="s">
        <v>287</v>
      </c>
      <c r="C552" s="5">
        <v>62</v>
      </c>
      <c r="D552" s="5">
        <f t="shared" si="32"/>
        <v>587.34554108704231</v>
      </c>
      <c r="E552" s="5">
        <f t="shared" si="34"/>
        <v>5</v>
      </c>
      <c r="F552" s="4">
        <v>197</v>
      </c>
      <c r="G552" s="5" t="s">
        <v>59</v>
      </c>
      <c r="H552" s="5">
        <v>40</v>
      </c>
      <c r="I552" s="5">
        <f t="shared" si="33"/>
        <v>164.8151702626221</v>
      </c>
      <c r="J552" s="5">
        <f t="shared" si="35"/>
        <v>10</v>
      </c>
    </row>
    <row r="553" spans="1:10" x14ac:dyDescent="0.2">
      <c r="A553">
        <v>202.5</v>
      </c>
      <c r="B553" t="s">
        <v>430</v>
      </c>
      <c r="C553" s="5">
        <v>67</v>
      </c>
      <c r="D553" s="5">
        <f t="shared" si="32"/>
        <v>784.01558732918636</v>
      </c>
      <c r="E553" s="5">
        <f t="shared" si="34"/>
        <v>5</v>
      </c>
      <c r="F553" s="4">
        <v>197.25</v>
      </c>
      <c r="G553" s="5" t="s">
        <v>57</v>
      </c>
      <c r="H553" s="5">
        <v>43</v>
      </c>
      <c r="I553" s="5">
        <f t="shared" si="33"/>
        <v>195.99987576438383</v>
      </c>
      <c r="J553" s="5">
        <f t="shared" si="35"/>
        <v>3</v>
      </c>
    </row>
    <row r="554" spans="1:10" x14ac:dyDescent="0.2">
      <c r="A554">
        <v>203</v>
      </c>
      <c r="B554" t="s">
        <v>287</v>
      </c>
      <c r="C554" s="5">
        <v>62</v>
      </c>
      <c r="D554" s="5">
        <f t="shared" si="32"/>
        <v>587.34554108704231</v>
      </c>
      <c r="E554" s="5">
        <f t="shared" si="34"/>
        <v>5</v>
      </c>
      <c r="F554" s="4">
        <v>197.5</v>
      </c>
      <c r="G554" s="5" t="s">
        <v>54</v>
      </c>
      <c r="H554" s="5">
        <v>45</v>
      </c>
      <c r="I554" s="5">
        <f t="shared" si="33"/>
        <v>220.00279814001337</v>
      </c>
      <c r="J554" s="5">
        <f t="shared" si="35"/>
        <v>2</v>
      </c>
    </row>
    <row r="555" spans="1:10" x14ac:dyDescent="0.2">
      <c r="A555">
        <v>203.5</v>
      </c>
      <c r="B555" t="s">
        <v>219</v>
      </c>
      <c r="C555" s="5">
        <v>55</v>
      </c>
      <c r="D555" s="5">
        <f t="shared" si="32"/>
        <v>392.00377257605692</v>
      </c>
      <c r="E555" s="5">
        <f t="shared" si="34"/>
        <v>7</v>
      </c>
      <c r="F555" s="4">
        <v>197.75</v>
      </c>
      <c r="G555" s="5" t="s">
        <v>273</v>
      </c>
      <c r="H555" s="5">
        <v>50</v>
      </c>
      <c r="I555" s="5">
        <f t="shared" si="33"/>
        <v>293.66975814369101</v>
      </c>
      <c r="J555" s="5">
        <f t="shared" si="35"/>
        <v>5</v>
      </c>
    </row>
    <row r="556" spans="1:10" x14ac:dyDescent="0.2">
      <c r="A556">
        <v>204</v>
      </c>
      <c r="B556" t="s">
        <v>281</v>
      </c>
      <c r="C556" s="5">
        <v>50</v>
      </c>
      <c r="D556" s="5">
        <f t="shared" si="32"/>
        <v>293.66975814369101</v>
      </c>
      <c r="E556" s="5">
        <f t="shared" si="34"/>
        <v>5</v>
      </c>
      <c r="F556" s="4">
        <v>198</v>
      </c>
      <c r="G556" s="5" t="s">
        <v>59</v>
      </c>
      <c r="H556" s="5">
        <v>40</v>
      </c>
      <c r="I556" s="5">
        <f t="shared" si="33"/>
        <v>164.8151702626221</v>
      </c>
      <c r="J556" s="5">
        <f t="shared" si="35"/>
        <v>10</v>
      </c>
    </row>
    <row r="557" spans="1:10" x14ac:dyDescent="0.2">
      <c r="A557">
        <v>204.25</v>
      </c>
      <c r="B557" t="s">
        <v>427</v>
      </c>
      <c r="C557" s="5">
        <v>52</v>
      </c>
      <c r="D557" s="5">
        <f t="shared" si="32"/>
        <v>329.63372180082422</v>
      </c>
      <c r="E557" s="5">
        <f t="shared" si="34"/>
        <v>2</v>
      </c>
      <c r="F557" s="4">
        <v>198.25</v>
      </c>
      <c r="G557" s="5" t="s">
        <v>54</v>
      </c>
      <c r="H557" s="5">
        <v>45</v>
      </c>
      <c r="I557" s="5">
        <f t="shared" si="33"/>
        <v>220.00279814001337</v>
      </c>
      <c r="J557" s="5">
        <f t="shared" si="35"/>
        <v>5</v>
      </c>
    </row>
    <row r="558" spans="1:10" x14ac:dyDescent="0.2">
      <c r="A558">
        <v>204.5</v>
      </c>
      <c r="B558" t="s">
        <v>433</v>
      </c>
      <c r="C558" s="5">
        <v>53</v>
      </c>
      <c r="D558" s="5">
        <f t="shared" si="32"/>
        <v>349.23506143398839</v>
      </c>
      <c r="E558" s="5">
        <f t="shared" si="34"/>
        <v>1</v>
      </c>
      <c r="F558" s="4">
        <v>198.5</v>
      </c>
      <c r="G558" s="5" t="s">
        <v>272</v>
      </c>
      <c r="H558" s="5">
        <v>47</v>
      </c>
      <c r="I558" s="5">
        <f t="shared" si="33"/>
        <v>246.94521361646048</v>
      </c>
      <c r="J558" s="5">
        <f t="shared" si="35"/>
        <v>2</v>
      </c>
    </row>
    <row r="559" spans="1:10" x14ac:dyDescent="0.2">
      <c r="A559">
        <v>204.75</v>
      </c>
      <c r="B559" t="s">
        <v>219</v>
      </c>
      <c r="C559" s="5">
        <v>55</v>
      </c>
      <c r="D559" s="5">
        <f t="shared" si="32"/>
        <v>392.00377257605692</v>
      </c>
      <c r="E559" s="5">
        <f t="shared" si="34"/>
        <v>2</v>
      </c>
      <c r="F559" s="4">
        <v>198.75</v>
      </c>
      <c r="G559" s="5" t="s">
        <v>273</v>
      </c>
      <c r="H559" s="5">
        <v>50</v>
      </c>
      <c r="I559" s="5">
        <f t="shared" si="33"/>
        <v>293.66975814369101</v>
      </c>
      <c r="J559" s="5">
        <f t="shared" si="35"/>
        <v>3</v>
      </c>
    </row>
    <row r="560" spans="1:10" x14ac:dyDescent="0.2">
      <c r="A560">
        <v>205</v>
      </c>
      <c r="B560" t="s">
        <v>429</v>
      </c>
      <c r="C560" s="5">
        <v>50</v>
      </c>
      <c r="D560" s="5">
        <f t="shared" si="32"/>
        <v>293.66975814369101</v>
      </c>
      <c r="E560" s="5">
        <f t="shared" si="34"/>
        <v>5</v>
      </c>
      <c r="F560" s="4">
        <v>199</v>
      </c>
      <c r="G560" s="5" t="s">
        <v>59</v>
      </c>
      <c r="H560" s="5">
        <v>40</v>
      </c>
      <c r="I560" s="5">
        <f t="shared" si="33"/>
        <v>164.8151702626221</v>
      </c>
      <c r="J560" s="5">
        <f t="shared" si="35"/>
        <v>10</v>
      </c>
    </row>
    <row r="561" spans="1:10" x14ac:dyDescent="0.2">
      <c r="A561">
        <v>205.25</v>
      </c>
      <c r="B561" t="s">
        <v>218</v>
      </c>
      <c r="C561" s="5">
        <v>53</v>
      </c>
      <c r="D561" s="5">
        <f t="shared" si="32"/>
        <v>349.23506143398839</v>
      </c>
      <c r="E561" s="5">
        <f t="shared" si="34"/>
        <v>3</v>
      </c>
      <c r="F561" s="4">
        <v>199.25</v>
      </c>
      <c r="G561" s="5" t="s">
        <v>57</v>
      </c>
      <c r="H561" s="5">
        <v>43</v>
      </c>
      <c r="I561" s="5">
        <f t="shared" si="33"/>
        <v>195.99987576438383</v>
      </c>
      <c r="J561" s="5">
        <f t="shared" si="35"/>
        <v>3</v>
      </c>
    </row>
    <row r="562" spans="1:10" x14ac:dyDescent="0.2">
      <c r="A562">
        <v>205.5</v>
      </c>
      <c r="B562" t="s">
        <v>219</v>
      </c>
      <c r="C562" s="5">
        <v>55</v>
      </c>
      <c r="D562" s="5">
        <f t="shared" si="32"/>
        <v>392.00377257605692</v>
      </c>
      <c r="E562" s="5">
        <f t="shared" si="34"/>
        <v>2</v>
      </c>
      <c r="F562" s="4">
        <v>199.5</v>
      </c>
      <c r="G562" s="5" t="s">
        <v>54</v>
      </c>
      <c r="H562" s="5">
        <v>45</v>
      </c>
      <c r="I562" s="5">
        <f t="shared" si="33"/>
        <v>220.00279814001337</v>
      </c>
      <c r="J562" s="5">
        <f t="shared" si="35"/>
        <v>2</v>
      </c>
    </row>
    <row r="563" spans="1:10" x14ac:dyDescent="0.2">
      <c r="A563">
        <v>205.75</v>
      </c>
      <c r="B563" t="s">
        <v>219</v>
      </c>
      <c r="C563" s="5">
        <v>55</v>
      </c>
      <c r="D563" s="5">
        <f t="shared" si="32"/>
        <v>392.00377257605692</v>
      </c>
      <c r="E563" s="5">
        <f t="shared" si="34"/>
        <v>0</v>
      </c>
      <c r="F563" s="4">
        <v>199.75</v>
      </c>
      <c r="G563" s="5" t="s">
        <v>273</v>
      </c>
      <c r="H563" s="5">
        <v>50</v>
      </c>
      <c r="I563" s="5">
        <f t="shared" si="33"/>
        <v>293.66975814369101</v>
      </c>
      <c r="J563" s="5">
        <f t="shared" si="35"/>
        <v>5</v>
      </c>
    </row>
    <row r="564" spans="1:10" x14ac:dyDescent="0.2">
      <c r="A564">
        <v>206</v>
      </c>
      <c r="B564" t="s">
        <v>281</v>
      </c>
      <c r="C564" s="5">
        <v>50</v>
      </c>
      <c r="D564" s="5">
        <f t="shared" si="32"/>
        <v>293.66975814369101</v>
      </c>
      <c r="E564" s="5">
        <f t="shared" si="34"/>
        <v>5</v>
      </c>
      <c r="F564" s="4">
        <v>200</v>
      </c>
      <c r="G564" s="5" t="s">
        <v>59</v>
      </c>
      <c r="H564" s="5">
        <v>40</v>
      </c>
      <c r="I564" s="5">
        <f t="shared" si="33"/>
        <v>164.8151702626221</v>
      </c>
      <c r="J564" s="5">
        <f t="shared" si="35"/>
        <v>10</v>
      </c>
    </row>
    <row r="565" spans="1:10" x14ac:dyDescent="0.2">
      <c r="A565">
        <v>206.25</v>
      </c>
      <c r="B565" t="s">
        <v>220</v>
      </c>
      <c r="C565" s="5">
        <v>55</v>
      </c>
      <c r="D565" s="5">
        <f t="shared" si="32"/>
        <v>392.00377257605692</v>
      </c>
      <c r="E565" s="5">
        <f t="shared" si="34"/>
        <v>5</v>
      </c>
      <c r="F565" s="4">
        <v>200.25</v>
      </c>
      <c r="G565" s="5" t="s">
        <v>56</v>
      </c>
      <c r="H565" s="5">
        <v>41</v>
      </c>
      <c r="I565" s="5">
        <f t="shared" si="33"/>
        <v>174.61573954711864</v>
      </c>
      <c r="J565" s="5">
        <f t="shared" si="35"/>
        <v>1</v>
      </c>
    </row>
    <row r="566" spans="1:10" x14ac:dyDescent="0.2">
      <c r="A566">
        <v>206.5</v>
      </c>
      <c r="B566" t="s">
        <v>282</v>
      </c>
      <c r="C566" s="5">
        <v>57</v>
      </c>
      <c r="D566" s="5">
        <f t="shared" si="32"/>
        <v>440.01010976071973</v>
      </c>
      <c r="E566" s="5">
        <f t="shared" si="34"/>
        <v>2</v>
      </c>
      <c r="F566" s="4">
        <v>200.5</v>
      </c>
      <c r="G566" s="5" t="s">
        <v>57</v>
      </c>
      <c r="H566" s="5">
        <v>43</v>
      </c>
      <c r="I566" s="5">
        <f t="shared" si="33"/>
        <v>195.99987576438383</v>
      </c>
      <c r="J566" s="5">
        <f t="shared" si="35"/>
        <v>2</v>
      </c>
    </row>
    <row r="567" spans="1:10" x14ac:dyDescent="0.2">
      <c r="A567">
        <v>206.75</v>
      </c>
      <c r="B567" t="s">
        <v>219</v>
      </c>
      <c r="C567" s="5">
        <v>55</v>
      </c>
      <c r="D567" s="5">
        <f t="shared" si="32"/>
        <v>392.00377257605692</v>
      </c>
      <c r="E567" s="5">
        <f t="shared" si="34"/>
        <v>2</v>
      </c>
      <c r="F567" s="4">
        <v>200.75</v>
      </c>
      <c r="G567" s="5" t="s">
        <v>273</v>
      </c>
      <c r="H567" s="5">
        <v>50</v>
      </c>
      <c r="I567" s="5">
        <f t="shared" si="33"/>
        <v>293.66975814369101</v>
      </c>
      <c r="J567" s="5">
        <f t="shared" si="35"/>
        <v>7</v>
      </c>
    </row>
    <row r="568" spans="1:10" x14ac:dyDescent="0.2">
      <c r="A568">
        <v>207</v>
      </c>
      <c r="B568" t="s">
        <v>281</v>
      </c>
      <c r="C568" s="5">
        <v>50</v>
      </c>
      <c r="D568" s="5">
        <f t="shared" si="32"/>
        <v>293.66975814369101</v>
      </c>
      <c r="E568" s="5">
        <f t="shared" si="34"/>
        <v>5</v>
      </c>
      <c r="F568" s="4">
        <v>201</v>
      </c>
      <c r="G568" s="5" t="s">
        <v>57</v>
      </c>
      <c r="H568" s="5">
        <v>43</v>
      </c>
      <c r="I568" s="5">
        <f t="shared" si="33"/>
        <v>195.99987576438383</v>
      </c>
      <c r="J568" s="5">
        <f t="shared" si="35"/>
        <v>7</v>
      </c>
    </row>
    <row r="569" spans="1:10" x14ac:dyDescent="0.2">
      <c r="A569">
        <v>207.25</v>
      </c>
      <c r="B569" t="s">
        <v>282</v>
      </c>
      <c r="C569" s="5">
        <v>57</v>
      </c>
      <c r="D569" s="5">
        <f t="shared" si="32"/>
        <v>440.01010976071973</v>
      </c>
      <c r="E569" s="5">
        <f t="shared" si="34"/>
        <v>7</v>
      </c>
      <c r="F569" s="4">
        <v>201.5</v>
      </c>
      <c r="G569" s="5" t="s">
        <v>53</v>
      </c>
      <c r="H569" s="5">
        <v>55</v>
      </c>
      <c r="I569" s="5">
        <f t="shared" si="33"/>
        <v>392.00377257605692</v>
      </c>
      <c r="J569" s="5">
        <f t="shared" si="35"/>
        <v>12</v>
      </c>
    </row>
    <row r="570" spans="1:10" x14ac:dyDescent="0.2">
      <c r="A570">
        <v>207.5</v>
      </c>
      <c r="B570" t="s">
        <v>284</v>
      </c>
      <c r="C570" s="5">
        <v>59</v>
      </c>
      <c r="D570" s="5">
        <f t="shared" si="32"/>
        <v>493.89549345236594</v>
      </c>
      <c r="E570" s="5">
        <f t="shared" si="34"/>
        <v>2</v>
      </c>
      <c r="F570" s="4">
        <v>202</v>
      </c>
      <c r="G570" s="5" t="s">
        <v>57</v>
      </c>
      <c r="H570" s="5">
        <v>43</v>
      </c>
      <c r="I570" s="5">
        <f t="shared" si="33"/>
        <v>195.99987576438383</v>
      </c>
      <c r="J570" s="5">
        <f t="shared" si="35"/>
        <v>12</v>
      </c>
    </row>
    <row r="571" spans="1:10" x14ac:dyDescent="0.2">
      <c r="A571">
        <v>207.75</v>
      </c>
      <c r="B571" t="s">
        <v>219</v>
      </c>
      <c r="C571" s="5">
        <v>55</v>
      </c>
      <c r="D571" s="5">
        <f t="shared" si="32"/>
        <v>392.00377257605692</v>
      </c>
      <c r="E571" s="5">
        <f t="shared" si="34"/>
        <v>4</v>
      </c>
      <c r="F571" s="4">
        <v>202.5</v>
      </c>
      <c r="G571" s="5" t="s">
        <v>61</v>
      </c>
      <c r="H571" s="5">
        <v>55</v>
      </c>
      <c r="I571" s="5">
        <f t="shared" si="33"/>
        <v>392.00377257605692</v>
      </c>
      <c r="J571" s="5">
        <f t="shared" si="35"/>
        <v>12</v>
      </c>
    </row>
    <row r="572" spans="1:10" x14ac:dyDescent="0.2">
      <c r="A572">
        <v>208</v>
      </c>
      <c r="B572" t="s">
        <v>285</v>
      </c>
      <c r="C572" s="5">
        <v>62</v>
      </c>
      <c r="D572" s="5">
        <f t="shared" si="32"/>
        <v>587.34554108704231</v>
      </c>
      <c r="E572" s="5">
        <f t="shared" si="34"/>
        <v>7</v>
      </c>
      <c r="F572" s="4">
        <v>203</v>
      </c>
      <c r="G572" s="5" t="s">
        <v>57</v>
      </c>
      <c r="H572" s="5">
        <v>43</v>
      </c>
      <c r="I572" s="5">
        <f t="shared" si="33"/>
        <v>195.99987576438383</v>
      </c>
      <c r="J572" s="5">
        <f t="shared" si="35"/>
        <v>12</v>
      </c>
    </row>
    <row r="573" spans="1:10" x14ac:dyDescent="0.2">
      <c r="A573">
        <v>208.5</v>
      </c>
      <c r="B573" t="s">
        <v>434</v>
      </c>
      <c r="C573" s="5">
        <v>67</v>
      </c>
      <c r="D573" s="5">
        <f t="shared" si="32"/>
        <v>784.01558732918636</v>
      </c>
      <c r="E573" s="5">
        <f t="shared" si="34"/>
        <v>5</v>
      </c>
      <c r="F573" s="4">
        <v>203.5</v>
      </c>
      <c r="G573" s="5" t="s">
        <v>53</v>
      </c>
      <c r="H573" s="5">
        <v>55</v>
      </c>
      <c r="I573" s="5">
        <f t="shared" si="33"/>
        <v>392.00377257605692</v>
      </c>
      <c r="J573" s="5">
        <f t="shared" si="35"/>
        <v>12</v>
      </c>
    </row>
    <row r="574" spans="1:10" x14ac:dyDescent="0.2">
      <c r="A574">
        <v>209</v>
      </c>
      <c r="B574" t="s">
        <v>435</v>
      </c>
      <c r="C574" s="5">
        <v>50</v>
      </c>
      <c r="D574" s="5">
        <f t="shared" si="32"/>
        <v>293.66975814369101</v>
      </c>
      <c r="E574" s="5">
        <f t="shared" si="34"/>
        <v>17</v>
      </c>
      <c r="F574" s="4">
        <v>204</v>
      </c>
      <c r="G574" s="5" t="s">
        <v>59</v>
      </c>
      <c r="H574" s="5">
        <v>40</v>
      </c>
      <c r="I574" s="5">
        <f t="shared" si="33"/>
        <v>164.8151702626221</v>
      </c>
      <c r="J574" s="5">
        <f t="shared" si="35"/>
        <v>15</v>
      </c>
    </row>
    <row r="575" spans="1:10" x14ac:dyDescent="0.2">
      <c r="A575">
        <v>209.5</v>
      </c>
      <c r="B575" t="s">
        <v>286</v>
      </c>
      <c r="C575" s="5">
        <v>55</v>
      </c>
      <c r="D575" s="5">
        <f t="shared" si="32"/>
        <v>392.00377257605692</v>
      </c>
      <c r="E575" s="5">
        <f t="shared" si="34"/>
        <v>5</v>
      </c>
      <c r="F575" s="4">
        <v>204.25</v>
      </c>
      <c r="G575" s="5" t="s">
        <v>56</v>
      </c>
      <c r="H575" s="5">
        <v>41</v>
      </c>
      <c r="I575" s="5">
        <f t="shared" si="33"/>
        <v>174.61573954711864</v>
      </c>
      <c r="J575" s="5">
        <f t="shared" si="35"/>
        <v>1</v>
      </c>
    </row>
    <row r="576" spans="1:10" x14ac:dyDescent="0.2">
      <c r="A576">
        <v>210</v>
      </c>
      <c r="B576" t="s">
        <v>281</v>
      </c>
      <c r="C576" s="5">
        <v>50</v>
      </c>
      <c r="D576" s="5">
        <f t="shared" si="32"/>
        <v>293.66975814369101</v>
      </c>
      <c r="E576" s="5">
        <f t="shared" si="34"/>
        <v>5</v>
      </c>
      <c r="F576" s="4">
        <v>204.5</v>
      </c>
      <c r="G576" s="5" t="s">
        <v>57</v>
      </c>
      <c r="H576" s="5">
        <v>43</v>
      </c>
      <c r="I576" s="5">
        <f t="shared" si="33"/>
        <v>195.99987576438383</v>
      </c>
      <c r="J576" s="5">
        <f t="shared" si="35"/>
        <v>2</v>
      </c>
    </row>
    <row r="577" spans="1:10" x14ac:dyDescent="0.2">
      <c r="A577">
        <v>210.5</v>
      </c>
      <c r="B577" t="s">
        <v>219</v>
      </c>
      <c r="C577" s="5">
        <v>55</v>
      </c>
      <c r="D577" s="5">
        <f t="shared" si="32"/>
        <v>392.00377257605692</v>
      </c>
      <c r="E577" s="5">
        <f t="shared" si="34"/>
        <v>5</v>
      </c>
      <c r="F577" s="4">
        <v>204.75</v>
      </c>
      <c r="G577" s="5" t="s">
        <v>273</v>
      </c>
      <c r="H577" s="5">
        <v>50</v>
      </c>
      <c r="I577" s="5">
        <f t="shared" si="33"/>
        <v>293.66975814369101</v>
      </c>
      <c r="J577" s="5">
        <f t="shared" si="35"/>
        <v>7</v>
      </c>
    </row>
    <row r="578" spans="1:10" x14ac:dyDescent="0.2">
      <c r="A578">
        <v>211</v>
      </c>
      <c r="B578" t="s">
        <v>281</v>
      </c>
      <c r="C578" s="5">
        <v>50</v>
      </c>
      <c r="D578" s="5">
        <f t="shared" si="32"/>
        <v>293.66975814369101</v>
      </c>
      <c r="E578" s="5">
        <f t="shared" si="34"/>
        <v>5</v>
      </c>
      <c r="F578" s="4">
        <v>205</v>
      </c>
      <c r="G578" s="5" t="s">
        <v>59</v>
      </c>
      <c r="H578" s="5">
        <v>40</v>
      </c>
      <c r="I578" s="5">
        <f t="shared" si="33"/>
        <v>164.8151702626221</v>
      </c>
      <c r="J578" s="5">
        <f t="shared" si="35"/>
        <v>10</v>
      </c>
    </row>
    <row r="579" spans="1:10" x14ac:dyDescent="0.2">
      <c r="A579">
        <v>211.5</v>
      </c>
      <c r="B579" t="s">
        <v>436</v>
      </c>
      <c r="C579" s="5">
        <v>55</v>
      </c>
      <c r="D579" s="5">
        <f t="shared" si="32"/>
        <v>392.00377257605692</v>
      </c>
      <c r="E579" s="5">
        <f t="shared" si="34"/>
        <v>5</v>
      </c>
      <c r="F579" s="4">
        <v>205.25</v>
      </c>
      <c r="G579" s="5" t="s">
        <v>57</v>
      </c>
      <c r="H579" s="5">
        <v>43</v>
      </c>
      <c r="I579" s="5">
        <f t="shared" si="33"/>
        <v>195.99987576438383</v>
      </c>
      <c r="J579" s="5">
        <f t="shared" si="35"/>
        <v>3</v>
      </c>
    </row>
    <row r="580" spans="1:10" x14ac:dyDescent="0.2">
      <c r="A580">
        <v>212</v>
      </c>
      <c r="B580" t="s">
        <v>281</v>
      </c>
      <c r="C580" s="5">
        <v>50</v>
      </c>
      <c r="D580" s="5">
        <f t="shared" ref="D580:D643" si="36">16.35117682*1.059464^C580</f>
        <v>293.66975814369101</v>
      </c>
      <c r="E580" s="5">
        <f t="shared" si="34"/>
        <v>5</v>
      </c>
      <c r="F580" s="4">
        <v>205.5</v>
      </c>
      <c r="G580" s="5" t="s">
        <v>54</v>
      </c>
      <c r="H580" s="5">
        <v>45</v>
      </c>
      <c r="I580" s="5">
        <f t="shared" ref="I580:I643" si="37">16.35117682*1.059464^H580</f>
        <v>220.00279814001337</v>
      </c>
      <c r="J580" s="5">
        <f t="shared" si="35"/>
        <v>2</v>
      </c>
    </row>
    <row r="581" spans="1:10" x14ac:dyDescent="0.2">
      <c r="A581">
        <v>212.25</v>
      </c>
      <c r="B581" t="s">
        <v>427</v>
      </c>
      <c r="C581" s="5">
        <v>52</v>
      </c>
      <c r="D581" s="5">
        <f t="shared" si="36"/>
        <v>329.63372180082422</v>
      </c>
      <c r="E581" s="5">
        <f t="shared" ref="E581:E644" si="38">ABS( C581-C580)</f>
        <v>2</v>
      </c>
      <c r="F581" s="4">
        <v>205.75</v>
      </c>
      <c r="G581" s="5" t="s">
        <v>273</v>
      </c>
      <c r="H581" s="5">
        <v>50</v>
      </c>
      <c r="I581" s="5">
        <f t="shared" si="37"/>
        <v>293.66975814369101</v>
      </c>
      <c r="J581" s="5">
        <f t="shared" ref="J581:J644" si="39">ABS( H581-H580)</f>
        <v>5</v>
      </c>
    </row>
    <row r="582" spans="1:10" x14ac:dyDescent="0.2">
      <c r="A582">
        <v>212.5</v>
      </c>
      <c r="B582" t="s">
        <v>433</v>
      </c>
      <c r="C582" s="5">
        <v>53</v>
      </c>
      <c r="D582" s="5">
        <f t="shared" si="36"/>
        <v>349.23506143398839</v>
      </c>
      <c r="E582" s="5">
        <f t="shared" si="38"/>
        <v>1</v>
      </c>
      <c r="F582" s="4">
        <v>206</v>
      </c>
      <c r="G582" s="5" t="s">
        <v>59</v>
      </c>
      <c r="H582" s="5">
        <v>40</v>
      </c>
      <c r="I582" s="5">
        <f t="shared" si="37"/>
        <v>164.8151702626221</v>
      </c>
      <c r="J582" s="5">
        <f t="shared" si="39"/>
        <v>10</v>
      </c>
    </row>
    <row r="583" spans="1:10" x14ac:dyDescent="0.2">
      <c r="A583">
        <v>212.75</v>
      </c>
      <c r="B583" t="s">
        <v>219</v>
      </c>
      <c r="C583" s="5">
        <v>55</v>
      </c>
      <c r="D583" s="5">
        <f t="shared" si="36"/>
        <v>392.00377257605692</v>
      </c>
      <c r="E583" s="5">
        <f t="shared" si="38"/>
        <v>2</v>
      </c>
      <c r="F583" s="4">
        <v>206.25</v>
      </c>
      <c r="G583" s="5" t="s">
        <v>54</v>
      </c>
      <c r="H583" s="5">
        <v>45</v>
      </c>
      <c r="I583" s="5">
        <f t="shared" si="37"/>
        <v>220.00279814001337</v>
      </c>
      <c r="J583" s="5">
        <f t="shared" si="39"/>
        <v>5</v>
      </c>
    </row>
    <row r="584" spans="1:10" x14ac:dyDescent="0.2">
      <c r="A584">
        <v>213</v>
      </c>
      <c r="B584" t="s">
        <v>281</v>
      </c>
      <c r="C584" s="5">
        <v>50</v>
      </c>
      <c r="D584" s="5">
        <f t="shared" si="36"/>
        <v>293.66975814369101</v>
      </c>
      <c r="E584" s="5">
        <f t="shared" si="38"/>
        <v>5</v>
      </c>
      <c r="F584" s="4">
        <v>206.5</v>
      </c>
      <c r="G584" s="5" t="s">
        <v>272</v>
      </c>
      <c r="H584" s="5">
        <v>47</v>
      </c>
      <c r="I584" s="5">
        <f t="shared" si="37"/>
        <v>246.94521361646048</v>
      </c>
      <c r="J584" s="5">
        <f t="shared" si="39"/>
        <v>2</v>
      </c>
    </row>
    <row r="585" spans="1:10" x14ac:dyDescent="0.2">
      <c r="A585">
        <v>213.25</v>
      </c>
      <c r="B585" t="s">
        <v>433</v>
      </c>
      <c r="C585" s="5">
        <v>53</v>
      </c>
      <c r="D585" s="5">
        <f t="shared" si="36"/>
        <v>349.23506143398839</v>
      </c>
      <c r="E585" s="5">
        <f t="shared" si="38"/>
        <v>3</v>
      </c>
      <c r="F585" s="4">
        <v>206.75</v>
      </c>
      <c r="G585" s="5" t="s">
        <v>273</v>
      </c>
      <c r="H585" s="5">
        <v>50</v>
      </c>
      <c r="I585" s="5">
        <f t="shared" si="37"/>
        <v>293.66975814369101</v>
      </c>
      <c r="J585" s="5">
        <f t="shared" si="39"/>
        <v>3</v>
      </c>
    </row>
    <row r="586" spans="1:10" x14ac:dyDescent="0.2">
      <c r="A586">
        <v>213.5</v>
      </c>
      <c r="B586" t="s">
        <v>219</v>
      </c>
      <c r="C586" s="5">
        <v>55</v>
      </c>
      <c r="D586" s="5">
        <f t="shared" si="36"/>
        <v>392.00377257605692</v>
      </c>
      <c r="E586" s="5">
        <f t="shared" si="38"/>
        <v>2</v>
      </c>
      <c r="F586" s="4">
        <v>207</v>
      </c>
      <c r="G586" s="5" t="s">
        <v>59</v>
      </c>
      <c r="H586" s="5">
        <v>40</v>
      </c>
      <c r="I586" s="5">
        <f t="shared" si="37"/>
        <v>164.8151702626221</v>
      </c>
      <c r="J586" s="5">
        <f t="shared" si="39"/>
        <v>10</v>
      </c>
    </row>
    <row r="587" spans="1:10" x14ac:dyDescent="0.2">
      <c r="A587">
        <v>213.75</v>
      </c>
      <c r="B587" t="s">
        <v>220</v>
      </c>
      <c r="C587" s="5">
        <v>55</v>
      </c>
      <c r="D587" s="5">
        <f t="shared" si="36"/>
        <v>392.00377257605692</v>
      </c>
      <c r="E587" s="5">
        <f t="shared" si="38"/>
        <v>0</v>
      </c>
      <c r="F587" s="4">
        <v>207.25</v>
      </c>
      <c r="G587" s="5" t="s">
        <v>57</v>
      </c>
      <c r="H587" s="5">
        <v>43</v>
      </c>
      <c r="I587" s="5">
        <f t="shared" si="37"/>
        <v>195.99987576438383</v>
      </c>
      <c r="J587" s="5">
        <f t="shared" si="39"/>
        <v>3</v>
      </c>
    </row>
    <row r="588" spans="1:10" x14ac:dyDescent="0.2">
      <c r="A588">
        <v>214</v>
      </c>
      <c r="B588" t="s">
        <v>429</v>
      </c>
      <c r="C588" s="5">
        <v>50</v>
      </c>
      <c r="D588" s="5">
        <f t="shared" si="36"/>
        <v>293.66975814369101</v>
      </c>
      <c r="E588" s="5">
        <f t="shared" si="38"/>
        <v>5</v>
      </c>
      <c r="F588" s="4">
        <v>207.5</v>
      </c>
      <c r="G588" s="5" t="s">
        <v>54</v>
      </c>
      <c r="H588" s="5">
        <v>45</v>
      </c>
      <c r="I588" s="5">
        <f t="shared" si="37"/>
        <v>220.00279814001337</v>
      </c>
      <c r="J588" s="5">
        <f t="shared" si="39"/>
        <v>2</v>
      </c>
    </row>
    <row r="589" spans="1:10" x14ac:dyDescent="0.2">
      <c r="A589">
        <v>214.25</v>
      </c>
      <c r="B589" t="s">
        <v>219</v>
      </c>
      <c r="C589" s="5">
        <v>55</v>
      </c>
      <c r="D589" s="5">
        <f t="shared" si="36"/>
        <v>392.00377257605692</v>
      </c>
      <c r="E589" s="5">
        <f t="shared" si="38"/>
        <v>5</v>
      </c>
      <c r="F589" s="4">
        <v>207.75</v>
      </c>
      <c r="G589" s="5" t="s">
        <v>273</v>
      </c>
      <c r="H589" s="5">
        <v>50</v>
      </c>
      <c r="I589" s="5">
        <f t="shared" si="37"/>
        <v>293.66975814369101</v>
      </c>
      <c r="J589" s="5">
        <f t="shared" si="39"/>
        <v>5</v>
      </c>
    </row>
    <row r="590" spans="1:10" x14ac:dyDescent="0.2">
      <c r="A590">
        <v>214.5</v>
      </c>
      <c r="B590" t="s">
        <v>289</v>
      </c>
      <c r="C590" s="5">
        <v>57</v>
      </c>
      <c r="D590" s="5">
        <f t="shared" si="36"/>
        <v>440.01010976071973</v>
      </c>
      <c r="E590" s="5">
        <f t="shared" si="38"/>
        <v>2</v>
      </c>
      <c r="F590" s="4">
        <v>208</v>
      </c>
      <c r="G590" s="5" t="s">
        <v>59</v>
      </c>
      <c r="H590" s="5">
        <v>40</v>
      </c>
      <c r="I590" s="5">
        <f t="shared" si="37"/>
        <v>164.8151702626221</v>
      </c>
      <c r="J590" s="5">
        <f t="shared" si="39"/>
        <v>10</v>
      </c>
    </row>
    <row r="591" spans="1:10" x14ac:dyDescent="0.2">
      <c r="A591">
        <v>214.75</v>
      </c>
      <c r="B591" t="s">
        <v>219</v>
      </c>
      <c r="C591" s="5">
        <v>55</v>
      </c>
      <c r="D591" s="5">
        <f t="shared" si="36"/>
        <v>392.00377257605692</v>
      </c>
      <c r="E591" s="5">
        <f t="shared" si="38"/>
        <v>2</v>
      </c>
      <c r="F591" s="4">
        <v>208.25</v>
      </c>
      <c r="G591" s="5" t="s">
        <v>56</v>
      </c>
      <c r="H591" s="5">
        <v>41</v>
      </c>
      <c r="I591" s="5">
        <f t="shared" si="37"/>
        <v>174.61573954711864</v>
      </c>
      <c r="J591" s="5">
        <f t="shared" si="39"/>
        <v>1</v>
      </c>
    </row>
    <row r="592" spans="1:10" x14ac:dyDescent="0.2">
      <c r="A592">
        <v>215</v>
      </c>
      <c r="B592" t="s">
        <v>281</v>
      </c>
      <c r="C592" s="5">
        <v>50</v>
      </c>
      <c r="D592" s="5">
        <f t="shared" si="36"/>
        <v>293.66975814369101</v>
      </c>
      <c r="E592" s="5">
        <f t="shared" si="38"/>
        <v>5</v>
      </c>
      <c r="F592" s="4">
        <v>208.5</v>
      </c>
      <c r="G592" s="5" t="s">
        <v>57</v>
      </c>
      <c r="H592" s="5">
        <v>43</v>
      </c>
      <c r="I592" s="5">
        <f t="shared" si="37"/>
        <v>195.99987576438383</v>
      </c>
      <c r="J592" s="5">
        <f t="shared" si="39"/>
        <v>2</v>
      </c>
    </row>
    <row r="593" spans="1:10" x14ac:dyDescent="0.2">
      <c r="A593">
        <v>215.25</v>
      </c>
      <c r="B593" t="s">
        <v>282</v>
      </c>
      <c r="C593" s="5">
        <v>57</v>
      </c>
      <c r="D593" s="5">
        <f t="shared" si="36"/>
        <v>440.01010976071973</v>
      </c>
      <c r="E593" s="5">
        <f t="shared" si="38"/>
        <v>7</v>
      </c>
      <c r="F593" s="4">
        <v>208.75</v>
      </c>
      <c r="G593" s="5" t="s">
        <v>273</v>
      </c>
      <c r="H593" s="5">
        <v>50</v>
      </c>
      <c r="I593" s="5">
        <f t="shared" si="37"/>
        <v>293.66975814369101</v>
      </c>
      <c r="J593" s="5">
        <f t="shared" si="39"/>
        <v>7</v>
      </c>
    </row>
    <row r="594" spans="1:10" x14ac:dyDescent="0.2">
      <c r="A594">
        <v>215.5</v>
      </c>
      <c r="B594" t="s">
        <v>283</v>
      </c>
      <c r="C594" s="5">
        <v>59</v>
      </c>
      <c r="D594" s="5">
        <f t="shared" si="36"/>
        <v>493.89549345236594</v>
      </c>
      <c r="E594" s="5">
        <f t="shared" si="38"/>
        <v>2</v>
      </c>
      <c r="F594" s="4">
        <v>209</v>
      </c>
      <c r="G594" s="5" t="s">
        <v>57</v>
      </c>
      <c r="H594" s="5">
        <v>43</v>
      </c>
      <c r="I594" s="5">
        <f t="shared" si="37"/>
        <v>195.99987576438383</v>
      </c>
      <c r="J594" s="5">
        <f t="shared" si="39"/>
        <v>7</v>
      </c>
    </row>
    <row r="595" spans="1:10" x14ac:dyDescent="0.2">
      <c r="A595">
        <v>215.75</v>
      </c>
      <c r="B595" t="s">
        <v>219</v>
      </c>
      <c r="C595" s="5">
        <v>55</v>
      </c>
      <c r="D595" s="5">
        <f t="shared" si="36"/>
        <v>392.00377257605692</v>
      </c>
      <c r="E595" s="5">
        <f t="shared" si="38"/>
        <v>4</v>
      </c>
      <c r="F595" s="4">
        <v>209.5</v>
      </c>
      <c r="G595" s="5" t="s">
        <v>53</v>
      </c>
      <c r="H595" s="5">
        <v>55</v>
      </c>
      <c r="I595" s="5">
        <f t="shared" si="37"/>
        <v>392.00377257605692</v>
      </c>
      <c r="J595" s="5">
        <f t="shared" si="39"/>
        <v>12</v>
      </c>
    </row>
    <row r="596" spans="1:10" x14ac:dyDescent="0.2">
      <c r="A596">
        <v>216</v>
      </c>
      <c r="B596" t="s">
        <v>285</v>
      </c>
      <c r="C596" s="5">
        <v>62</v>
      </c>
      <c r="D596" s="5">
        <f t="shared" si="36"/>
        <v>587.34554108704231</v>
      </c>
      <c r="E596" s="5">
        <f t="shared" si="38"/>
        <v>7</v>
      </c>
      <c r="F596" s="4">
        <v>210</v>
      </c>
      <c r="G596" s="5" t="s">
        <v>57</v>
      </c>
      <c r="H596" s="5">
        <v>43</v>
      </c>
      <c r="I596" s="5">
        <f t="shared" si="37"/>
        <v>195.99987576438383</v>
      </c>
      <c r="J596" s="5">
        <f t="shared" si="39"/>
        <v>12</v>
      </c>
    </row>
    <row r="597" spans="1:10" x14ac:dyDescent="0.2">
      <c r="A597">
        <v>216.5</v>
      </c>
      <c r="B597" t="s">
        <v>430</v>
      </c>
      <c r="C597" s="5">
        <v>67</v>
      </c>
      <c r="D597" s="5">
        <f t="shared" si="36"/>
        <v>784.01558732918636</v>
      </c>
      <c r="E597" s="5">
        <f t="shared" si="38"/>
        <v>5</v>
      </c>
      <c r="F597" s="4">
        <v>210.5</v>
      </c>
      <c r="G597" s="5" t="s">
        <v>61</v>
      </c>
      <c r="H597" s="5">
        <v>55</v>
      </c>
      <c r="I597" s="5">
        <f t="shared" si="37"/>
        <v>392.00377257605692</v>
      </c>
      <c r="J597" s="5">
        <f t="shared" si="39"/>
        <v>12</v>
      </c>
    </row>
    <row r="598" spans="1:10" x14ac:dyDescent="0.2">
      <c r="A598">
        <v>217</v>
      </c>
      <c r="B598" t="s">
        <v>437</v>
      </c>
      <c r="C598" s="5">
        <v>62</v>
      </c>
      <c r="D598" s="5">
        <f t="shared" si="36"/>
        <v>587.34554108704231</v>
      </c>
      <c r="E598" s="5">
        <f t="shared" si="38"/>
        <v>5</v>
      </c>
      <c r="F598" s="4">
        <v>211</v>
      </c>
      <c r="G598" s="5" t="s">
        <v>57</v>
      </c>
      <c r="H598" s="5">
        <v>43</v>
      </c>
      <c r="I598" s="5">
        <f t="shared" si="37"/>
        <v>195.99987576438383</v>
      </c>
      <c r="J598" s="5">
        <f t="shared" si="39"/>
        <v>12</v>
      </c>
    </row>
    <row r="599" spans="1:10" x14ac:dyDescent="0.2">
      <c r="A599">
        <v>217.5</v>
      </c>
      <c r="B599" t="s">
        <v>430</v>
      </c>
      <c r="C599" s="5">
        <v>67</v>
      </c>
      <c r="D599" s="5">
        <f t="shared" si="36"/>
        <v>784.01558732918636</v>
      </c>
      <c r="E599" s="5">
        <f t="shared" si="38"/>
        <v>5</v>
      </c>
      <c r="F599" s="4">
        <v>211.5</v>
      </c>
      <c r="G599" s="5" t="s">
        <v>53</v>
      </c>
      <c r="H599" s="5">
        <v>55</v>
      </c>
      <c r="I599" s="5">
        <f t="shared" si="37"/>
        <v>392.00377257605692</v>
      </c>
      <c r="J599" s="5">
        <f t="shared" si="39"/>
        <v>12</v>
      </c>
    </row>
    <row r="600" spans="1:10" x14ac:dyDescent="0.2">
      <c r="A600">
        <v>218</v>
      </c>
      <c r="B600" t="s">
        <v>438</v>
      </c>
      <c r="C600" s="5">
        <v>62</v>
      </c>
      <c r="D600" s="5">
        <f t="shared" si="36"/>
        <v>587.34554108704231</v>
      </c>
      <c r="E600" s="5">
        <f t="shared" si="38"/>
        <v>5</v>
      </c>
      <c r="F600" s="4">
        <v>212</v>
      </c>
      <c r="G600" s="5" t="s">
        <v>59</v>
      </c>
      <c r="H600" s="5">
        <v>40</v>
      </c>
      <c r="I600" s="5">
        <f t="shared" si="37"/>
        <v>164.8151702626221</v>
      </c>
      <c r="J600" s="5">
        <f t="shared" si="39"/>
        <v>15</v>
      </c>
    </row>
    <row r="601" spans="1:10" x14ac:dyDescent="0.2">
      <c r="A601">
        <v>218.5</v>
      </c>
      <c r="B601" t="s">
        <v>430</v>
      </c>
      <c r="C601" s="5">
        <v>67</v>
      </c>
      <c r="D601" s="5">
        <f t="shared" si="36"/>
        <v>784.01558732918636</v>
      </c>
      <c r="E601" s="5">
        <f t="shared" si="38"/>
        <v>5</v>
      </c>
      <c r="F601" s="4">
        <v>212.25</v>
      </c>
      <c r="G601" s="5" t="s">
        <v>56</v>
      </c>
      <c r="H601" s="5">
        <v>41</v>
      </c>
      <c r="I601" s="5">
        <f t="shared" si="37"/>
        <v>174.61573954711864</v>
      </c>
      <c r="J601" s="5">
        <f t="shared" si="39"/>
        <v>1</v>
      </c>
    </row>
    <row r="602" spans="1:10" x14ac:dyDescent="0.2">
      <c r="A602">
        <v>219</v>
      </c>
      <c r="B602" t="s">
        <v>287</v>
      </c>
      <c r="C602" s="5">
        <v>62</v>
      </c>
      <c r="D602" s="5">
        <f t="shared" si="36"/>
        <v>587.34554108704231</v>
      </c>
      <c r="E602" s="5">
        <f t="shared" si="38"/>
        <v>5</v>
      </c>
      <c r="F602" s="4">
        <v>212.5</v>
      </c>
      <c r="G602" s="5" t="s">
        <v>57</v>
      </c>
      <c r="H602" s="5">
        <v>43</v>
      </c>
      <c r="I602" s="5">
        <f t="shared" si="37"/>
        <v>195.99987576438383</v>
      </c>
      <c r="J602" s="5">
        <f t="shared" si="39"/>
        <v>2</v>
      </c>
    </row>
    <row r="603" spans="1:10" x14ac:dyDescent="0.2">
      <c r="A603">
        <v>219.5</v>
      </c>
      <c r="B603" t="s">
        <v>219</v>
      </c>
      <c r="C603" s="5">
        <v>55</v>
      </c>
      <c r="D603" s="5">
        <f t="shared" si="36"/>
        <v>392.00377257605692</v>
      </c>
      <c r="E603" s="5">
        <f t="shared" si="38"/>
        <v>7</v>
      </c>
      <c r="F603" s="4">
        <v>212.75</v>
      </c>
      <c r="G603" s="5" t="s">
        <v>273</v>
      </c>
      <c r="H603" s="5">
        <v>50</v>
      </c>
      <c r="I603" s="5">
        <f t="shared" si="37"/>
        <v>293.66975814369101</v>
      </c>
      <c r="J603" s="5">
        <f t="shared" si="39"/>
        <v>7</v>
      </c>
    </row>
    <row r="604" spans="1:10" x14ac:dyDescent="0.2">
      <c r="A604">
        <v>220</v>
      </c>
      <c r="B604" t="s">
        <v>281</v>
      </c>
      <c r="C604" s="5">
        <v>50</v>
      </c>
      <c r="D604" s="5">
        <f t="shared" si="36"/>
        <v>293.66975814369101</v>
      </c>
      <c r="E604" s="5">
        <f t="shared" si="38"/>
        <v>5</v>
      </c>
      <c r="F604" s="4">
        <v>213</v>
      </c>
      <c r="G604" s="5" t="s">
        <v>59</v>
      </c>
      <c r="H604" s="5">
        <v>40</v>
      </c>
      <c r="I604" s="5">
        <f t="shared" si="37"/>
        <v>164.8151702626221</v>
      </c>
      <c r="J604" s="5">
        <f t="shared" si="39"/>
        <v>10</v>
      </c>
    </row>
    <row r="605" spans="1:10" x14ac:dyDescent="0.2">
      <c r="A605">
        <v>220.25</v>
      </c>
      <c r="B605" t="s">
        <v>427</v>
      </c>
      <c r="C605" s="5">
        <v>52</v>
      </c>
      <c r="D605" s="5">
        <f t="shared" si="36"/>
        <v>329.63372180082422</v>
      </c>
      <c r="E605" s="5">
        <f t="shared" si="38"/>
        <v>2</v>
      </c>
      <c r="F605" s="4">
        <v>213.25</v>
      </c>
      <c r="G605" s="5" t="s">
        <v>57</v>
      </c>
      <c r="H605" s="5">
        <v>43</v>
      </c>
      <c r="I605" s="5">
        <f t="shared" si="37"/>
        <v>195.99987576438383</v>
      </c>
      <c r="J605" s="5">
        <f t="shared" si="39"/>
        <v>3</v>
      </c>
    </row>
    <row r="606" spans="1:10" x14ac:dyDescent="0.2">
      <c r="A606">
        <v>220.5</v>
      </c>
      <c r="B606" t="s">
        <v>433</v>
      </c>
      <c r="C606" s="5">
        <v>53</v>
      </c>
      <c r="D606" s="5">
        <f t="shared" si="36"/>
        <v>349.23506143398839</v>
      </c>
      <c r="E606" s="5">
        <f t="shared" si="38"/>
        <v>1</v>
      </c>
      <c r="F606" s="4">
        <v>213.5</v>
      </c>
      <c r="G606" s="5" t="s">
        <v>54</v>
      </c>
      <c r="H606" s="5">
        <v>45</v>
      </c>
      <c r="I606" s="5">
        <f t="shared" si="37"/>
        <v>220.00279814001337</v>
      </c>
      <c r="J606" s="5">
        <f t="shared" si="39"/>
        <v>2</v>
      </c>
    </row>
    <row r="607" spans="1:10" x14ac:dyDescent="0.2">
      <c r="A607">
        <v>220.75</v>
      </c>
      <c r="B607" t="s">
        <v>220</v>
      </c>
      <c r="C607" s="5">
        <v>55</v>
      </c>
      <c r="D607" s="5">
        <f t="shared" si="36"/>
        <v>392.00377257605692</v>
      </c>
      <c r="E607" s="5">
        <f t="shared" si="38"/>
        <v>2</v>
      </c>
      <c r="F607" s="4">
        <v>213.75</v>
      </c>
      <c r="G607" s="5" t="s">
        <v>273</v>
      </c>
      <c r="H607" s="5">
        <v>50</v>
      </c>
      <c r="I607" s="5">
        <f t="shared" si="37"/>
        <v>293.66975814369101</v>
      </c>
      <c r="J607" s="5">
        <f t="shared" si="39"/>
        <v>5</v>
      </c>
    </row>
    <row r="608" spans="1:10" x14ac:dyDescent="0.2">
      <c r="A608">
        <v>221</v>
      </c>
      <c r="B608" t="s">
        <v>281</v>
      </c>
      <c r="C608" s="5">
        <v>50</v>
      </c>
      <c r="D608" s="5">
        <f t="shared" si="36"/>
        <v>293.66975814369101</v>
      </c>
      <c r="E608" s="5">
        <f t="shared" si="38"/>
        <v>5</v>
      </c>
      <c r="F608" s="4">
        <v>214</v>
      </c>
      <c r="G608" s="5" t="s">
        <v>59</v>
      </c>
      <c r="H608" s="5">
        <v>40</v>
      </c>
      <c r="I608" s="5">
        <f t="shared" si="37"/>
        <v>164.8151702626221</v>
      </c>
      <c r="J608" s="5">
        <f t="shared" si="39"/>
        <v>10</v>
      </c>
    </row>
    <row r="609" spans="1:10" x14ac:dyDescent="0.2">
      <c r="A609">
        <v>221.25</v>
      </c>
      <c r="B609" t="s">
        <v>433</v>
      </c>
      <c r="C609" s="5">
        <v>53</v>
      </c>
      <c r="D609" s="5">
        <f t="shared" si="36"/>
        <v>349.23506143398839</v>
      </c>
      <c r="E609" s="5">
        <f t="shared" si="38"/>
        <v>3</v>
      </c>
      <c r="F609" s="4">
        <v>214.25</v>
      </c>
      <c r="G609" s="5" t="s">
        <v>54</v>
      </c>
      <c r="H609" s="5">
        <v>45</v>
      </c>
      <c r="I609" s="5">
        <f t="shared" si="37"/>
        <v>220.00279814001337</v>
      </c>
      <c r="J609" s="5">
        <f t="shared" si="39"/>
        <v>5</v>
      </c>
    </row>
    <row r="610" spans="1:10" x14ac:dyDescent="0.2">
      <c r="A610">
        <v>221.5</v>
      </c>
      <c r="B610" t="s">
        <v>219</v>
      </c>
      <c r="C610" s="5">
        <v>55</v>
      </c>
      <c r="D610" s="5">
        <f t="shared" si="36"/>
        <v>392.00377257605692</v>
      </c>
      <c r="E610" s="5">
        <f t="shared" si="38"/>
        <v>2</v>
      </c>
      <c r="F610" s="4">
        <v>214.5</v>
      </c>
      <c r="G610" s="5" t="s">
        <v>272</v>
      </c>
      <c r="H610" s="5">
        <v>47</v>
      </c>
      <c r="I610" s="5">
        <f t="shared" si="37"/>
        <v>246.94521361646048</v>
      </c>
      <c r="J610" s="5">
        <f t="shared" si="39"/>
        <v>2</v>
      </c>
    </row>
    <row r="611" spans="1:10" x14ac:dyDescent="0.2">
      <c r="A611">
        <v>221.75</v>
      </c>
      <c r="B611" t="s">
        <v>219</v>
      </c>
      <c r="C611" s="5">
        <v>55</v>
      </c>
      <c r="D611" s="5">
        <f t="shared" si="36"/>
        <v>392.00377257605692</v>
      </c>
      <c r="E611" s="5">
        <f t="shared" si="38"/>
        <v>0</v>
      </c>
      <c r="F611" s="4">
        <v>214.75</v>
      </c>
      <c r="G611" s="5" t="s">
        <v>273</v>
      </c>
      <c r="H611" s="5">
        <v>50</v>
      </c>
      <c r="I611" s="5">
        <f t="shared" si="37"/>
        <v>293.66975814369101</v>
      </c>
      <c r="J611" s="5">
        <f t="shared" si="39"/>
        <v>3</v>
      </c>
    </row>
    <row r="612" spans="1:10" x14ac:dyDescent="0.2">
      <c r="A612">
        <v>222</v>
      </c>
      <c r="B612" t="s">
        <v>281</v>
      </c>
      <c r="C612" s="5">
        <v>50</v>
      </c>
      <c r="D612" s="5">
        <f t="shared" si="36"/>
        <v>293.66975814369101</v>
      </c>
      <c r="E612" s="5">
        <f t="shared" si="38"/>
        <v>5</v>
      </c>
      <c r="F612" s="4">
        <v>215</v>
      </c>
      <c r="G612" s="5" t="s">
        <v>59</v>
      </c>
      <c r="H612" s="5">
        <v>40</v>
      </c>
      <c r="I612" s="5">
        <f t="shared" si="37"/>
        <v>164.8151702626221</v>
      </c>
      <c r="J612" s="5">
        <f t="shared" si="39"/>
        <v>10</v>
      </c>
    </row>
    <row r="613" spans="1:10" x14ac:dyDescent="0.2">
      <c r="A613">
        <v>222.25</v>
      </c>
      <c r="B613" t="s">
        <v>439</v>
      </c>
      <c r="C613" s="5">
        <v>55</v>
      </c>
      <c r="D613" s="5">
        <f t="shared" si="36"/>
        <v>392.00377257605692</v>
      </c>
      <c r="E613" s="5">
        <f t="shared" si="38"/>
        <v>5</v>
      </c>
      <c r="F613" s="4">
        <v>215.25</v>
      </c>
      <c r="G613" s="5" t="s">
        <v>57</v>
      </c>
      <c r="H613" s="5">
        <v>43</v>
      </c>
      <c r="I613" s="5">
        <f t="shared" si="37"/>
        <v>195.99987576438383</v>
      </c>
      <c r="J613" s="5">
        <f t="shared" si="39"/>
        <v>3</v>
      </c>
    </row>
    <row r="614" spans="1:10" x14ac:dyDescent="0.2">
      <c r="A614">
        <v>222.5</v>
      </c>
      <c r="B614" t="s">
        <v>282</v>
      </c>
      <c r="C614" s="5">
        <v>57</v>
      </c>
      <c r="D614" s="5">
        <f t="shared" si="36"/>
        <v>440.01010976071973</v>
      </c>
      <c r="E614" s="5">
        <f t="shared" si="38"/>
        <v>2</v>
      </c>
      <c r="F614" s="4">
        <v>215.5</v>
      </c>
      <c r="G614" s="5" t="s">
        <v>54</v>
      </c>
      <c r="H614" s="5">
        <v>45</v>
      </c>
      <c r="I614" s="5">
        <f t="shared" si="37"/>
        <v>220.00279814001337</v>
      </c>
      <c r="J614" s="5">
        <f t="shared" si="39"/>
        <v>2</v>
      </c>
    </row>
    <row r="615" spans="1:10" x14ac:dyDescent="0.2">
      <c r="A615">
        <v>222.75</v>
      </c>
      <c r="B615" t="s">
        <v>220</v>
      </c>
      <c r="C615" s="5">
        <v>55</v>
      </c>
      <c r="D615" s="5">
        <f t="shared" si="36"/>
        <v>392.00377257605692</v>
      </c>
      <c r="E615" s="5">
        <f t="shared" si="38"/>
        <v>2</v>
      </c>
      <c r="F615" s="4">
        <v>215.75</v>
      </c>
      <c r="G615" s="5" t="s">
        <v>273</v>
      </c>
      <c r="H615" s="5">
        <v>50</v>
      </c>
      <c r="I615" s="5">
        <f t="shared" si="37"/>
        <v>293.66975814369101</v>
      </c>
      <c r="J615" s="5">
        <f t="shared" si="39"/>
        <v>5</v>
      </c>
    </row>
    <row r="616" spans="1:10" x14ac:dyDescent="0.2">
      <c r="A616">
        <v>223</v>
      </c>
      <c r="B616" t="s">
        <v>429</v>
      </c>
      <c r="C616" s="5">
        <v>50</v>
      </c>
      <c r="D616" s="5">
        <f t="shared" si="36"/>
        <v>293.66975814369101</v>
      </c>
      <c r="E616" s="5">
        <f t="shared" si="38"/>
        <v>5</v>
      </c>
      <c r="F616" s="4">
        <v>216</v>
      </c>
      <c r="G616" s="5" t="s">
        <v>59</v>
      </c>
      <c r="H616" s="5">
        <v>40</v>
      </c>
      <c r="I616" s="5">
        <f t="shared" si="37"/>
        <v>164.8151702626221</v>
      </c>
      <c r="J616" s="5">
        <f t="shared" si="39"/>
        <v>10</v>
      </c>
    </row>
    <row r="617" spans="1:10" x14ac:dyDescent="0.2">
      <c r="A617">
        <v>223.25</v>
      </c>
      <c r="B617" t="s">
        <v>289</v>
      </c>
      <c r="C617" s="5">
        <v>57</v>
      </c>
      <c r="D617" s="5">
        <f t="shared" si="36"/>
        <v>440.01010976071973</v>
      </c>
      <c r="E617" s="5">
        <f t="shared" si="38"/>
        <v>7</v>
      </c>
      <c r="F617" s="4">
        <v>216.25</v>
      </c>
      <c r="G617" s="5" t="s">
        <v>56</v>
      </c>
      <c r="H617" s="5">
        <v>41</v>
      </c>
      <c r="I617" s="5">
        <f t="shared" si="37"/>
        <v>174.61573954711864</v>
      </c>
      <c r="J617" s="5">
        <f t="shared" si="39"/>
        <v>1</v>
      </c>
    </row>
    <row r="618" spans="1:10" x14ac:dyDescent="0.2">
      <c r="A618">
        <v>223.5</v>
      </c>
      <c r="B618" t="s">
        <v>283</v>
      </c>
      <c r="C618" s="5">
        <v>59</v>
      </c>
      <c r="D618" s="5">
        <f t="shared" si="36"/>
        <v>493.89549345236594</v>
      </c>
      <c r="E618" s="5">
        <f t="shared" si="38"/>
        <v>2</v>
      </c>
      <c r="F618" s="4">
        <v>216.5</v>
      </c>
      <c r="G618" s="5" t="s">
        <v>57</v>
      </c>
      <c r="H618" s="5">
        <v>43</v>
      </c>
      <c r="I618" s="5">
        <f t="shared" si="37"/>
        <v>195.99987576438383</v>
      </c>
      <c r="J618" s="5">
        <f t="shared" si="39"/>
        <v>2</v>
      </c>
    </row>
    <row r="619" spans="1:10" x14ac:dyDescent="0.2">
      <c r="A619">
        <v>223.75</v>
      </c>
      <c r="B619" t="s">
        <v>220</v>
      </c>
      <c r="C619" s="5">
        <v>55</v>
      </c>
      <c r="D619" s="5">
        <f t="shared" si="36"/>
        <v>392.00377257605692</v>
      </c>
      <c r="E619" s="5">
        <f t="shared" si="38"/>
        <v>4</v>
      </c>
      <c r="F619" s="4">
        <v>216.75</v>
      </c>
      <c r="G619" s="5" t="s">
        <v>273</v>
      </c>
      <c r="H619" s="5">
        <v>50</v>
      </c>
      <c r="I619" s="5">
        <f t="shared" si="37"/>
        <v>293.66975814369101</v>
      </c>
      <c r="J619" s="5">
        <f t="shared" si="39"/>
        <v>7</v>
      </c>
    </row>
    <row r="620" spans="1:10" x14ac:dyDescent="0.2">
      <c r="A620">
        <v>224</v>
      </c>
      <c r="B620" t="s">
        <v>285</v>
      </c>
      <c r="C620" s="5">
        <v>62</v>
      </c>
      <c r="D620" s="5">
        <f t="shared" si="36"/>
        <v>587.34554108704231</v>
      </c>
      <c r="E620" s="5">
        <f t="shared" si="38"/>
        <v>7</v>
      </c>
      <c r="F620" s="4">
        <v>217</v>
      </c>
      <c r="G620" s="5" t="s">
        <v>57</v>
      </c>
      <c r="H620" s="5">
        <v>43</v>
      </c>
      <c r="I620" s="5">
        <f t="shared" si="37"/>
        <v>195.99987576438383</v>
      </c>
      <c r="J620" s="5">
        <f t="shared" si="39"/>
        <v>7</v>
      </c>
    </row>
    <row r="621" spans="1:10" x14ac:dyDescent="0.2">
      <c r="A621">
        <v>224.5</v>
      </c>
      <c r="B621" t="s">
        <v>434</v>
      </c>
      <c r="C621" s="5">
        <v>67</v>
      </c>
      <c r="D621" s="5">
        <f t="shared" si="36"/>
        <v>784.01558732918636</v>
      </c>
      <c r="E621" s="5">
        <f t="shared" si="38"/>
        <v>5</v>
      </c>
      <c r="F621" s="4">
        <v>217.5</v>
      </c>
      <c r="G621" s="5" t="s">
        <v>53</v>
      </c>
      <c r="H621" s="5">
        <v>55</v>
      </c>
      <c r="I621" s="5">
        <f t="shared" si="37"/>
        <v>392.00377257605692</v>
      </c>
      <c r="J621" s="5">
        <f t="shared" si="39"/>
        <v>12</v>
      </c>
    </row>
    <row r="622" spans="1:10" x14ac:dyDescent="0.2">
      <c r="A622">
        <v>225</v>
      </c>
      <c r="B622" t="s">
        <v>285</v>
      </c>
      <c r="C622" s="5">
        <v>62</v>
      </c>
      <c r="D622" s="5">
        <f t="shared" si="36"/>
        <v>587.34554108704231</v>
      </c>
      <c r="E622" s="5">
        <f t="shared" si="38"/>
        <v>5</v>
      </c>
      <c r="F622" s="4">
        <v>218</v>
      </c>
      <c r="G622" s="5" t="s">
        <v>57</v>
      </c>
      <c r="H622" s="5">
        <v>43</v>
      </c>
      <c r="I622" s="5">
        <f t="shared" si="37"/>
        <v>195.99987576438383</v>
      </c>
      <c r="J622" s="5">
        <f t="shared" si="39"/>
        <v>12</v>
      </c>
    </row>
    <row r="623" spans="1:10" x14ac:dyDescent="0.2">
      <c r="A623">
        <v>225.5</v>
      </c>
      <c r="B623" t="s">
        <v>434</v>
      </c>
      <c r="C623" s="5">
        <v>67</v>
      </c>
      <c r="D623" s="5">
        <f t="shared" si="36"/>
        <v>784.01558732918636</v>
      </c>
      <c r="E623" s="5">
        <f t="shared" si="38"/>
        <v>5</v>
      </c>
      <c r="F623" s="4">
        <v>218.5</v>
      </c>
      <c r="G623" s="5" t="s">
        <v>61</v>
      </c>
      <c r="H623" s="5">
        <v>55</v>
      </c>
      <c r="I623" s="5">
        <f t="shared" si="37"/>
        <v>392.00377257605692</v>
      </c>
      <c r="J623" s="5">
        <f t="shared" si="39"/>
        <v>12</v>
      </c>
    </row>
    <row r="624" spans="1:10" x14ac:dyDescent="0.2">
      <c r="A624">
        <v>226</v>
      </c>
      <c r="B624" t="s">
        <v>287</v>
      </c>
      <c r="C624" s="5">
        <v>62</v>
      </c>
      <c r="D624" s="5">
        <f t="shared" si="36"/>
        <v>587.34554108704231</v>
      </c>
      <c r="E624" s="5">
        <f t="shared" si="38"/>
        <v>5</v>
      </c>
      <c r="F624" s="4">
        <v>219</v>
      </c>
      <c r="G624" s="5" t="s">
        <v>57</v>
      </c>
      <c r="H624" s="5">
        <v>43</v>
      </c>
      <c r="I624" s="5">
        <f t="shared" si="37"/>
        <v>195.99987576438383</v>
      </c>
      <c r="J624" s="5">
        <f t="shared" si="39"/>
        <v>12</v>
      </c>
    </row>
    <row r="625" spans="1:10" x14ac:dyDescent="0.2">
      <c r="A625">
        <v>226.5</v>
      </c>
      <c r="B625" t="s">
        <v>430</v>
      </c>
      <c r="C625" s="5">
        <v>67</v>
      </c>
      <c r="D625" s="5">
        <f t="shared" si="36"/>
        <v>784.01558732918636</v>
      </c>
      <c r="E625" s="5">
        <f t="shared" si="38"/>
        <v>5</v>
      </c>
      <c r="F625" s="4">
        <v>219.5</v>
      </c>
      <c r="G625" s="5" t="s">
        <v>53</v>
      </c>
      <c r="H625" s="5">
        <v>55</v>
      </c>
      <c r="I625" s="5">
        <f t="shared" si="37"/>
        <v>392.00377257605692</v>
      </c>
      <c r="J625" s="5">
        <f t="shared" si="39"/>
        <v>12</v>
      </c>
    </row>
    <row r="626" spans="1:10" x14ac:dyDescent="0.2">
      <c r="A626">
        <v>227</v>
      </c>
      <c r="B626" t="s">
        <v>287</v>
      </c>
      <c r="C626" s="5">
        <v>62</v>
      </c>
      <c r="D626" s="5">
        <f t="shared" si="36"/>
        <v>587.34554108704231</v>
      </c>
      <c r="E626" s="5">
        <f t="shared" si="38"/>
        <v>5</v>
      </c>
      <c r="F626" s="4">
        <v>220</v>
      </c>
      <c r="G626" s="5" t="s">
        <v>59</v>
      </c>
      <c r="H626" s="5">
        <v>40</v>
      </c>
      <c r="I626" s="5">
        <f t="shared" si="37"/>
        <v>164.8151702626221</v>
      </c>
      <c r="J626" s="5">
        <f t="shared" si="39"/>
        <v>15</v>
      </c>
    </row>
    <row r="627" spans="1:10" x14ac:dyDescent="0.2">
      <c r="A627">
        <v>227.5</v>
      </c>
      <c r="B627" t="s">
        <v>219</v>
      </c>
      <c r="C627" s="5">
        <v>55</v>
      </c>
      <c r="D627" s="5">
        <f t="shared" si="36"/>
        <v>392.00377257605692</v>
      </c>
      <c r="E627" s="5">
        <f t="shared" si="38"/>
        <v>7</v>
      </c>
      <c r="F627" s="4">
        <v>220.25</v>
      </c>
      <c r="G627" s="5" t="s">
        <v>56</v>
      </c>
      <c r="H627" s="5">
        <v>41</v>
      </c>
      <c r="I627" s="5">
        <f t="shared" si="37"/>
        <v>174.61573954711864</v>
      </c>
      <c r="J627" s="5">
        <f t="shared" si="39"/>
        <v>1</v>
      </c>
    </row>
    <row r="628" spans="1:10" x14ac:dyDescent="0.2">
      <c r="A628">
        <v>228</v>
      </c>
      <c r="B628" t="s">
        <v>281</v>
      </c>
      <c r="C628" s="5">
        <v>50</v>
      </c>
      <c r="D628" s="5">
        <f t="shared" si="36"/>
        <v>293.66975814369101</v>
      </c>
      <c r="E628" s="5">
        <f t="shared" si="38"/>
        <v>5</v>
      </c>
      <c r="F628" s="4">
        <v>220.5</v>
      </c>
      <c r="G628" s="5" t="s">
        <v>57</v>
      </c>
      <c r="H628" s="5">
        <v>43</v>
      </c>
      <c r="I628" s="5">
        <f t="shared" si="37"/>
        <v>195.99987576438383</v>
      </c>
      <c r="J628" s="5">
        <f t="shared" si="39"/>
        <v>2</v>
      </c>
    </row>
    <row r="629" spans="1:10" x14ac:dyDescent="0.2">
      <c r="A629">
        <v>228.25</v>
      </c>
      <c r="B629" t="s">
        <v>282</v>
      </c>
      <c r="C629" s="5">
        <v>57</v>
      </c>
      <c r="D629" s="5">
        <f t="shared" si="36"/>
        <v>440.01010976071973</v>
      </c>
      <c r="E629" s="5">
        <f t="shared" si="38"/>
        <v>7</v>
      </c>
      <c r="F629" s="4">
        <v>220.75</v>
      </c>
      <c r="G629" s="5" t="s">
        <v>273</v>
      </c>
      <c r="H629" s="5">
        <v>50</v>
      </c>
      <c r="I629" s="5">
        <f t="shared" si="37"/>
        <v>293.66975814369101</v>
      </c>
      <c r="J629" s="5">
        <f t="shared" si="39"/>
        <v>7</v>
      </c>
    </row>
    <row r="630" spans="1:10" x14ac:dyDescent="0.2">
      <c r="A630">
        <v>228.5</v>
      </c>
      <c r="B630" t="s">
        <v>283</v>
      </c>
      <c r="C630" s="5">
        <v>59</v>
      </c>
      <c r="D630" s="5">
        <f t="shared" si="36"/>
        <v>493.89549345236594</v>
      </c>
      <c r="E630" s="5">
        <f t="shared" si="38"/>
        <v>2</v>
      </c>
      <c r="F630" s="4">
        <v>221</v>
      </c>
      <c r="G630" s="5" t="s">
        <v>59</v>
      </c>
      <c r="H630" s="5">
        <v>40</v>
      </c>
      <c r="I630" s="5">
        <f t="shared" si="37"/>
        <v>164.8151702626221</v>
      </c>
      <c r="J630" s="5">
        <f t="shared" si="39"/>
        <v>10</v>
      </c>
    </row>
    <row r="631" spans="1:10" x14ac:dyDescent="0.2">
      <c r="A631">
        <v>228.75</v>
      </c>
      <c r="B631" t="s">
        <v>219</v>
      </c>
      <c r="C631" s="5">
        <v>55</v>
      </c>
      <c r="D631" s="5">
        <f t="shared" si="36"/>
        <v>392.00377257605692</v>
      </c>
      <c r="E631" s="5">
        <f t="shared" si="38"/>
        <v>4</v>
      </c>
      <c r="F631" s="4">
        <v>221.25</v>
      </c>
      <c r="G631" s="5" t="s">
        <v>57</v>
      </c>
      <c r="H631" s="5">
        <v>43</v>
      </c>
      <c r="I631" s="5">
        <f t="shared" si="37"/>
        <v>195.99987576438383</v>
      </c>
      <c r="J631" s="5">
        <f t="shared" si="39"/>
        <v>3</v>
      </c>
    </row>
    <row r="632" spans="1:10" x14ac:dyDescent="0.2">
      <c r="A632">
        <v>229</v>
      </c>
      <c r="B632" t="s">
        <v>283</v>
      </c>
      <c r="C632" s="5">
        <v>59</v>
      </c>
      <c r="D632" s="5">
        <f t="shared" si="36"/>
        <v>493.89549345236594</v>
      </c>
      <c r="E632" s="5">
        <f t="shared" si="38"/>
        <v>4</v>
      </c>
      <c r="F632" s="4">
        <v>221.5</v>
      </c>
      <c r="G632" s="5" t="s">
        <v>54</v>
      </c>
      <c r="H632" s="5">
        <v>45</v>
      </c>
      <c r="I632" s="5">
        <f t="shared" si="37"/>
        <v>220.00279814001337</v>
      </c>
      <c r="J632" s="5">
        <f t="shared" si="39"/>
        <v>2</v>
      </c>
    </row>
    <row r="633" spans="1:10" x14ac:dyDescent="0.2">
      <c r="A633">
        <v>229.5</v>
      </c>
      <c r="B633" t="s">
        <v>436</v>
      </c>
      <c r="C633" s="5">
        <v>55</v>
      </c>
      <c r="D633" s="5">
        <f t="shared" si="36"/>
        <v>392.00377257605692</v>
      </c>
      <c r="E633" s="5">
        <f t="shared" si="38"/>
        <v>4</v>
      </c>
      <c r="F633" s="4">
        <v>221.75</v>
      </c>
      <c r="G633" s="5" t="s">
        <v>273</v>
      </c>
      <c r="H633" s="5">
        <v>50</v>
      </c>
      <c r="I633" s="5">
        <f t="shared" si="37"/>
        <v>293.66975814369101</v>
      </c>
      <c r="J633" s="5">
        <f t="shared" si="39"/>
        <v>5</v>
      </c>
    </row>
    <row r="634" spans="1:10" x14ac:dyDescent="0.2">
      <c r="A634">
        <v>230</v>
      </c>
      <c r="B634" t="s">
        <v>440</v>
      </c>
      <c r="C634" s="5">
        <v>62</v>
      </c>
      <c r="D634" s="5">
        <f t="shared" si="36"/>
        <v>587.34554108704231</v>
      </c>
      <c r="E634" s="5">
        <f t="shared" si="38"/>
        <v>7</v>
      </c>
      <c r="F634" s="4">
        <v>222</v>
      </c>
      <c r="G634" s="5" t="s">
        <v>59</v>
      </c>
      <c r="H634" s="5">
        <v>40</v>
      </c>
      <c r="I634" s="5">
        <f t="shared" si="37"/>
        <v>164.8151702626221</v>
      </c>
      <c r="J634" s="5">
        <f t="shared" si="39"/>
        <v>10</v>
      </c>
    </row>
    <row r="635" spans="1:10" x14ac:dyDescent="0.2">
      <c r="A635">
        <v>230.5</v>
      </c>
      <c r="B635" t="s">
        <v>441</v>
      </c>
      <c r="C635" s="5">
        <v>61</v>
      </c>
      <c r="D635" s="5">
        <f t="shared" si="36"/>
        <v>554.37989501015818</v>
      </c>
      <c r="E635" s="5">
        <f t="shared" si="38"/>
        <v>1</v>
      </c>
      <c r="F635" s="4">
        <v>222.25</v>
      </c>
      <c r="G635" s="5" t="s">
        <v>54</v>
      </c>
      <c r="H635" s="5">
        <v>45</v>
      </c>
      <c r="I635" s="5">
        <f t="shared" si="37"/>
        <v>220.00279814001337</v>
      </c>
      <c r="J635" s="5">
        <f t="shared" si="39"/>
        <v>5</v>
      </c>
    </row>
    <row r="636" spans="1:10" x14ac:dyDescent="0.2">
      <c r="A636">
        <v>231</v>
      </c>
      <c r="B636" t="s">
        <v>287</v>
      </c>
      <c r="C636" s="5">
        <v>62</v>
      </c>
      <c r="D636" s="5">
        <f t="shared" si="36"/>
        <v>587.34554108704231</v>
      </c>
      <c r="E636" s="5">
        <f t="shared" si="38"/>
        <v>1</v>
      </c>
      <c r="F636" s="4">
        <v>222.5</v>
      </c>
      <c r="G636" s="5" t="s">
        <v>272</v>
      </c>
      <c r="H636" s="5">
        <v>47</v>
      </c>
      <c r="I636" s="5">
        <f t="shared" si="37"/>
        <v>246.94521361646048</v>
      </c>
      <c r="J636" s="5">
        <f t="shared" si="39"/>
        <v>2</v>
      </c>
    </row>
    <row r="637" spans="1:10" x14ac:dyDescent="0.2">
      <c r="A637">
        <v>231.5</v>
      </c>
      <c r="B637" t="s">
        <v>436</v>
      </c>
      <c r="C637" s="5">
        <v>55</v>
      </c>
      <c r="D637" s="5">
        <f t="shared" si="36"/>
        <v>392.00377257605692</v>
      </c>
      <c r="E637" s="5">
        <f t="shared" si="38"/>
        <v>7</v>
      </c>
      <c r="F637" s="4">
        <v>222.75</v>
      </c>
      <c r="G637" s="5" t="s">
        <v>273</v>
      </c>
      <c r="H637" s="5">
        <v>50</v>
      </c>
      <c r="I637" s="5">
        <f t="shared" si="37"/>
        <v>293.66975814369101</v>
      </c>
      <c r="J637" s="5">
        <f t="shared" si="39"/>
        <v>3</v>
      </c>
    </row>
    <row r="638" spans="1:10" x14ac:dyDescent="0.2">
      <c r="A638">
        <v>232</v>
      </c>
      <c r="B638" t="s">
        <v>281</v>
      </c>
      <c r="C638" s="5">
        <v>50</v>
      </c>
      <c r="D638" s="5">
        <f t="shared" si="36"/>
        <v>293.66975814369101</v>
      </c>
      <c r="E638" s="5">
        <f t="shared" si="38"/>
        <v>5</v>
      </c>
      <c r="F638" s="4">
        <v>223</v>
      </c>
      <c r="G638" s="5" t="s">
        <v>59</v>
      </c>
      <c r="H638" s="5">
        <v>40</v>
      </c>
      <c r="I638" s="5">
        <f t="shared" si="37"/>
        <v>164.8151702626221</v>
      </c>
      <c r="J638" s="5">
        <f t="shared" si="39"/>
        <v>10</v>
      </c>
    </row>
    <row r="639" spans="1:10" x14ac:dyDescent="0.2">
      <c r="A639">
        <v>232.25</v>
      </c>
      <c r="B639" t="s">
        <v>282</v>
      </c>
      <c r="C639" s="5">
        <v>57</v>
      </c>
      <c r="D639" s="5">
        <f t="shared" si="36"/>
        <v>440.01010976071973</v>
      </c>
      <c r="E639" s="5">
        <f t="shared" si="38"/>
        <v>7</v>
      </c>
      <c r="F639" s="4">
        <v>223.25</v>
      </c>
      <c r="G639" s="5" t="s">
        <v>57</v>
      </c>
      <c r="H639" s="5">
        <v>43</v>
      </c>
      <c r="I639" s="5">
        <f t="shared" si="37"/>
        <v>195.99987576438383</v>
      </c>
      <c r="J639" s="5">
        <f t="shared" si="39"/>
        <v>3</v>
      </c>
    </row>
    <row r="640" spans="1:10" x14ac:dyDescent="0.2">
      <c r="A640">
        <v>232.5</v>
      </c>
      <c r="B640" t="s">
        <v>283</v>
      </c>
      <c r="C640" s="5">
        <v>59</v>
      </c>
      <c r="D640" s="5">
        <f t="shared" si="36"/>
        <v>493.89549345236594</v>
      </c>
      <c r="E640" s="5">
        <f t="shared" si="38"/>
        <v>2</v>
      </c>
      <c r="F640" s="4">
        <v>223.5</v>
      </c>
      <c r="G640" s="5" t="s">
        <v>54</v>
      </c>
      <c r="H640" s="5">
        <v>45</v>
      </c>
      <c r="I640" s="5">
        <f t="shared" si="37"/>
        <v>220.00279814001337</v>
      </c>
      <c r="J640" s="5">
        <f t="shared" si="39"/>
        <v>2</v>
      </c>
    </row>
    <row r="641" spans="1:10" x14ac:dyDescent="0.2">
      <c r="A641">
        <v>232.75</v>
      </c>
      <c r="B641" t="s">
        <v>219</v>
      </c>
      <c r="C641" s="5">
        <v>55</v>
      </c>
      <c r="D641" s="5">
        <f t="shared" si="36"/>
        <v>392.00377257605692</v>
      </c>
      <c r="E641" s="5">
        <f t="shared" si="38"/>
        <v>4</v>
      </c>
      <c r="F641" s="4">
        <v>223.75</v>
      </c>
      <c r="G641" s="5" t="s">
        <v>273</v>
      </c>
      <c r="H641" s="5">
        <v>50</v>
      </c>
      <c r="I641" s="5">
        <f t="shared" si="37"/>
        <v>293.66975814369101</v>
      </c>
      <c r="J641" s="5">
        <f t="shared" si="39"/>
        <v>5</v>
      </c>
    </row>
    <row r="642" spans="1:10" x14ac:dyDescent="0.2">
      <c r="A642">
        <v>233</v>
      </c>
      <c r="B642" t="s">
        <v>283</v>
      </c>
      <c r="C642" s="5">
        <v>59</v>
      </c>
      <c r="D642" s="5">
        <f t="shared" si="36"/>
        <v>493.89549345236594</v>
      </c>
      <c r="E642" s="5">
        <f t="shared" si="38"/>
        <v>4</v>
      </c>
      <c r="F642" s="4">
        <v>224</v>
      </c>
      <c r="G642" s="5" t="s">
        <v>59</v>
      </c>
      <c r="H642" s="5">
        <v>40</v>
      </c>
      <c r="I642" s="5">
        <f t="shared" si="37"/>
        <v>164.8151702626221</v>
      </c>
      <c r="J642" s="5">
        <f t="shared" si="39"/>
        <v>10</v>
      </c>
    </row>
    <row r="643" spans="1:10" x14ac:dyDescent="0.2">
      <c r="A643">
        <v>233.5</v>
      </c>
      <c r="B643" t="s">
        <v>219</v>
      </c>
      <c r="C643" s="5">
        <v>55</v>
      </c>
      <c r="D643" s="5">
        <f t="shared" si="36"/>
        <v>392.00377257605692</v>
      </c>
      <c r="E643" s="5">
        <f t="shared" si="38"/>
        <v>4</v>
      </c>
      <c r="F643" s="4">
        <v>224.25</v>
      </c>
      <c r="G643" s="5" t="s">
        <v>56</v>
      </c>
      <c r="H643" s="5">
        <v>41</v>
      </c>
      <c r="I643" s="5">
        <f t="shared" si="37"/>
        <v>174.61573954711864</v>
      </c>
      <c r="J643" s="5">
        <f t="shared" si="39"/>
        <v>1</v>
      </c>
    </row>
    <row r="644" spans="1:10" x14ac:dyDescent="0.2">
      <c r="A644">
        <v>234</v>
      </c>
      <c r="B644" t="s">
        <v>287</v>
      </c>
      <c r="C644" s="5">
        <v>62</v>
      </c>
      <c r="D644" s="5">
        <f t="shared" ref="D644:D707" si="40">16.35117682*1.059464^C644</f>
        <v>587.34554108704231</v>
      </c>
      <c r="E644" s="5">
        <f t="shared" si="38"/>
        <v>7</v>
      </c>
      <c r="F644" s="4">
        <v>224.5</v>
      </c>
      <c r="G644" s="5" t="s">
        <v>57</v>
      </c>
      <c r="H644" s="5">
        <v>43</v>
      </c>
      <c r="I644" s="5">
        <f t="shared" ref="I644:I707" si="41">16.35117682*1.059464^H644</f>
        <v>195.99987576438383</v>
      </c>
      <c r="J644" s="5">
        <f t="shared" si="39"/>
        <v>2</v>
      </c>
    </row>
    <row r="645" spans="1:10" x14ac:dyDescent="0.2">
      <c r="A645">
        <v>234.5</v>
      </c>
      <c r="B645" t="s">
        <v>442</v>
      </c>
      <c r="C645" s="5">
        <v>61</v>
      </c>
      <c r="D645" s="5">
        <f t="shared" si="40"/>
        <v>554.37989501015818</v>
      </c>
      <c r="E645" s="5">
        <f t="shared" ref="E645:E708" si="42">ABS( C645-C644)</f>
        <v>1</v>
      </c>
      <c r="F645" s="4">
        <v>224.75</v>
      </c>
      <c r="G645" s="5" t="s">
        <v>273</v>
      </c>
      <c r="H645" s="5">
        <v>50</v>
      </c>
      <c r="I645" s="5">
        <f t="shared" si="41"/>
        <v>293.66975814369101</v>
      </c>
      <c r="J645" s="5">
        <f t="shared" ref="J645:J708" si="43">ABS( H645-H644)</f>
        <v>7</v>
      </c>
    </row>
    <row r="646" spans="1:10" x14ac:dyDescent="0.2">
      <c r="A646">
        <v>235</v>
      </c>
      <c r="B646" t="s">
        <v>283</v>
      </c>
      <c r="C646" s="5">
        <v>59</v>
      </c>
      <c r="D646" s="5">
        <f t="shared" si="40"/>
        <v>493.89549345236594</v>
      </c>
      <c r="E646" s="5">
        <f t="shared" si="42"/>
        <v>2</v>
      </c>
      <c r="F646" s="4">
        <v>225</v>
      </c>
      <c r="G646" s="5" t="s">
        <v>57</v>
      </c>
      <c r="H646" s="5">
        <v>43</v>
      </c>
      <c r="I646" s="5">
        <f t="shared" si="41"/>
        <v>195.99987576438383</v>
      </c>
      <c r="J646" s="5">
        <f t="shared" si="43"/>
        <v>7</v>
      </c>
    </row>
    <row r="647" spans="1:10" x14ac:dyDescent="0.2">
      <c r="A647">
        <v>235.5</v>
      </c>
      <c r="B647" t="s">
        <v>219</v>
      </c>
      <c r="C647" s="5">
        <v>55</v>
      </c>
      <c r="D647" s="5">
        <f t="shared" si="40"/>
        <v>392.00377257605692</v>
      </c>
      <c r="E647" s="5">
        <f t="shared" si="42"/>
        <v>4</v>
      </c>
      <c r="F647" s="4">
        <v>225.5</v>
      </c>
      <c r="G647" s="5" t="s">
        <v>53</v>
      </c>
      <c r="H647" s="5">
        <v>55</v>
      </c>
      <c r="I647" s="5">
        <f t="shared" si="41"/>
        <v>392.00377257605692</v>
      </c>
      <c r="J647" s="5">
        <f t="shared" si="43"/>
        <v>12</v>
      </c>
    </row>
    <row r="648" spans="1:10" x14ac:dyDescent="0.2">
      <c r="A648">
        <v>236</v>
      </c>
      <c r="B648" t="s">
        <v>281</v>
      </c>
      <c r="C648" s="5">
        <v>50</v>
      </c>
      <c r="D648" s="5">
        <f t="shared" si="40"/>
        <v>293.66975814369101</v>
      </c>
      <c r="E648" s="5">
        <f t="shared" si="42"/>
        <v>5</v>
      </c>
      <c r="F648" s="4">
        <v>226</v>
      </c>
      <c r="G648" s="5" t="s">
        <v>57</v>
      </c>
      <c r="H648" s="5">
        <v>43</v>
      </c>
      <c r="I648" s="5">
        <f t="shared" si="41"/>
        <v>195.99987576438383</v>
      </c>
      <c r="J648" s="5">
        <f t="shared" si="43"/>
        <v>12</v>
      </c>
    </row>
    <row r="649" spans="1:10" x14ac:dyDescent="0.2">
      <c r="A649">
        <v>236.25</v>
      </c>
      <c r="B649" t="s">
        <v>282</v>
      </c>
      <c r="C649" s="5">
        <v>57</v>
      </c>
      <c r="D649" s="5">
        <f t="shared" si="40"/>
        <v>440.01010976071973</v>
      </c>
      <c r="E649" s="5">
        <f t="shared" si="42"/>
        <v>7</v>
      </c>
      <c r="F649" s="4">
        <v>226.5</v>
      </c>
      <c r="G649" s="5" t="s">
        <v>61</v>
      </c>
      <c r="H649" s="5">
        <v>55</v>
      </c>
      <c r="I649" s="5">
        <f t="shared" si="41"/>
        <v>392.00377257605692</v>
      </c>
      <c r="J649" s="5">
        <f t="shared" si="43"/>
        <v>12</v>
      </c>
    </row>
    <row r="650" spans="1:10" x14ac:dyDescent="0.2">
      <c r="A650">
        <v>236.5</v>
      </c>
      <c r="B650" t="s">
        <v>283</v>
      </c>
      <c r="C650" s="5">
        <v>59</v>
      </c>
      <c r="D650" s="5">
        <f t="shared" si="40"/>
        <v>493.89549345236594</v>
      </c>
      <c r="E650" s="5">
        <f t="shared" si="42"/>
        <v>2</v>
      </c>
      <c r="F650" s="4">
        <v>227</v>
      </c>
      <c r="G650" s="5" t="s">
        <v>57</v>
      </c>
      <c r="H650" s="5">
        <v>43</v>
      </c>
      <c r="I650" s="5">
        <f t="shared" si="41"/>
        <v>195.99987576438383</v>
      </c>
      <c r="J650" s="5">
        <f t="shared" si="43"/>
        <v>12</v>
      </c>
    </row>
    <row r="651" spans="1:10" x14ac:dyDescent="0.2">
      <c r="A651">
        <v>236.75</v>
      </c>
      <c r="B651" t="s">
        <v>219</v>
      </c>
      <c r="C651" s="5">
        <v>55</v>
      </c>
      <c r="D651" s="5">
        <f t="shared" si="40"/>
        <v>392.00377257605692</v>
      </c>
      <c r="E651" s="5">
        <f t="shared" si="42"/>
        <v>4</v>
      </c>
      <c r="F651" s="4">
        <v>227.5</v>
      </c>
      <c r="G651" s="5" t="s">
        <v>53</v>
      </c>
      <c r="H651" s="5">
        <v>55</v>
      </c>
      <c r="I651" s="5">
        <f t="shared" si="41"/>
        <v>392.00377257605692</v>
      </c>
      <c r="J651" s="5">
        <f t="shared" si="43"/>
        <v>12</v>
      </c>
    </row>
    <row r="652" spans="1:10" x14ac:dyDescent="0.2">
      <c r="A652">
        <v>237</v>
      </c>
      <c r="B652" t="s">
        <v>283</v>
      </c>
      <c r="C652" s="5">
        <v>59</v>
      </c>
      <c r="D652" s="5">
        <f t="shared" si="40"/>
        <v>493.89549345236594</v>
      </c>
      <c r="E652" s="5">
        <f t="shared" si="42"/>
        <v>4</v>
      </c>
      <c r="F652" s="4">
        <v>228</v>
      </c>
      <c r="G652" s="5" t="s">
        <v>54</v>
      </c>
      <c r="H652" s="5">
        <v>45</v>
      </c>
      <c r="I652" s="5">
        <f t="shared" si="41"/>
        <v>220.00279814001337</v>
      </c>
      <c r="J652" s="5">
        <f t="shared" si="43"/>
        <v>10</v>
      </c>
    </row>
    <row r="653" spans="1:10" x14ac:dyDescent="0.2">
      <c r="A653">
        <v>237.5</v>
      </c>
      <c r="B653" t="s">
        <v>283</v>
      </c>
      <c r="C653" s="5">
        <v>59</v>
      </c>
      <c r="D653" s="5">
        <f t="shared" si="40"/>
        <v>493.89549345236594</v>
      </c>
      <c r="E653" s="5">
        <f t="shared" si="42"/>
        <v>0</v>
      </c>
      <c r="F653" s="4">
        <v>228.25</v>
      </c>
      <c r="G653" s="5" t="s">
        <v>62</v>
      </c>
      <c r="H653" s="5">
        <v>53</v>
      </c>
      <c r="I653" s="5">
        <f t="shared" si="41"/>
        <v>349.23506143398839</v>
      </c>
      <c r="J653" s="5">
        <f t="shared" si="43"/>
        <v>8</v>
      </c>
    </row>
    <row r="654" spans="1:10" x14ac:dyDescent="0.2">
      <c r="A654">
        <v>238</v>
      </c>
      <c r="B654" t="s">
        <v>440</v>
      </c>
      <c r="C654" s="5">
        <v>62</v>
      </c>
      <c r="D654" s="5">
        <f t="shared" si="40"/>
        <v>587.34554108704231</v>
      </c>
      <c r="E654" s="5">
        <f t="shared" si="42"/>
        <v>3</v>
      </c>
      <c r="F654" s="4">
        <v>228.5</v>
      </c>
      <c r="G654" s="5" t="s">
        <v>53</v>
      </c>
      <c r="H654" s="5">
        <v>55</v>
      </c>
      <c r="I654" s="5">
        <f t="shared" si="41"/>
        <v>392.00377257605692</v>
      </c>
      <c r="J654" s="5">
        <f t="shared" si="43"/>
        <v>2</v>
      </c>
    </row>
    <row r="655" spans="1:10" x14ac:dyDescent="0.2">
      <c r="A655">
        <v>238.5</v>
      </c>
      <c r="B655" t="s">
        <v>441</v>
      </c>
      <c r="C655" s="5">
        <v>61</v>
      </c>
      <c r="D655" s="5">
        <f t="shared" si="40"/>
        <v>554.37989501015818</v>
      </c>
      <c r="E655" s="5">
        <f t="shared" si="42"/>
        <v>1</v>
      </c>
      <c r="F655" s="4">
        <v>228.75</v>
      </c>
      <c r="G655" s="5" t="s">
        <v>273</v>
      </c>
      <c r="H655" s="5">
        <v>50</v>
      </c>
      <c r="I655" s="5">
        <f t="shared" si="41"/>
        <v>293.66975814369101</v>
      </c>
      <c r="J655" s="5">
        <f t="shared" si="43"/>
        <v>5</v>
      </c>
    </row>
    <row r="656" spans="1:10" x14ac:dyDescent="0.2">
      <c r="A656">
        <v>239</v>
      </c>
      <c r="B656" t="s">
        <v>287</v>
      </c>
      <c r="C656" s="5">
        <v>62</v>
      </c>
      <c r="D656" s="5">
        <f t="shared" si="40"/>
        <v>587.34554108704231</v>
      </c>
      <c r="E656" s="5">
        <f t="shared" si="42"/>
        <v>1</v>
      </c>
      <c r="F656" s="4">
        <v>229</v>
      </c>
      <c r="G656" s="5" t="s">
        <v>53</v>
      </c>
      <c r="H656" s="5">
        <v>55</v>
      </c>
      <c r="I656" s="5">
        <f t="shared" si="41"/>
        <v>392.00377257605692</v>
      </c>
      <c r="J656" s="5">
        <f t="shared" si="43"/>
        <v>5</v>
      </c>
    </row>
    <row r="657" spans="1:10" x14ac:dyDescent="0.2">
      <c r="A657">
        <v>239.5</v>
      </c>
      <c r="B657" t="s">
        <v>219</v>
      </c>
      <c r="C657" s="5">
        <v>55</v>
      </c>
      <c r="D657" s="5">
        <f t="shared" si="40"/>
        <v>392.00377257605692</v>
      </c>
      <c r="E657" s="5">
        <f t="shared" si="42"/>
        <v>7</v>
      </c>
      <c r="F657" s="4">
        <v>229.5</v>
      </c>
      <c r="G657" s="5" t="s">
        <v>60</v>
      </c>
      <c r="H657" s="5">
        <v>55</v>
      </c>
      <c r="I657" s="5">
        <f t="shared" si="41"/>
        <v>392.00377257605692</v>
      </c>
      <c r="J657" s="5">
        <f t="shared" si="43"/>
        <v>0</v>
      </c>
    </row>
    <row r="658" spans="1:10" x14ac:dyDescent="0.2">
      <c r="A658">
        <v>240</v>
      </c>
      <c r="B658" t="s">
        <v>281</v>
      </c>
      <c r="C658" s="5">
        <v>50</v>
      </c>
      <c r="D658" s="5">
        <f t="shared" si="40"/>
        <v>293.66975814369101</v>
      </c>
      <c r="E658" s="5">
        <f t="shared" si="42"/>
        <v>5</v>
      </c>
      <c r="F658" s="4">
        <v>230</v>
      </c>
      <c r="G658" s="5" t="s">
        <v>63</v>
      </c>
      <c r="H658" s="5">
        <v>59</v>
      </c>
      <c r="I658" s="5">
        <f t="shared" si="41"/>
        <v>493.89549345236594</v>
      </c>
      <c r="J658" s="5">
        <f t="shared" si="43"/>
        <v>4</v>
      </c>
    </row>
    <row r="659" spans="1:10" x14ac:dyDescent="0.2">
      <c r="A659">
        <v>240.25</v>
      </c>
      <c r="B659" t="s">
        <v>282</v>
      </c>
      <c r="C659" s="5">
        <v>57</v>
      </c>
      <c r="D659" s="5">
        <f t="shared" si="40"/>
        <v>440.01010976071973</v>
      </c>
      <c r="E659" s="5">
        <f t="shared" si="42"/>
        <v>7</v>
      </c>
      <c r="F659" s="4">
        <v>230.5</v>
      </c>
      <c r="G659" s="5" t="s">
        <v>64</v>
      </c>
      <c r="H659" s="5">
        <v>58</v>
      </c>
      <c r="I659" s="5">
        <f t="shared" si="41"/>
        <v>466.17487092753117</v>
      </c>
      <c r="J659" s="5">
        <f t="shared" si="43"/>
        <v>1</v>
      </c>
    </row>
    <row r="660" spans="1:10" x14ac:dyDescent="0.2">
      <c r="A660">
        <v>240.5</v>
      </c>
      <c r="B660" t="s">
        <v>283</v>
      </c>
      <c r="C660" s="5">
        <v>59</v>
      </c>
      <c r="D660" s="5">
        <f t="shared" si="40"/>
        <v>493.89549345236594</v>
      </c>
      <c r="E660" s="5">
        <f t="shared" si="42"/>
        <v>2</v>
      </c>
      <c r="F660" s="4">
        <v>231</v>
      </c>
      <c r="G660" s="5" t="s">
        <v>63</v>
      </c>
      <c r="H660" s="5">
        <v>59</v>
      </c>
      <c r="I660" s="5">
        <f t="shared" si="41"/>
        <v>493.89549345236594</v>
      </c>
      <c r="J660" s="5">
        <f t="shared" si="43"/>
        <v>1</v>
      </c>
    </row>
    <row r="661" spans="1:10" x14ac:dyDescent="0.2">
      <c r="A661">
        <v>240.75</v>
      </c>
      <c r="B661" t="s">
        <v>219</v>
      </c>
      <c r="C661" s="5">
        <v>55</v>
      </c>
      <c r="D661" s="5">
        <f t="shared" si="40"/>
        <v>392.00377257605692</v>
      </c>
      <c r="E661" s="5">
        <f t="shared" si="42"/>
        <v>4</v>
      </c>
      <c r="F661" s="4">
        <v>231.5</v>
      </c>
      <c r="G661" s="5" t="s">
        <v>60</v>
      </c>
      <c r="H661" s="5">
        <v>55</v>
      </c>
      <c r="I661" s="5">
        <f t="shared" si="41"/>
        <v>392.00377257605692</v>
      </c>
      <c r="J661" s="5">
        <f t="shared" si="43"/>
        <v>4</v>
      </c>
    </row>
    <row r="662" spans="1:10" x14ac:dyDescent="0.2">
      <c r="A662">
        <v>241</v>
      </c>
      <c r="B662" t="s">
        <v>283</v>
      </c>
      <c r="C662" s="5">
        <v>59</v>
      </c>
      <c r="D662" s="5">
        <f t="shared" si="40"/>
        <v>493.89549345236594</v>
      </c>
      <c r="E662" s="5">
        <f t="shared" si="42"/>
        <v>4</v>
      </c>
      <c r="F662" s="4">
        <v>232</v>
      </c>
      <c r="G662" s="5" t="s">
        <v>65</v>
      </c>
      <c r="H662" s="5">
        <v>45</v>
      </c>
      <c r="I662" s="5">
        <f t="shared" si="41"/>
        <v>220.00279814001337</v>
      </c>
      <c r="J662" s="5">
        <f t="shared" si="43"/>
        <v>10</v>
      </c>
    </row>
    <row r="663" spans="1:10" x14ac:dyDescent="0.2">
      <c r="A663">
        <v>241.5</v>
      </c>
      <c r="B663" t="s">
        <v>436</v>
      </c>
      <c r="C663" s="5">
        <v>55</v>
      </c>
      <c r="D663" s="5">
        <f t="shared" si="40"/>
        <v>392.00377257605692</v>
      </c>
      <c r="E663" s="5">
        <f t="shared" si="42"/>
        <v>4</v>
      </c>
      <c r="F663" s="4">
        <v>232.25</v>
      </c>
      <c r="G663" s="5" t="s">
        <v>62</v>
      </c>
      <c r="H663" s="5">
        <v>53</v>
      </c>
      <c r="I663" s="5">
        <f t="shared" si="41"/>
        <v>349.23506143398839</v>
      </c>
      <c r="J663" s="5">
        <f t="shared" si="43"/>
        <v>8</v>
      </c>
    </row>
    <row r="664" spans="1:10" x14ac:dyDescent="0.2">
      <c r="A664">
        <v>242</v>
      </c>
      <c r="B664" t="s">
        <v>287</v>
      </c>
      <c r="C664" s="5">
        <v>62</v>
      </c>
      <c r="D664" s="5">
        <f t="shared" si="40"/>
        <v>587.34554108704231</v>
      </c>
      <c r="E664" s="5">
        <f t="shared" si="42"/>
        <v>7</v>
      </c>
      <c r="F664" s="4">
        <v>232.5</v>
      </c>
      <c r="G664" s="5" t="s">
        <v>66</v>
      </c>
      <c r="H664" s="5">
        <v>55</v>
      </c>
      <c r="I664" s="5">
        <f t="shared" si="41"/>
        <v>392.00377257605692</v>
      </c>
      <c r="J664" s="5">
        <f t="shared" si="43"/>
        <v>2</v>
      </c>
    </row>
    <row r="665" spans="1:10" x14ac:dyDescent="0.2">
      <c r="A665">
        <v>242.5</v>
      </c>
      <c r="B665" t="s">
        <v>442</v>
      </c>
      <c r="C665" s="5">
        <v>61</v>
      </c>
      <c r="D665" s="5">
        <f t="shared" si="40"/>
        <v>554.37989501015818</v>
      </c>
      <c r="E665" s="5">
        <f t="shared" si="42"/>
        <v>1</v>
      </c>
      <c r="F665" s="4">
        <v>232.75</v>
      </c>
      <c r="G665" s="5" t="s">
        <v>273</v>
      </c>
      <c r="H665" s="5">
        <v>50</v>
      </c>
      <c r="I665" s="5">
        <f t="shared" si="41"/>
        <v>293.66975814369101</v>
      </c>
      <c r="J665" s="5">
        <f t="shared" si="43"/>
        <v>5</v>
      </c>
    </row>
    <row r="666" spans="1:10" x14ac:dyDescent="0.2">
      <c r="A666">
        <v>243</v>
      </c>
      <c r="B666" t="s">
        <v>283</v>
      </c>
      <c r="C666" s="5">
        <v>59</v>
      </c>
      <c r="D666" s="5">
        <f t="shared" si="40"/>
        <v>493.89549345236594</v>
      </c>
      <c r="E666" s="5">
        <f t="shared" si="42"/>
        <v>2</v>
      </c>
      <c r="F666" s="4">
        <v>233</v>
      </c>
      <c r="G666" s="5" t="s">
        <v>53</v>
      </c>
      <c r="H666" s="5">
        <v>55</v>
      </c>
      <c r="I666" s="5">
        <f t="shared" si="41"/>
        <v>392.00377257605692</v>
      </c>
      <c r="J666" s="5">
        <f t="shared" si="43"/>
        <v>5</v>
      </c>
    </row>
    <row r="667" spans="1:10" x14ac:dyDescent="0.2">
      <c r="A667">
        <v>243.5</v>
      </c>
      <c r="B667" t="s">
        <v>219</v>
      </c>
      <c r="C667" s="5">
        <v>55</v>
      </c>
      <c r="D667" s="5">
        <f t="shared" si="40"/>
        <v>392.00377257605692</v>
      </c>
      <c r="E667" s="5">
        <f t="shared" si="42"/>
        <v>4</v>
      </c>
      <c r="F667" s="4">
        <v>233.5</v>
      </c>
      <c r="G667" s="5" t="s">
        <v>60</v>
      </c>
      <c r="H667" s="5">
        <v>55</v>
      </c>
      <c r="I667" s="5">
        <f t="shared" si="41"/>
        <v>392.00377257605692</v>
      </c>
      <c r="J667" s="5">
        <f t="shared" si="43"/>
        <v>0</v>
      </c>
    </row>
    <row r="668" spans="1:10" x14ac:dyDescent="0.2">
      <c r="A668">
        <v>244</v>
      </c>
      <c r="B668" t="s">
        <v>281</v>
      </c>
      <c r="C668" s="5">
        <v>50</v>
      </c>
      <c r="D668" s="5">
        <f t="shared" si="40"/>
        <v>293.66975814369101</v>
      </c>
      <c r="E668" s="5">
        <f t="shared" si="42"/>
        <v>5</v>
      </c>
      <c r="F668" s="4">
        <v>234</v>
      </c>
      <c r="G668" s="5" t="s">
        <v>274</v>
      </c>
      <c r="H668" s="5">
        <v>59</v>
      </c>
      <c r="I668" s="5">
        <f t="shared" si="41"/>
        <v>493.89549345236594</v>
      </c>
      <c r="J668" s="5">
        <f t="shared" si="43"/>
        <v>4</v>
      </c>
    </row>
    <row r="669" spans="1:10" x14ac:dyDescent="0.2">
      <c r="A669">
        <v>244.25</v>
      </c>
      <c r="B669" t="s">
        <v>177</v>
      </c>
      <c r="C669" s="5">
        <v>57</v>
      </c>
      <c r="D669" s="5">
        <f t="shared" si="40"/>
        <v>440.01010976071973</v>
      </c>
      <c r="E669" s="5">
        <f t="shared" si="42"/>
        <v>7</v>
      </c>
      <c r="F669" s="4">
        <v>234.5</v>
      </c>
      <c r="G669" s="5" t="s">
        <v>64</v>
      </c>
      <c r="H669" s="5">
        <v>58</v>
      </c>
      <c r="I669" s="5">
        <f t="shared" si="41"/>
        <v>466.17487092753117</v>
      </c>
      <c r="J669" s="5">
        <f t="shared" si="43"/>
        <v>1</v>
      </c>
    </row>
    <row r="670" spans="1:10" x14ac:dyDescent="0.2">
      <c r="A670">
        <v>244.5</v>
      </c>
      <c r="B670" t="s">
        <v>284</v>
      </c>
      <c r="C670" s="5">
        <v>59</v>
      </c>
      <c r="D670" s="5">
        <f t="shared" si="40"/>
        <v>493.89549345236594</v>
      </c>
      <c r="E670" s="5">
        <f t="shared" si="42"/>
        <v>2</v>
      </c>
      <c r="F670" s="4">
        <v>235</v>
      </c>
      <c r="G670" s="5" t="s">
        <v>53</v>
      </c>
      <c r="H670" s="5">
        <v>55</v>
      </c>
      <c r="I670" s="5">
        <f t="shared" si="41"/>
        <v>392.00377257605692</v>
      </c>
      <c r="J670" s="5">
        <f t="shared" si="43"/>
        <v>3</v>
      </c>
    </row>
    <row r="671" spans="1:10" x14ac:dyDescent="0.2">
      <c r="A671">
        <v>244.75</v>
      </c>
      <c r="B671" t="s">
        <v>219</v>
      </c>
      <c r="C671" s="5">
        <v>55</v>
      </c>
      <c r="D671" s="5">
        <f t="shared" si="40"/>
        <v>392.00377257605692</v>
      </c>
      <c r="E671" s="5">
        <f t="shared" si="42"/>
        <v>4</v>
      </c>
      <c r="F671" s="4">
        <v>235.5</v>
      </c>
      <c r="G671" s="5" t="s">
        <v>53</v>
      </c>
      <c r="H671" s="5">
        <v>55</v>
      </c>
      <c r="I671" s="5">
        <f t="shared" si="41"/>
        <v>392.00377257605692</v>
      </c>
      <c r="J671" s="5">
        <f t="shared" si="43"/>
        <v>0</v>
      </c>
    </row>
    <row r="672" spans="1:10" x14ac:dyDescent="0.2">
      <c r="A672">
        <v>245</v>
      </c>
      <c r="B672" t="s">
        <v>284</v>
      </c>
      <c r="C672" s="5">
        <v>59</v>
      </c>
      <c r="D672" s="5">
        <f t="shared" si="40"/>
        <v>493.89549345236594</v>
      </c>
      <c r="E672" s="5">
        <f t="shared" si="42"/>
        <v>4</v>
      </c>
      <c r="F672" s="4">
        <v>236</v>
      </c>
      <c r="G672" s="5" t="s">
        <v>54</v>
      </c>
      <c r="H672" s="5">
        <v>45</v>
      </c>
      <c r="I672" s="5">
        <f t="shared" si="41"/>
        <v>220.00279814001337</v>
      </c>
      <c r="J672" s="5">
        <f t="shared" si="43"/>
        <v>10</v>
      </c>
    </row>
    <row r="673" spans="1:10" x14ac:dyDescent="0.2">
      <c r="A673">
        <v>245.5</v>
      </c>
      <c r="B673" t="s">
        <v>219</v>
      </c>
      <c r="C673" s="5">
        <v>55</v>
      </c>
      <c r="D673" s="5">
        <f t="shared" si="40"/>
        <v>392.00377257605692</v>
      </c>
      <c r="E673" s="5">
        <f t="shared" si="42"/>
        <v>4</v>
      </c>
      <c r="F673" s="4">
        <v>236.25</v>
      </c>
      <c r="G673" s="5" t="s">
        <v>62</v>
      </c>
      <c r="H673" s="5">
        <v>53</v>
      </c>
      <c r="I673" s="5">
        <f t="shared" si="41"/>
        <v>349.23506143398839</v>
      </c>
      <c r="J673" s="5">
        <f t="shared" si="43"/>
        <v>8</v>
      </c>
    </row>
    <row r="674" spans="1:10" x14ac:dyDescent="0.2">
      <c r="A674">
        <v>246</v>
      </c>
      <c r="B674" t="s">
        <v>281</v>
      </c>
      <c r="C674" s="5">
        <v>50</v>
      </c>
      <c r="D674" s="5">
        <f t="shared" si="40"/>
        <v>293.66975814369101</v>
      </c>
      <c r="E674" s="5">
        <f t="shared" si="42"/>
        <v>5</v>
      </c>
      <c r="F674" s="4">
        <v>236.5</v>
      </c>
      <c r="G674" s="5" t="s">
        <v>53</v>
      </c>
      <c r="H674" s="5">
        <v>55</v>
      </c>
      <c r="I674" s="5">
        <f t="shared" si="41"/>
        <v>392.00377257605692</v>
      </c>
      <c r="J674" s="5">
        <f t="shared" si="43"/>
        <v>2</v>
      </c>
    </row>
    <row r="675" spans="1:10" x14ac:dyDescent="0.2">
      <c r="A675">
        <v>246.25</v>
      </c>
      <c r="B675" t="s">
        <v>177</v>
      </c>
      <c r="C675" s="5">
        <v>57</v>
      </c>
      <c r="D675" s="5">
        <f t="shared" si="40"/>
        <v>440.01010976071973</v>
      </c>
      <c r="E675" s="5">
        <f t="shared" si="42"/>
        <v>7</v>
      </c>
      <c r="F675" s="4">
        <v>236.75</v>
      </c>
      <c r="G675" s="5" t="s">
        <v>273</v>
      </c>
      <c r="H675" s="5">
        <v>50</v>
      </c>
      <c r="I675" s="5">
        <f t="shared" si="41"/>
        <v>293.66975814369101</v>
      </c>
      <c r="J675" s="5">
        <f t="shared" si="43"/>
        <v>5</v>
      </c>
    </row>
    <row r="676" spans="1:10" x14ac:dyDescent="0.2">
      <c r="A676">
        <v>246.5</v>
      </c>
      <c r="B676" t="s">
        <v>284</v>
      </c>
      <c r="C676" s="5">
        <v>59</v>
      </c>
      <c r="D676" s="5">
        <f t="shared" si="40"/>
        <v>493.89549345236594</v>
      </c>
      <c r="E676" s="5">
        <f t="shared" si="42"/>
        <v>2</v>
      </c>
      <c r="F676" s="4">
        <v>237</v>
      </c>
      <c r="G676" s="5" t="s">
        <v>53</v>
      </c>
      <c r="H676" s="5">
        <v>55</v>
      </c>
      <c r="I676" s="5">
        <f t="shared" si="41"/>
        <v>392.00377257605692</v>
      </c>
      <c r="J676" s="5">
        <f t="shared" si="43"/>
        <v>5</v>
      </c>
    </row>
    <row r="677" spans="1:10" x14ac:dyDescent="0.2">
      <c r="A677">
        <v>246.75</v>
      </c>
      <c r="B677" t="s">
        <v>219</v>
      </c>
      <c r="C677" s="5">
        <v>55</v>
      </c>
      <c r="D677" s="5">
        <f t="shared" si="40"/>
        <v>392.00377257605692</v>
      </c>
      <c r="E677" s="5">
        <f t="shared" si="42"/>
        <v>4</v>
      </c>
      <c r="F677" s="4">
        <v>237.5</v>
      </c>
      <c r="G677" s="5" t="s">
        <v>60</v>
      </c>
      <c r="H677" s="5">
        <v>55</v>
      </c>
      <c r="I677" s="5">
        <f t="shared" si="41"/>
        <v>392.00377257605692</v>
      </c>
      <c r="J677" s="5">
        <f t="shared" si="43"/>
        <v>0</v>
      </c>
    </row>
    <row r="678" spans="1:10" x14ac:dyDescent="0.2">
      <c r="A678">
        <v>247</v>
      </c>
      <c r="B678" t="s">
        <v>284</v>
      </c>
      <c r="C678" s="5">
        <v>59</v>
      </c>
      <c r="D678" s="5">
        <f t="shared" si="40"/>
        <v>493.89549345236594</v>
      </c>
      <c r="E678" s="5">
        <f t="shared" si="42"/>
        <v>4</v>
      </c>
      <c r="F678" s="4">
        <v>238</v>
      </c>
      <c r="G678" s="5" t="s">
        <v>274</v>
      </c>
      <c r="H678" s="5">
        <v>59</v>
      </c>
      <c r="I678" s="5">
        <f t="shared" si="41"/>
        <v>493.89549345236594</v>
      </c>
      <c r="J678" s="5">
        <f t="shared" si="43"/>
        <v>4</v>
      </c>
    </row>
    <row r="679" spans="1:10" x14ac:dyDescent="0.2">
      <c r="A679">
        <v>247.5</v>
      </c>
      <c r="B679" t="s">
        <v>219</v>
      </c>
      <c r="C679" s="5">
        <v>55</v>
      </c>
      <c r="D679" s="5">
        <f t="shared" si="40"/>
        <v>392.00377257605692</v>
      </c>
      <c r="E679" s="5">
        <f t="shared" si="42"/>
        <v>4</v>
      </c>
      <c r="F679" s="4">
        <v>238.5</v>
      </c>
      <c r="G679" s="5" t="s">
        <v>64</v>
      </c>
      <c r="H679" s="5">
        <v>58</v>
      </c>
      <c r="I679" s="5">
        <f t="shared" si="41"/>
        <v>466.17487092753117</v>
      </c>
      <c r="J679" s="5">
        <f t="shared" si="43"/>
        <v>1</v>
      </c>
    </row>
    <row r="680" spans="1:10" x14ac:dyDescent="0.2">
      <c r="A680">
        <v>248</v>
      </c>
      <c r="B680" t="s">
        <v>281</v>
      </c>
      <c r="C680" s="5">
        <v>50</v>
      </c>
      <c r="D680" s="5">
        <f t="shared" si="40"/>
        <v>293.66975814369101</v>
      </c>
      <c r="E680" s="5">
        <f t="shared" si="42"/>
        <v>5</v>
      </c>
      <c r="F680" s="4">
        <v>239</v>
      </c>
      <c r="G680" s="5" t="s">
        <v>119</v>
      </c>
      <c r="H680" s="5">
        <v>59</v>
      </c>
      <c r="I680" s="5">
        <f t="shared" si="41"/>
        <v>493.89549345236594</v>
      </c>
      <c r="J680" s="5">
        <f t="shared" si="43"/>
        <v>1</v>
      </c>
    </row>
    <row r="681" spans="1:10" x14ac:dyDescent="0.2">
      <c r="A681">
        <v>248.25</v>
      </c>
      <c r="B681" t="s">
        <v>177</v>
      </c>
      <c r="C681" s="5">
        <v>57</v>
      </c>
      <c r="D681" s="5">
        <f t="shared" si="40"/>
        <v>440.01010976071973</v>
      </c>
      <c r="E681" s="5">
        <f t="shared" si="42"/>
        <v>7</v>
      </c>
      <c r="F681" s="4">
        <v>239.5</v>
      </c>
      <c r="G681" s="5" t="s">
        <v>53</v>
      </c>
      <c r="H681" s="5">
        <v>55</v>
      </c>
      <c r="I681" s="5">
        <f t="shared" si="41"/>
        <v>392.00377257605692</v>
      </c>
      <c r="J681" s="5">
        <f t="shared" si="43"/>
        <v>4</v>
      </c>
    </row>
    <row r="682" spans="1:10" x14ac:dyDescent="0.2">
      <c r="A682">
        <v>248.5</v>
      </c>
      <c r="B682" t="s">
        <v>284</v>
      </c>
      <c r="C682" s="5">
        <v>59</v>
      </c>
      <c r="D682" s="5">
        <f t="shared" si="40"/>
        <v>493.89549345236594</v>
      </c>
      <c r="E682" s="5">
        <f t="shared" si="42"/>
        <v>2</v>
      </c>
      <c r="F682" s="4">
        <v>240</v>
      </c>
      <c r="G682" s="5" t="s">
        <v>54</v>
      </c>
      <c r="H682" s="5">
        <v>45</v>
      </c>
      <c r="I682" s="5">
        <f t="shared" si="41"/>
        <v>220.00279814001337</v>
      </c>
      <c r="J682" s="5">
        <f t="shared" si="43"/>
        <v>10</v>
      </c>
    </row>
    <row r="683" spans="1:10" x14ac:dyDescent="0.2">
      <c r="A683">
        <v>248.75</v>
      </c>
      <c r="B683" t="s">
        <v>219</v>
      </c>
      <c r="C683" s="5">
        <v>55</v>
      </c>
      <c r="D683" s="5">
        <f t="shared" si="40"/>
        <v>392.00377257605692</v>
      </c>
      <c r="E683" s="5">
        <f t="shared" si="42"/>
        <v>4</v>
      </c>
      <c r="F683" s="4">
        <v>240.25</v>
      </c>
      <c r="G683" s="5" t="s">
        <v>56</v>
      </c>
      <c r="H683" s="5">
        <v>41</v>
      </c>
      <c r="I683" s="5">
        <f t="shared" si="41"/>
        <v>174.61573954711864</v>
      </c>
      <c r="J683" s="5">
        <f t="shared" si="43"/>
        <v>4</v>
      </c>
    </row>
    <row r="684" spans="1:10" x14ac:dyDescent="0.2">
      <c r="A684">
        <v>249</v>
      </c>
      <c r="B684" t="s">
        <v>284</v>
      </c>
      <c r="C684" s="5">
        <v>59</v>
      </c>
      <c r="D684" s="5">
        <f t="shared" si="40"/>
        <v>493.89549345236594</v>
      </c>
      <c r="E684" s="5">
        <f t="shared" si="42"/>
        <v>4</v>
      </c>
      <c r="F684" s="4">
        <v>240.5</v>
      </c>
      <c r="G684" s="5" t="s">
        <v>53</v>
      </c>
      <c r="H684" s="5">
        <v>55</v>
      </c>
      <c r="I684" s="5">
        <f t="shared" si="41"/>
        <v>392.00377257605692</v>
      </c>
      <c r="J684" s="5">
        <f t="shared" si="43"/>
        <v>14</v>
      </c>
    </row>
    <row r="685" spans="1:10" x14ac:dyDescent="0.2">
      <c r="A685">
        <v>249.5</v>
      </c>
      <c r="B685" t="s">
        <v>219</v>
      </c>
      <c r="C685" s="5">
        <v>55</v>
      </c>
      <c r="D685" s="5">
        <f t="shared" si="40"/>
        <v>392.00377257605692</v>
      </c>
      <c r="E685" s="5">
        <f t="shared" si="42"/>
        <v>4</v>
      </c>
      <c r="F685" s="4">
        <v>240.75</v>
      </c>
      <c r="G685" s="5" t="s">
        <v>273</v>
      </c>
      <c r="H685" s="5">
        <v>50</v>
      </c>
      <c r="I685" s="5">
        <f t="shared" si="41"/>
        <v>293.66975814369101</v>
      </c>
      <c r="J685" s="5">
        <f t="shared" si="43"/>
        <v>5</v>
      </c>
    </row>
    <row r="686" spans="1:10" x14ac:dyDescent="0.2">
      <c r="A686">
        <v>250</v>
      </c>
      <c r="B686" t="s">
        <v>281</v>
      </c>
      <c r="C686" s="5">
        <v>50</v>
      </c>
      <c r="D686" s="5">
        <f t="shared" si="40"/>
        <v>293.66975814369101</v>
      </c>
      <c r="E686" s="5">
        <f t="shared" si="42"/>
        <v>5</v>
      </c>
      <c r="F686" s="4">
        <v>241</v>
      </c>
      <c r="G686" s="5" t="s">
        <v>53</v>
      </c>
      <c r="H686" s="5">
        <v>55</v>
      </c>
      <c r="I686" s="5">
        <f t="shared" si="41"/>
        <v>392.00377257605692</v>
      </c>
      <c r="J686" s="5">
        <f t="shared" si="43"/>
        <v>5</v>
      </c>
    </row>
    <row r="687" spans="1:10" x14ac:dyDescent="0.2">
      <c r="A687">
        <v>250.25</v>
      </c>
      <c r="B687" t="s">
        <v>177</v>
      </c>
      <c r="C687" s="5">
        <v>57</v>
      </c>
      <c r="D687" s="5">
        <f t="shared" si="40"/>
        <v>440.01010976071973</v>
      </c>
      <c r="E687" s="5">
        <f t="shared" si="42"/>
        <v>7</v>
      </c>
      <c r="F687" s="4">
        <v>241.5</v>
      </c>
      <c r="G687" s="5" t="s">
        <v>60</v>
      </c>
      <c r="H687" s="5">
        <v>55</v>
      </c>
      <c r="I687" s="5">
        <f t="shared" si="41"/>
        <v>392.00377257605692</v>
      </c>
      <c r="J687" s="5">
        <f t="shared" si="43"/>
        <v>0</v>
      </c>
    </row>
    <row r="688" spans="1:10" x14ac:dyDescent="0.2">
      <c r="A688">
        <v>250.5</v>
      </c>
      <c r="B688" t="s">
        <v>284</v>
      </c>
      <c r="C688" s="5">
        <v>59</v>
      </c>
      <c r="D688" s="5">
        <f t="shared" si="40"/>
        <v>493.89549345236594</v>
      </c>
      <c r="E688" s="5">
        <f t="shared" si="42"/>
        <v>2</v>
      </c>
      <c r="F688" s="4">
        <v>242</v>
      </c>
      <c r="G688" s="5" t="s">
        <v>63</v>
      </c>
      <c r="H688" s="5">
        <v>59</v>
      </c>
      <c r="I688" s="5">
        <f t="shared" si="41"/>
        <v>493.89549345236594</v>
      </c>
      <c r="J688" s="5">
        <f t="shared" si="43"/>
        <v>4</v>
      </c>
    </row>
    <row r="689" spans="1:10" x14ac:dyDescent="0.2">
      <c r="A689">
        <v>250.75</v>
      </c>
      <c r="B689" t="s">
        <v>219</v>
      </c>
      <c r="C689" s="5">
        <v>55</v>
      </c>
      <c r="D689" s="5">
        <f t="shared" si="40"/>
        <v>392.00377257605692</v>
      </c>
      <c r="E689" s="5">
        <f t="shared" si="42"/>
        <v>4</v>
      </c>
      <c r="F689" s="4">
        <v>242.5</v>
      </c>
      <c r="G689" s="5" t="s">
        <v>64</v>
      </c>
      <c r="H689" s="5">
        <v>58</v>
      </c>
      <c r="I689" s="5">
        <f t="shared" si="41"/>
        <v>466.17487092753117</v>
      </c>
      <c r="J689" s="5">
        <f t="shared" si="43"/>
        <v>1</v>
      </c>
    </row>
    <row r="690" spans="1:10" x14ac:dyDescent="0.2">
      <c r="A690">
        <v>251</v>
      </c>
      <c r="B690" t="s">
        <v>284</v>
      </c>
      <c r="C690" s="5">
        <v>59</v>
      </c>
      <c r="D690" s="5">
        <f t="shared" si="40"/>
        <v>493.89549345236594</v>
      </c>
      <c r="E690" s="5">
        <f t="shared" si="42"/>
        <v>4</v>
      </c>
      <c r="F690" s="4">
        <v>243</v>
      </c>
      <c r="G690" s="5" t="s">
        <v>60</v>
      </c>
      <c r="H690" s="5">
        <v>55</v>
      </c>
      <c r="I690" s="5">
        <f t="shared" si="41"/>
        <v>392.00377257605692</v>
      </c>
      <c r="J690" s="5">
        <f t="shared" si="43"/>
        <v>3</v>
      </c>
    </row>
    <row r="691" spans="1:10" x14ac:dyDescent="0.2">
      <c r="A691">
        <v>251.5</v>
      </c>
      <c r="B691" t="s">
        <v>219</v>
      </c>
      <c r="C691" s="5">
        <v>55</v>
      </c>
      <c r="D691" s="5">
        <f t="shared" si="40"/>
        <v>392.00377257605692</v>
      </c>
      <c r="E691" s="5">
        <f t="shared" si="42"/>
        <v>4</v>
      </c>
      <c r="F691" s="4">
        <v>243.5</v>
      </c>
      <c r="G691" s="5" t="s">
        <v>53</v>
      </c>
      <c r="H691" s="5">
        <v>55</v>
      </c>
      <c r="I691" s="5">
        <f t="shared" si="41"/>
        <v>392.00377257605692</v>
      </c>
      <c r="J691" s="5">
        <f t="shared" si="43"/>
        <v>0</v>
      </c>
    </row>
    <row r="692" spans="1:10" x14ac:dyDescent="0.2">
      <c r="A692">
        <v>252</v>
      </c>
      <c r="B692" t="s">
        <v>281</v>
      </c>
      <c r="C692" s="5">
        <v>50</v>
      </c>
      <c r="D692" s="5">
        <f t="shared" si="40"/>
        <v>293.66975814369101</v>
      </c>
      <c r="E692" s="5">
        <f t="shared" si="42"/>
        <v>5</v>
      </c>
      <c r="F692" s="4">
        <v>244</v>
      </c>
      <c r="G692" s="5" t="s">
        <v>54</v>
      </c>
      <c r="H692" s="5">
        <v>45</v>
      </c>
      <c r="I692" s="5">
        <f t="shared" si="41"/>
        <v>220.00279814001337</v>
      </c>
      <c r="J692" s="5">
        <f t="shared" si="43"/>
        <v>10</v>
      </c>
    </row>
    <row r="693" spans="1:10" x14ac:dyDescent="0.2">
      <c r="A693">
        <v>252.25</v>
      </c>
      <c r="B693" t="s">
        <v>282</v>
      </c>
      <c r="C693" s="5">
        <v>57</v>
      </c>
      <c r="D693" s="5">
        <f t="shared" si="40"/>
        <v>440.01010976071973</v>
      </c>
      <c r="E693" s="5">
        <f t="shared" si="42"/>
        <v>7</v>
      </c>
      <c r="F693" s="4">
        <v>244.25</v>
      </c>
      <c r="G693" s="5" t="s">
        <v>62</v>
      </c>
      <c r="H693" s="5">
        <v>53</v>
      </c>
      <c r="I693" s="5">
        <f t="shared" si="41"/>
        <v>349.23506143398839</v>
      </c>
      <c r="J693" s="5">
        <f t="shared" si="43"/>
        <v>8</v>
      </c>
    </row>
    <row r="694" spans="1:10" x14ac:dyDescent="0.2">
      <c r="A694">
        <v>252.5</v>
      </c>
      <c r="B694" t="s">
        <v>283</v>
      </c>
      <c r="C694" s="5">
        <v>59</v>
      </c>
      <c r="D694" s="5">
        <f t="shared" si="40"/>
        <v>493.89549345236594</v>
      </c>
      <c r="E694" s="5">
        <f t="shared" si="42"/>
        <v>2</v>
      </c>
      <c r="F694" s="4">
        <v>244.5</v>
      </c>
      <c r="G694" s="5" t="s">
        <v>53</v>
      </c>
      <c r="H694" s="5">
        <v>55</v>
      </c>
      <c r="I694" s="5">
        <f t="shared" si="41"/>
        <v>392.00377257605692</v>
      </c>
      <c r="J694" s="5">
        <f t="shared" si="43"/>
        <v>2</v>
      </c>
    </row>
    <row r="695" spans="1:10" x14ac:dyDescent="0.2">
      <c r="A695">
        <v>252.75</v>
      </c>
      <c r="B695" t="s">
        <v>219</v>
      </c>
      <c r="C695" s="5">
        <v>55</v>
      </c>
      <c r="D695" s="5">
        <f t="shared" si="40"/>
        <v>392.00377257605692</v>
      </c>
      <c r="E695" s="5">
        <f t="shared" si="42"/>
        <v>4</v>
      </c>
      <c r="F695" s="4">
        <v>244.75</v>
      </c>
      <c r="G695" s="5" t="s">
        <v>273</v>
      </c>
      <c r="H695" s="5">
        <v>50</v>
      </c>
      <c r="I695" s="5">
        <f t="shared" si="41"/>
        <v>293.66975814369101</v>
      </c>
      <c r="J695" s="5">
        <f t="shared" si="43"/>
        <v>5</v>
      </c>
    </row>
    <row r="696" spans="1:10" x14ac:dyDescent="0.2">
      <c r="A696">
        <v>253</v>
      </c>
      <c r="B696" t="s">
        <v>283</v>
      </c>
      <c r="C696" s="5">
        <v>59</v>
      </c>
      <c r="D696" s="5">
        <f t="shared" si="40"/>
        <v>493.89549345236594</v>
      </c>
      <c r="E696" s="5">
        <f t="shared" si="42"/>
        <v>4</v>
      </c>
      <c r="F696" s="4">
        <v>245</v>
      </c>
      <c r="G696" s="5" t="s">
        <v>53</v>
      </c>
      <c r="H696" s="5">
        <v>55</v>
      </c>
      <c r="I696" s="5">
        <f t="shared" si="41"/>
        <v>392.00377257605692</v>
      </c>
      <c r="J696" s="5">
        <f t="shared" si="43"/>
        <v>5</v>
      </c>
    </row>
    <row r="697" spans="1:10" x14ac:dyDescent="0.2">
      <c r="A697">
        <v>253.5</v>
      </c>
      <c r="B697" t="s">
        <v>436</v>
      </c>
      <c r="C697" s="5">
        <v>55</v>
      </c>
      <c r="D697" s="5">
        <f t="shared" si="40"/>
        <v>392.00377257605692</v>
      </c>
      <c r="E697" s="5">
        <f t="shared" si="42"/>
        <v>4</v>
      </c>
      <c r="F697" s="4">
        <v>245.5</v>
      </c>
      <c r="G697" s="5" t="s">
        <v>53</v>
      </c>
      <c r="H697" s="5">
        <v>55</v>
      </c>
      <c r="I697" s="5">
        <f t="shared" si="41"/>
        <v>392.00377257605692</v>
      </c>
      <c r="J697" s="5">
        <f t="shared" si="43"/>
        <v>0</v>
      </c>
    </row>
    <row r="698" spans="1:10" x14ac:dyDescent="0.2">
      <c r="A698">
        <v>254</v>
      </c>
      <c r="B698" t="s">
        <v>440</v>
      </c>
      <c r="C698" s="5">
        <v>62</v>
      </c>
      <c r="D698" s="5">
        <f t="shared" si="40"/>
        <v>587.34554108704231</v>
      </c>
      <c r="E698" s="5">
        <f t="shared" si="42"/>
        <v>7</v>
      </c>
      <c r="F698" s="4">
        <v>246</v>
      </c>
      <c r="G698" s="5" t="s">
        <v>54</v>
      </c>
      <c r="H698" s="5">
        <v>45</v>
      </c>
      <c r="I698" s="5">
        <f t="shared" si="41"/>
        <v>220.00279814001337</v>
      </c>
      <c r="J698" s="5">
        <f t="shared" si="43"/>
        <v>10</v>
      </c>
    </row>
    <row r="699" spans="1:10" x14ac:dyDescent="0.2">
      <c r="A699">
        <v>254.5</v>
      </c>
      <c r="B699" t="s">
        <v>441</v>
      </c>
      <c r="C699" s="5">
        <v>61</v>
      </c>
      <c r="D699" s="5">
        <f t="shared" si="40"/>
        <v>554.37989501015818</v>
      </c>
      <c r="E699" s="5">
        <f t="shared" si="42"/>
        <v>1</v>
      </c>
      <c r="F699" s="4">
        <v>246.25</v>
      </c>
      <c r="G699" s="5" t="s">
        <v>62</v>
      </c>
      <c r="H699" s="5">
        <v>53</v>
      </c>
      <c r="I699" s="5">
        <f t="shared" si="41"/>
        <v>349.23506143398839</v>
      </c>
      <c r="J699" s="5">
        <f t="shared" si="43"/>
        <v>8</v>
      </c>
    </row>
    <row r="700" spans="1:10" x14ac:dyDescent="0.2">
      <c r="A700">
        <v>255</v>
      </c>
      <c r="B700" t="s">
        <v>287</v>
      </c>
      <c r="C700" s="5">
        <v>62</v>
      </c>
      <c r="D700" s="5">
        <f t="shared" si="40"/>
        <v>587.34554108704231</v>
      </c>
      <c r="E700" s="5">
        <f t="shared" si="42"/>
        <v>1</v>
      </c>
      <c r="F700" s="4">
        <v>246.5</v>
      </c>
      <c r="G700" s="5" t="s">
        <v>53</v>
      </c>
      <c r="H700" s="5">
        <v>55</v>
      </c>
      <c r="I700" s="5">
        <f t="shared" si="41"/>
        <v>392.00377257605692</v>
      </c>
      <c r="J700" s="5">
        <f t="shared" si="43"/>
        <v>2</v>
      </c>
    </row>
    <row r="701" spans="1:10" x14ac:dyDescent="0.2">
      <c r="A701">
        <v>255.5</v>
      </c>
      <c r="B701" t="s">
        <v>436</v>
      </c>
      <c r="C701" s="5">
        <v>55</v>
      </c>
      <c r="D701" s="5">
        <f t="shared" si="40"/>
        <v>392.00377257605692</v>
      </c>
      <c r="E701" s="5">
        <f t="shared" si="42"/>
        <v>7</v>
      </c>
      <c r="F701" s="4">
        <v>246.75</v>
      </c>
      <c r="G701" s="5" t="s">
        <v>273</v>
      </c>
      <c r="H701" s="5">
        <v>50</v>
      </c>
      <c r="I701" s="5">
        <f t="shared" si="41"/>
        <v>293.66975814369101</v>
      </c>
      <c r="J701" s="5">
        <f t="shared" si="43"/>
        <v>5</v>
      </c>
    </row>
    <row r="702" spans="1:10" x14ac:dyDescent="0.2">
      <c r="A702">
        <v>256</v>
      </c>
      <c r="B702" t="s">
        <v>281</v>
      </c>
      <c r="C702" s="5">
        <v>50</v>
      </c>
      <c r="D702" s="5">
        <f t="shared" si="40"/>
        <v>293.66975814369101</v>
      </c>
      <c r="E702" s="5">
        <f t="shared" si="42"/>
        <v>5</v>
      </c>
      <c r="F702" s="4">
        <v>247</v>
      </c>
      <c r="G702" s="5" t="s">
        <v>53</v>
      </c>
      <c r="H702" s="5">
        <v>55</v>
      </c>
      <c r="I702" s="5">
        <f t="shared" si="41"/>
        <v>392.00377257605692</v>
      </c>
      <c r="J702" s="5">
        <f t="shared" si="43"/>
        <v>5</v>
      </c>
    </row>
    <row r="703" spans="1:10" x14ac:dyDescent="0.2">
      <c r="A703">
        <v>256.25</v>
      </c>
      <c r="B703" t="s">
        <v>282</v>
      </c>
      <c r="C703" s="5">
        <v>57</v>
      </c>
      <c r="D703" s="5">
        <f t="shared" si="40"/>
        <v>440.01010976071973</v>
      </c>
      <c r="E703" s="5">
        <f t="shared" si="42"/>
        <v>7</v>
      </c>
      <c r="F703" s="4">
        <v>247.5</v>
      </c>
      <c r="G703" s="5" t="s">
        <v>53</v>
      </c>
      <c r="H703" s="5">
        <v>55</v>
      </c>
      <c r="I703" s="5">
        <f t="shared" si="41"/>
        <v>392.00377257605692</v>
      </c>
      <c r="J703" s="5">
        <f t="shared" si="43"/>
        <v>0</v>
      </c>
    </row>
    <row r="704" spans="1:10" x14ac:dyDescent="0.2">
      <c r="A704">
        <v>256.5</v>
      </c>
      <c r="B704" t="s">
        <v>283</v>
      </c>
      <c r="C704" s="5">
        <v>59</v>
      </c>
      <c r="D704" s="5">
        <f t="shared" si="40"/>
        <v>493.89549345236594</v>
      </c>
      <c r="E704" s="5">
        <f t="shared" si="42"/>
        <v>2</v>
      </c>
      <c r="F704" s="4">
        <v>248</v>
      </c>
      <c r="G704" s="5" t="s">
        <v>54</v>
      </c>
      <c r="H704" s="5">
        <v>45</v>
      </c>
      <c r="I704" s="5">
        <f t="shared" si="41"/>
        <v>220.00279814001337</v>
      </c>
      <c r="J704" s="5">
        <f t="shared" si="43"/>
        <v>10</v>
      </c>
    </row>
    <row r="705" spans="1:10" x14ac:dyDescent="0.2">
      <c r="A705">
        <v>256.75</v>
      </c>
      <c r="B705" t="s">
        <v>219</v>
      </c>
      <c r="C705" s="5">
        <v>55</v>
      </c>
      <c r="D705" s="5">
        <f t="shared" si="40"/>
        <v>392.00377257605692</v>
      </c>
      <c r="E705" s="5">
        <f t="shared" si="42"/>
        <v>4</v>
      </c>
      <c r="F705" s="4">
        <v>248.25</v>
      </c>
      <c r="G705" s="5" t="s">
        <v>62</v>
      </c>
      <c r="H705" s="5">
        <v>53</v>
      </c>
      <c r="I705" s="5">
        <f t="shared" si="41"/>
        <v>349.23506143398839</v>
      </c>
      <c r="J705" s="5">
        <f t="shared" si="43"/>
        <v>8</v>
      </c>
    </row>
    <row r="706" spans="1:10" x14ac:dyDescent="0.2">
      <c r="A706">
        <v>257</v>
      </c>
      <c r="B706" t="s">
        <v>283</v>
      </c>
      <c r="C706" s="5">
        <v>59</v>
      </c>
      <c r="D706" s="5">
        <f t="shared" si="40"/>
        <v>493.89549345236594</v>
      </c>
      <c r="E706" s="5">
        <f t="shared" si="42"/>
        <v>4</v>
      </c>
      <c r="F706" s="4">
        <v>248.5</v>
      </c>
      <c r="G706" s="5" t="s">
        <v>53</v>
      </c>
      <c r="H706" s="5">
        <v>55</v>
      </c>
      <c r="I706" s="5">
        <f t="shared" si="41"/>
        <v>392.00377257605692</v>
      </c>
      <c r="J706" s="5">
        <f t="shared" si="43"/>
        <v>2</v>
      </c>
    </row>
    <row r="707" spans="1:10" x14ac:dyDescent="0.2">
      <c r="A707">
        <v>257.5</v>
      </c>
      <c r="B707" t="s">
        <v>219</v>
      </c>
      <c r="C707" s="5">
        <v>55</v>
      </c>
      <c r="D707" s="5">
        <f t="shared" si="40"/>
        <v>392.00377257605692</v>
      </c>
      <c r="E707" s="5">
        <f t="shared" si="42"/>
        <v>4</v>
      </c>
      <c r="F707" s="4">
        <v>248.75</v>
      </c>
      <c r="G707" t="s">
        <v>273</v>
      </c>
      <c r="H707" s="5">
        <v>50</v>
      </c>
      <c r="I707" s="5">
        <f t="shared" si="41"/>
        <v>293.66975814369101</v>
      </c>
      <c r="J707" s="5">
        <f t="shared" si="43"/>
        <v>5</v>
      </c>
    </row>
    <row r="708" spans="1:10" x14ac:dyDescent="0.2">
      <c r="A708">
        <v>258</v>
      </c>
      <c r="B708" t="s">
        <v>287</v>
      </c>
      <c r="C708" s="5">
        <v>62</v>
      </c>
      <c r="D708" s="5">
        <f t="shared" ref="D708:D771" si="44">16.35117682*1.059464^C708</f>
        <v>587.34554108704231</v>
      </c>
      <c r="E708" s="5">
        <f t="shared" si="42"/>
        <v>7</v>
      </c>
      <c r="F708" s="4">
        <v>249</v>
      </c>
      <c r="G708" s="5" t="s">
        <v>53</v>
      </c>
      <c r="H708" s="5">
        <v>55</v>
      </c>
      <c r="I708" s="5">
        <f t="shared" ref="I708:I771" si="45">16.35117682*1.059464^H708</f>
        <v>392.00377257605692</v>
      </c>
      <c r="J708" s="5">
        <f t="shared" si="43"/>
        <v>5</v>
      </c>
    </row>
    <row r="709" spans="1:10" x14ac:dyDescent="0.2">
      <c r="A709">
        <v>258.5</v>
      </c>
      <c r="B709" t="s">
        <v>442</v>
      </c>
      <c r="C709" s="5">
        <v>61</v>
      </c>
      <c r="D709" s="5">
        <f t="shared" si="44"/>
        <v>554.37989501015818</v>
      </c>
      <c r="E709" s="5">
        <f t="shared" ref="E709:E772" si="46">ABS( C709-C708)</f>
        <v>1</v>
      </c>
      <c r="F709" s="4">
        <v>249.5</v>
      </c>
      <c r="G709" t="s">
        <v>53</v>
      </c>
      <c r="H709" s="5">
        <v>55</v>
      </c>
      <c r="I709" s="5">
        <f t="shared" si="45"/>
        <v>392.00377257605692</v>
      </c>
      <c r="J709" s="5">
        <f t="shared" ref="J709:J772" si="47">ABS( H709-H708)</f>
        <v>0</v>
      </c>
    </row>
    <row r="710" spans="1:10" x14ac:dyDescent="0.2">
      <c r="A710">
        <v>259</v>
      </c>
      <c r="B710" t="s">
        <v>283</v>
      </c>
      <c r="C710" s="5">
        <v>59</v>
      </c>
      <c r="D710" s="5">
        <f t="shared" si="44"/>
        <v>493.89549345236594</v>
      </c>
      <c r="E710" s="5">
        <f t="shared" si="46"/>
        <v>2</v>
      </c>
      <c r="F710" s="4">
        <v>250</v>
      </c>
      <c r="G710" s="5" t="s">
        <v>54</v>
      </c>
      <c r="H710" s="5">
        <v>45</v>
      </c>
      <c r="I710" s="5">
        <f t="shared" si="45"/>
        <v>220.00279814001337</v>
      </c>
      <c r="J710" s="5">
        <f t="shared" si="47"/>
        <v>10</v>
      </c>
    </row>
    <row r="711" spans="1:10" x14ac:dyDescent="0.2">
      <c r="A711">
        <v>259.5</v>
      </c>
      <c r="B711" t="s">
        <v>219</v>
      </c>
      <c r="C711" s="5">
        <v>55</v>
      </c>
      <c r="D711" s="5">
        <f t="shared" si="44"/>
        <v>392.00377257605692</v>
      </c>
      <c r="E711" s="5">
        <f t="shared" si="46"/>
        <v>4</v>
      </c>
      <c r="F711" s="4">
        <v>250.25</v>
      </c>
      <c r="G711" t="s">
        <v>62</v>
      </c>
      <c r="H711" s="5">
        <v>53</v>
      </c>
      <c r="I711" s="5">
        <f t="shared" si="45"/>
        <v>349.23506143398839</v>
      </c>
      <c r="J711" s="5">
        <f t="shared" si="47"/>
        <v>8</v>
      </c>
    </row>
    <row r="712" spans="1:10" x14ac:dyDescent="0.2">
      <c r="A712">
        <v>260</v>
      </c>
      <c r="B712" t="s">
        <v>281</v>
      </c>
      <c r="C712" s="5">
        <v>50</v>
      </c>
      <c r="D712" s="5">
        <f t="shared" si="44"/>
        <v>293.66975814369101</v>
      </c>
      <c r="E712" s="5">
        <f t="shared" si="46"/>
        <v>5</v>
      </c>
      <c r="F712" s="4">
        <v>250.5</v>
      </c>
      <c r="G712" s="5" t="s">
        <v>53</v>
      </c>
      <c r="H712" s="5">
        <v>55</v>
      </c>
      <c r="I712" s="5">
        <f t="shared" si="45"/>
        <v>392.00377257605692</v>
      </c>
      <c r="J712" s="5">
        <f t="shared" si="47"/>
        <v>2</v>
      </c>
    </row>
    <row r="713" spans="1:10" x14ac:dyDescent="0.2">
      <c r="A713">
        <v>260.25</v>
      </c>
      <c r="B713" t="s">
        <v>282</v>
      </c>
      <c r="C713" s="5">
        <v>57</v>
      </c>
      <c r="D713" s="5">
        <f t="shared" si="44"/>
        <v>440.01010976071973</v>
      </c>
      <c r="E713" s="5">
        <f t="shared" si="46"/>
        <v>7</v>
      </c>
      <c r="F713" s="4">
        <v>250.75</v>
      </c>
      <c r="G713" t="s">
        <v>273</v>
      </c>
      <c r="H713" s="5">
        <v>50</v>
      </c>
      <c r="I713" s="5">
        <f t="shared" si="45"/>
        <v>293.66975814369101</v>
      </c>
      <c r="J713" s="5">
        <f t="shared" si="47"/>
        <v>5</v>
      </c>
    </row>
    <row r="714" spans="1:10" x14ac:dyDescent="0.2">
      <c r="A714">
        <v>260.5</v>
      </c>
      <c r="B714" t="s">
        <v>283</v>
      </c>
      <c r="C714" s="5">
        <v>59</v>
      </c>
      <c r="D714" s="5">
        <f t="shared" si="44"/>
        <v>493.89549345236594</v>
      </c>
      <c r="E714" s="5">
        <f t="shared" si="46"/>
        <v>2</v>
      </c>
      <c r="F714" s="4">
        <v>251</v>
      </c>
      <c r="G714" s="5" t="s">
        <v>53</v>
      </c>
      <c r="H714" s="5">
        <v>55</v>
      </c>
      <c r="I714" s="5">
        <f t="shared" si="45"/>
        <v>392.00377257605692</v>
      </c>
      <c r="J714" s="5">
        <f t="shared" si="47"/>
        <v>5</v>
      </c>
    </row>
    <row r="715" spans="1:10" x14ac:dyDescent="0.2">
      <c r="A715">
        <v>260.75</v>
      </c>
      <c r="B715" t="s">
        <v>219</v>
      </c>
      <c r="C715" s="5">
        <v>55</v>
      </c>
      <c r="D715" s="5">
        <f t="shared" si="44"/>
        <v>392.00377257605692</v>
      </c>
      <c r="E715" s="5">
        <f t="shared" si="46"/>
        <v>4</v>
      </c>
      <c r="F715" s="4">
        <v>251.5</v>
      </c>
      <c r="G715" t="s">
        <v>53</v>
      </c>
      <c r="H715" s="5">
        <v>55</v>
      </c>
      <c r="I715" s="5">
        <f t="shared" si="45"/>
        <v>392.00377257605692</v>
      </c>
      <c r="J715" s="5">
        <f t="shared" si="47"/>
        <v>0</v>
      </c>
    </row>
    <row r="716" spans="1:10" x14ac:dyDescent="0.2">
      <c r="A716">
        <v>261</v>
      </c>
      <c r="B716" t="s">
        <v>283</v>
      </c>
      <c r="C716" s="5">
        <v>59</v>
      </c>
      <c r="D716" s="5">
        <f t="shared" si="44"/>
        <v>493.89549345236594</v>
      </c>
      <c r="E716" s="5">
        <f t="shared" si="46"/>
        <v>4</v>
      </c>
      <c r="F716" s="4">
        <v>252</v>
      </c>
      <c r="G716" s="5" t="s">
        <v>54</v>
      </c>
      <c r="H716" s="5">
        <v>45</v>
      </c>
      <c r="I716" s="5">
        <f t="shared" si="45"/>
        <v>220.00279814001337</v>
      </c>
      <c r="J716" s="5">
        <f t="shared" si="47"/>
        <v>10</v>
      </c>
    </row>
    <row r="717" spans="1:10" x14ac:dyDescent="0.2">
      <c r="A717">
        <v>261.5</v>
      </c>
      <c r="B717" t="s">
        <v>283</v>
      </c>
      <c r="C717" s="5">
        <v>59</v>
      </c>
      <c r="D717" s="5">
        <f t="shared" si="44"/>
        <v>493.89549345236594</v>
      </c>
      <c r="E717" s="5">
        <f t="shared" si="46"/>
        <v>0</v>
      </c>
      <c r="F717" s="4">
        <v>252.25</v>
      </c>
      <c r="G717" t="s">
        <v>62</v>
      </c>
      <c r="H717" s="5">
        <v>53</v>
      </c>
      <c r="I717" s="5">
        <f t="shared" si="45"/>
        <v>349.23506143398839</v>
      </c>
      <c r="J717" s="5">
        <f t="shared" si="47"/>
        <v>8</v>
      </c>
    </row>
    <row r="718" spans="1:10" x14ac:dyDescent="0.2">
      <c r="A718">
        <v>262</v>
      </c>
      <c r="B718" t="s">
        <v>440</v>
      </c>
      <c r="C718" s="5">
        <v>62</v>
      </c>
      <c r="D718" s="5">
        <f t="shared" si="44"/>
        <v>587.34554108704231</v>
      </c>
      <c r="E718" s="5">
        <f t="shared" si="46"/>
        <v>3</v>
      </c>
      <c r="F718" s="4">
        <v>252.5</v>
      </c>
      <c r="G718" s="5" t="s">
        <v>53</v>
      </c>
      <c r="H718" s="5">
        <v>55</v>
      </c>
      <c r="I718" s="5">
        <f t="shared" si="45"/>
        <v>392.00377257605692</v>
      </c>
      <c r="J718" s="5">
        <f t="shared" si="47"/>
        <v>2</v>
      </c>
    </row>
    <row r="719" spans="1:10" x14ac:dyDescent="0.2">
      <c r="A719">
        <v>262.5</v>
      </c>
      <c r="B719" t="s">
        <v>441</v>
      </c>
      <c r="C719" s="5">
        <v>61</v>
      </c>
      <c r="D719" s="5">
        <f t="shared" si="44"/>
        <v>554.37989501015818</v>
      </c>
      <c r="E719" s="5">
        <f t="shared" si="46"/>
        <v>1</v>
      </c>
      <c r="F719" s="4">
        <v>252.75</v>
      </c>
      <c r="G719" s="5" t="s">
        <v>273</v>
      </c>
      <c r="H719" s="5">
        <v>50</v>
      </c>
      <c r="I719" s="5">
        <f t="shared" si="45"/>
        <v>293.66975814369101</v>
      </c>
      <c r="J719" s="5">
        <f t="shared" si="47"/>
        <v>5</v>
      </c>
    </row>
    <row r="720" spans="1:10" x14ac:dyDescent="0.2">
      <c r="A720">
        <v>263</v>
      </c>
      <c r="B720" t="s">
        <v>287</v>
      </c>
      <c r="C720" s="5">
        <v>62</v>
      </c>
      <c r="D720" s="5">
        <f t="shared" si="44"/>
        <v>587.34554108704231</v>
      </c>
      <c r="E720" s="5">
        <f t="shared" si="46"/>
        <v>1</v>
      </c>
      <c r="F720" s="4">
        <v>253</v>
      </c>
      <c r="G720" s="5" t="s">
        <v>53</v>
      </c>
      <c r="H720" s="5">
        <v>55</v>
      </c>
      <c r="I720" s="5">
        <f t="shared" si="45"/>
        <v>392.00377257605692</v>
      </c>
      <c r="J720" s="5">
        <f t="shared" si="47"/>
        <v>5</v>
      </c>
    </row>
    <row r="721" spans="1:10" x14ac:dyDescent="0.2">
      <c r="A721">
        <v>263.5</v>
      </c>
      <c r="B721" t="s">
        <v>219</v>
      </c>
      <c r="C721" s="5">
        <v>55</v>
      </c>
      <c r="D721" s="5">
        <f t="shared" si="44"/>
        <v>392.00377257605692</v>
      </c>
      <c r="E721" s="5">
        <f t="shared" si="46"/>
        <v>7</v>
      </c>
      <c r="F721" s="4">
        <v>253.5</v>
      </c>
      <c r="G721" s="5" t="s">
        <v>60</v>
      </c>
      <c r="H721" s="5">
        <v>55</v>
      </c>
      <c r="I721" s="5">
        <f t="shared" si="45"/>
        <v>392.00377257605692</v>
      </c>
      <c r="J721" s="5">
        <f t="shared" si="47"/>
        <v>0</v>
      </c>
    </row>
    <row r="722" spans="1:10" x14ac:dyDescent="0.2">
      <c r="A722">
        <v>264</v>
      </c>
      <c r="B722" t="s">
        <v>281</v>
      </c>
      <c r="C722" s="5">
        <v>50</v>
      </c>
      <c r="D722" s="5">
        <f t="shared" si="44"/>
        <v>293.66975814369101</v>
      </c>
      <c r="E722" s="5">
        <f t="shared" si="46"/>
        <v>5</v>
      </c>
      <c r="F722" s="4">
        <v>254</v>
      </c>
      <c r="G722" s="5" t="s">
        <v>63</v>
      </c>
      <c r="H722" s="5">
        <v>59</v>
      </c>
      <c r="I722" s="5">
        <f t="shared" si="45"/>
        <v>493.89549345236594</v>
      </c>
      <c r="J722" s="5">
        <f t="shared" si="47"/>
        <v>4</v>
      </c>
    </row>
    <row r="723" spans="1:10" x14ac:dyDescent="0.2">
      <c r="A723">
        <v>264.25</v>
      </c>
      <c r="B723" t="s">
        <v>282</v>
      </c>
      <c r="C723" s="5">
        <v>57</v>
      </c>
      <c r="D723" s="5">
        <f t="shared" si="44"/>
        <v>440.01010976071973</v>
      </c>
      <c r="E723" s="5">
        <f t="shared" si="46"/>
        <v>7</v>
      </c>
      <c r="F723" s="4">
        <v>254.5</v>
      </c>
      <c r="G723" s="5" t="s">
        <v>64</v>
      </c>
      <c r="H723" s="5">
        <v>58</v>
      </c>
      <c r="I723" s="5">
        <f t="shared" si="45"/>
        <v>466.17487092753117</v>
      </c>
      <c r="J723" s="5">
        <f t="shared" si="47"/>
        <v>1</v>
      </c>
    </row>
    <row r="724" spans="1:10" x14ac:dyDescent="0.2">
      <c r="A724">
        <v>264.5</v>
      </c>
      <c r="B724" t="s">
        <v>283</v>
      </c>
      <c r="C724" s="5">
        <v>59</v>
      </c>
      <c r="D724" s="5">
        <f t="shared" si="44"/>
        <v>493.89549345236594</v>
      </c>
      <c r="E724" s="5">
        <f t="shared" si="46"/>
        <v>2</v>
      </c>
      <c r="F724" s="4">
        <v>255</v>
      </c>
      <c r="G724" s="5" t="s">
        <v>63</v>
      </c>
      <c r="H724" s="5">
        <v>59</v>
      </c>
      <c r="I724" s="5">
        <f t="shared" si="45"/>
        <v>493.89549345236594</v>
      </c>
      <c r="J724" s="5">
        <f t="shared" si="47"/>
        <v>1</v>
      </c>
    </row>
    <row r="725" spans="1:10" x14ac:dyDescent="0.2">
      <c r="A725">
        <v>264.75</v>
      </c>
      <c r="B725" t="s">
        <v>219</v>
      </c>
      <c r="C725" s="5">
        <v>55</v>
      </c>
      <c r="D725" s="5">
        <f t="shared" si="44"/>
        <v>392.00377257605692</v>
      </c>
      <c r="E725" s="5">
        <f t="shared" si="46"/>
        <v>4</v>
      </c>
      <c r="F725" s="4">
        <v>255.5</v>
      </c>
      <c r="G725" s="5" t="s">
        <v>60</v>
      </c>
      <c r="H725" s="5">
        <v>55</v>
      </c>
      <c r="I725" s="5">
        <f t="shared" si="45"/>
        <v>392.00377257605692</v>
      </c>
      <c r="J725" s="5">
        <f t="shared" si="47"/>
        <v>4</v>
      </c>
    </row>
    <row r="726" spans="1:10" x14ac:dyDescent="0.2">
      <c r="A726">
        <v>265</v>
      </c>
      <c r="B726" t="s">
        <v>283</v>
      </c>
      <c r="C726" s="5">
        <v>59</v>
      </c>
      <c r="D726" s="5">
        <f t="shared" si="44"/>
        <v>493.89549345236594</v>
      </c>
      <c r="E726" s="5">
        <f t="shared" si="46"/>
        <v>4</v>
      </c>
      <c r="F726" s="4">
        <v>256</v>
      </c>
      <c r="G726" s="5" t="s">
        <v>65</v>
      </c>
      <c r="H726" s="5">
        <v>45</v>
      </c>
      <c r="I726" s="5">
        <f t="shared" si="45"/>
        <v>220.00279814001337</v>
      </c>
      <c r="J726" s="5">
        <f t="shared" si="47"/>
        <v>10</v>
      </c>
    </row>
    <row r="727" spans="1:10" x14ac:dyDescent="0.2">
      <c r="A727">
        <v>265.5</v>
      </c>
      <c r="B727" t="s">
        <v>436</v>
      </c>
      <c r="C727" s="5">
        <v>55</v>
      </c>
      <c r="D727" s="5">
        <f t="shared" si="44"/>
        <v>392.00377257605692</v>
      </c>
      <c r="E727" s="5">
        <f t="shared" si="46"/>
        <v>4</v>
      </c>
      <c r="F727" s="4">
        <v>256.25</v>
      </c>
      <c r="G727" s="5" t="s">
        <v>62</v>
      </c>
      <c r="H727" s="5">
        <v>53</v>
      </c>
      <c r="I727" s="5">
        <f t="shared" si="45"/>
        <v>349.23506143398839</v>
      </c>
      <c r="J727" s="5">
        <f t="shared" si="47"/>
        <v>8</v>
      </c>
    </row>
    <row r="728" spans="1:10" x14ac:dyDescent="0.2">
      <c r="A728">
        <v>266</v>
      </c>
      <c r="B728" t="s">
        <v>287</v>
      </c>
      <c r="C728" s="5">
        <v>62</v>
      </c>
      <c r="D728" s="5">
        <f t="shared" si="44"/>
        <v>587.34554108704231</v>
      </c>
      <c r="E728" s="5">
        <f t="shared" si="46"/>
        <v>7</v>
      </c>
      <c r="F728" s="4">
        <v>256.5</v>
      </c>
      <c r="G728" s="5" t="s">
        <v>66</v>
      </c>
      <c r="H728" s="5">
        <v>55</v>
      </c>
      <c r="I728" s="5">
        <f t="shared" si="45"/>
        <v>392.00377257605692</v>
      </c>
      <c r="J728" s="5">
        <f t="shared" si="47"/>
        <v>2</v>
      </c>
    </row>
    <row r="729" spans="1:10" x14ac:dyDescent="0.2">
      <c r="A729">
        <v>266.5</v>
      </c>
      <c r="B729" t="s">
        <v>442</v>
      </c>
      <c r="C729" s="5">
        <v>61</v>
      </c>
      <c r="D729" s="5">
        <f t="shared" si="44"/>
        <v>554.37989501015818</v>
      </c>
      <c r="E729" s="5">
        <f t="shared" si="46"/>
        <v>1</v>
      </c>
      <c r="F729" s="4">
        <v>256.75</v>
      </c>
      <c r="G729" s="5" t="s">
        <v>273</v>
      </c>
      <c r="H729" s="5">
        <v>50</v>
      </c>
      <c r="I729" s="5">
        <f t="shared" si="45"/>
        <v>293.66975814369101</v>
      </c>
      <c r="J729" s="5">
        <f t="shared" si="47"/>
        <v>5</v>
      </c>
    </row>
    <row r="730" spans="1:10" x14ac:dyDescent="0.2">
      <c r="A730">
        <v>267</v>
      </c>
      <c r="B730" t="s">
        <v>283</v>
      </c>
      <c r="C730" s="5">
        <v>59</v>
      </c>
      <c r="D730" s="5">
        <f t="shared" si="44"/>
        <v>493.89549345236594</v>
      </c>
      <c r="E730" s="5">
        <f t="shared" si="46"/>
        <v>2</v>
      </c>
      <c r="F730" s="4">
        <v>257</v>
      </c>
      <c r="G730" s="5" t="s">
        <v>53</v>
      </c>
      <c r="H730" s="5">
        <v>55</v>
      </c>
      <c r="I730" s="5">
        <f t="shared" si="45"/>
        <v>392.00377257605692</v>
      </c>
      <c r="J730" s="5">
        <f t="shared" si="47"/>
        <v>5</v>
      </c>
    </row>
    <row r="731" spans="1:10" x14ac:dyDescent="0.2">
      <c r="A731">
        <v>267.5</v>
      </c>
      <c r="B731" t="s">
        <v>219</v>
      </c>
      <c r="C731" s="5">
        <v>55</v>
      </c>
      <c r="D731" s="5">
        <f t="shared" si="44"/>
        <v>392.00377257605692</v>
      </c>
      <c r="E731" s="5">
        <f t="shared" si="46"/>
        <v>4</v>
      </c>
      <c r="F731" s="4">
        <v>257.5</v>
      </c>
      <c r="G731" s="5" t="s">
        <v>60</v>
      </c>
      <c r="H731" s="5">
        <v>55</v>
      </c>
      <c r="I731" s="5">
        <f t="shared" si="45"/>
        <v>392.00377257605692</v>
      </c>
      <c r="J731" s="5">
        <f t="shared" si="47"/>
        <v>0</v>
      </c>
    </row>
    <row r="732" spans="1:10" x14ac:dyDescent="0.2">
      <c r="A732">
        <v>268</v>
      </c>
      <c r="B732" t="s">
        <v>281</v>
      </c>
      <c r="C732" s="5">
        <v>50</v>
      </c>
      <c r="D732" s="5">
        <f t="shared" si="44"/>
        <v>293.66975814369101</v>
      </c>
      <c r="E732" s="5">
        <f t="shared" si="46"/>
        <v>5</v>
      </c>
      <c r="F732" s="4">
        <v>258</v>
      </c>
      <c r="G732" s="5" t="s">
        <v>274</v>
      </c>
      <c r="H732" s="5">
        <v>59</v>
      </c>
      <c r="I732" s="5">
        <f t="shared" si="45"/>
        <v>493.89549345236594</v>
      </c>
      <c r="J732" s="5">
        <f t="shared" si="47"/>
        <v>4</v>
      </c>
    </row>
    <row r="733" spans="1:10" x14ac:dyDescent="0.2">
      <c r="A733">
        <v>268.25</v>
      </c>
      <c r="B733" t="s">
        <v>177</v>
      </c>
      <c r="C733" s="5">
        <v>57</v>
      </c>
      <c r="D733" s="5">
        <f t="shared" si="44"/>
        <v>440.01010976071973</v>
      </c>
      <c r="E733" s="5">
        <f t="shared" si="46"/>
        <v>7</v>
      </c>
      <c r="F733" s="4">
        <v>258.5</v>
      </c>
      <c r="G733" s="5" t="s">
        <v>64</v>
      </c>
      <c r="H733" s="5">
        <v>58</v>
      </c>
      <c r="I733" s="5">
        <f t="shared" si="45"/>
        <v>466.17487092753117</v>
      </c>
      <c r="J733" s="5">
        <f t="shared" si="47"/>
        <v>1</v>
      </c>
    </row>
    <row r="734" spans="1:10" x14ac:dyDescent="0.2">
      <c r="A734">
        <v>268.5</v>
      </c>
      <c r="B734" t="s">
        <v>284</v>
      </c>
      <c r="C734" s="5">
        <v>59</v>
      </c>
      <c r="D734" s="5">
        <f t="shared" si="44"/>
        <v>493.89549345236594</v>
      </c>
      <c r="E734" s="5">
        <f t="shared" si="46"/>
        <v>2</v>
      </c>
      <c r="F734" s="4">
        <v>259</v>
      </c>
      <c r="G734" s="5" t="s">
        <v>53</v>
      </c>
      <c r="H734" s="5">
        <v>55</v>
      </c>
      <c r="I734" s="5">
        <f t="shared" si="45"/>
        <v>392.00377257605692</v>
      </c>
      <c r="J734" s="5">
        <f t="shared" si="47"/>
        <v>3</v>
      </c>
    </row>
    <row r="735" spans="1:10" x14ac:dyDescent="0.2">
      <c r="A735">
        <v>268.75</v>
      </c>
      <c r="B735" t="s">
        <v>219</v>
      </c>
      <c r="C735" s="5">
        <v>55</v>
      </c>
      <c r="D735" s="5">
        <f t="shared" si="44"/>
        <v>392.00377257605692</v>
      </c>
      <c r="E735" s="5">
        <f t="shared" si="46"/>
        <v>4</v>
      </c>
      <c r="F735" s="4">
        <v>259.5</v>
      </c>
      <c r="G735" s="5" t="s">
        <v>53</v>
      </c>
      <c r="H735" s="5">
        <v>55</v>
      </c>
      <c r="I735" s="5">
        <f t="shared" si="45"/>
        <v>392.00377257605692</v>
      </c>
      <c r="J735" s="5">
        <f t="shared" si="47"/>
        <v>0</v>
      </c>
    </row>
    <row r="736" spans="1:10" x14ac:dyDescent="0.2">
      <c r="A736">
        <v>269</v>
      </c>
      <c r="B736" t="s">
        <v>284</v>
      </c>
      <c r="C736" s="5">
        <v>59</v>
      </c>
      <c r="D736" s="5">
        <f t="shared" si="44"/>
        <v>493.89549345236594</v>
      </c>
      <c r="E736" s="5">
        <f t="shared" si="46"/>
        <v>4</v>
      </c>
      <c r="F736" s="4">
        <v>260</v>
      </c>
      <c r="G736" s="5" t="s">
        <v>54</v>
      </c>
      <c r="H736" s="5">
        <v>45</v>
      </c>
      <c r="I736" s="5">
        <f t="shared" si="45"/>
        <v>220.00279814001337</v>
      </c>
      <c r="J736" s="5">
        <f t="shared" si="47"/>
        <v>10</v>
      </c>
    </row>
    <row r="737" spans="1:10" x14ac:dyDescent="0.2">
      <c r="A737">
        <v>269.5</v>
      </c>
      <c r="B737" t="s">
        <v>219</v>
      </c>
      <c r="C737" s="5">
        <v>55</v>
      </c>
      <c r="D737" s="5">
        <f t="shared" si="44"/>
        <v>392.00377257605692</v>
      </c>
      <c r="E737" s="5">
        <f t="shared" si="46"/>
        <v>4</v>
      </c>
      <c r="F737" s="4">
        <v>260.25</v>
      </c>
      <c r="G737" s="5" t="s">
        <v>62</v>
      </c>
      <c r="H737" s="5">
        <v>53</v>
      </c>
      <c r="I737" s="5">
        <f t="shared" si="45"/>
        <v>349.23506143398839</v>
      </c>
      <c r="J737" s="5">
        <f t="shared" si="47"/>
        <v>8</v>
      </c>
    </row>
    <row r="738" spans="1:10" x14ac:dyDescent="0.2">
      <c r="A738">
        <v>270</v>
      </c>
      <c r="B738" t="s">
        <v>281</v>
      </c>
      <c r="C738" s="5">
        <v>50</v>
      </c>
      <c r="D738" s="5">
        <f t="shared" si="44"/>
        <v>293.66975814369101</v>
      </c>
      <c r="E738" s="5">
        <f t="shared" si="46"/>
        <v>5</v>
      </c>
      <c r="F738" s="4">
        <v>260.5</v>
      </c>
      <c r="G738" s="5" t="s">
        <v>53</v>
      </c>
      <c r="H738" s="5">
        <v>55</v>
      </c>
      <c r="I738" s="5">
        <f t="shared" si="45"/>
        <v>392.00377257605692</v>
      </c>
      <c r="J738" s="5">
        <f t="shared" si="47"/>
        <v>2</v>
      </c>
    </row>
    <row r="739" spans="1:10" x14ac:dyDescent="0.2">
      <c r="A739">
        <v>270.25</v>
      </c>
      <c r="B739" t="s">
        <v>177</v>
      </c>
      <c r="C739" s="5">
        <v>57</v>
      </c>
      <c r="D739" s="5">
        <f t="shared" si="44"/>
        <v>440.01010976071973</v>
      </c>
      <c r="E739" s="5">
        <f t="shared" si="46"/>
        <v>7</v>
      </c>
      <c r="F739" s="4">
        <v>260.75</v>
      </c>
      <c r="G739" s="5" t="s">
        <v>273</v>
      </c>
      <c r="H739" s="5">
        <v>50</v>
      </c>
      <c r="I739" s="5">
        <f t="shared" si="45"/>
        <v>293.66975814369101</v>
      </c>
      <c r="J739" s="5">
        <f t="shared" si="47"/>
        <v>5</v>
      </c>
    </row>
    <row r="740" spans="1:10" x14ac:dyDescent="0.2">
      <c r="A740">
        <v>270.5</v>
      </c>
      <c r="B740" t="s">
        <v>284</v>
      </c>
      <c r="C740" s="5">
        <v>59</v>
      </c>
      <c r="D740" s="5">
        <f t="shared" si="44"/>
        <v>493.89549345236594</v>
      </c>
      <c r="E740" s="5">
        <f t="shared" si="46"/>
        <v>2</v>
      </c>
      <c r="F740" s="4">
        <v>261</v>
      </c>
      <c r="G740" s="5" t="s">
        <v>53</v>
      </c>
      <c r="H740" s="5">
        <v>55</v>
      </c>
      <c r="I740" s="5">
        <f t="shared" si="45"/>
        <v>392.00377257605692</v>
      </c>
      <c r="J740" s="5">
        <f t="shared" si="47"/>
        <v>5</v>
      </c>
    </row>
    <row r="741" spans="1:10" x14ac:dyDescent="0.2">
      <c r="A741">
        <v>270.75</v>
      </c>
      <c r="B741" t="s">
        <v>219</v>
      </c>
      <c r="C741" s="5">
        <v>55</v>
      </c>
      <c r="D741" s="5">
        <f t="shared" si="44"/>
        <v>392.00377257605692</v>
      </c>
      <c r="E741" s="5">
        <f t="shared" si="46"/>
        <v>4</v>
      </c>
      <c r="F741" s="4">
        <v>261.5</v>
      </c>
      <c r="G741" s="5" t="s">
        <v>60</v>
      </c>
      <c r="H741" s="5">
        <v>55</v>
      </c>
      <c r="I741" s="5">
        <f t="shared" si="45"/>
        <v>392.00377257605692</v>
      </c>
      <c r="J741" s="5">
        <f t="shared" si="47"/>
        <v>0</v>
      </c>
    </row>
    <row r="742" spans="1:10" x14ac:dyDescent="0.2">
      <c r="A742">
        <v>271</v>
      </c>
      <c r="B742" t="s">
        <v>284</v>
      </c>
      <c r="C742" s="5">
        <v>59</v>
      </c>
      <c r="D742" s="5">
        <f t="shared" si="44"/>
        <v>493.89549345236594</v>
      </c>
      <c r="E742" s="5">
        <f t="shared" si="46"/>
        <v>4</v>
      </c>
      <c r="F742" s="4">
        <v>262</v>
      </c>
      <c r="G742" s="5" t="s">
        <v>274</v>
      </c>
      <c r="H742" s="5">
        <v>59</v>
      </c>
      <c r="I742" s="5">
        <f t="shared" si="45"/>
        <v>493.89549345236594</v>
      </c>
      <c r="J742" s="5">
        <f t="shared" si="47"/>
        <v>4</v>
      </c>
    </row>
    <row r="743" spans="1:10" x14ac:dyDescent="0.2">
      <c r="A743">
        <v>271.5</v>
      </c>
      <c r="B743" t="s">
        <v>219</v>
      </c>
      <c r="C743" s="5">
        <v>55</v>
      </c>
      <c r="D743" s="5">
        <f t="shared" si="44"/>
        <v>392.00377257605692</v>
      </c>
      <c r="E743" s="5">
        <f t="shared" si="46"/>
        <v>4</v>
      </c>
      <c r="F743" s="4">
        <v>262.5</v>
      </c>
      <c r="G743" s="5" t="s">
        <v>64</v>
      </c>
      <c r="H743" s="5">
        <v>58</v>
      </c>
      <c r="I743" s="5">
        <f t="shared" si="45"/>
        <v>466.17487092753117</v>
      </c>
      <c r="J743" s="5">
        <f t="shared" si="47"/>
        <v>1</v>
      </c>
    </row>
    <row r="744" spans="1:10" x14ac:dyDescent="0.2">
      <c r="A744">
        <v>272</v>
      </c>
      <c r="B744" t="s">
        <v>281</v>
      </c>
      <c r="C744" s="5">
        <v>50</v>
      </c>
      <c r="D744" s="5">
        <f t="shared" si="44"/>
        <v>293.66975814369101</v>
      </c>
      <c r="E744" s="5">
        <f t="shared" si="46"/>
        <v>5</v>
      </c>
      <c r="F744" s="4">
        <v>263</v>
      </c>
      <c r="G744" s="5" t="s">
        <v>119</v>
      </c>
      <c r="H744" s="5">
        <v>59</v>
      </c>
      <c r="I744" s="5">
        <f t="shared" si="45"/>
        <v>493.89549345236594</v>
      </c>
      <c r="J744" s="5">
        <f t="shared" si="47"/>
        <v>1</v>
      </c>
    </row>
    <row r="745" spans="1:10" x14ac:dyDescent="0.2">
      <c r="A745">
        <v>272.25</v>
      </c>
      <c r="B745" t="s">
        <v>177</v>
      </c>
      <c r="C745" s="5">
        <v>57</v>
      </c>
      <c r="D745" s="5">
        <f t="shared" si="44"/>
        <v>440.01010976071973</v>
      </c>
      <c r="E745" s="5">
        <f t="shared" si="46"/>
        <v>7</v>
      </c>
      <c r="F745" s="4">
        <v>263.5</v>
      </c>
      <c r="G745" s="5" t="s">
        <v>53</v>
      </c>
      <c r="H745" s="5">
        <v>55</v>
      </c>
      <c r="I745" s="5">
        <f t="shared" si="45"/>
        <v>392.00377257605692</v>
      </c>
      <c r="J745" s="5">
        <f t="shared" si="47"/>
        <v>4</v>
      </c>
    </row>
    <row r="746" spans="1:10" x14ac:dyDescent="0.2">
      <c r="A746">
        <v>272.5</v>
      </c>
      <c r="B746" t="s">
        <v>284</v>
      </c>
      <c r="C746" s="5">
        <v>59</v>
      </c>
      <c r="D746" s="5">
        <f t="shared" si="44"/>
        <v>493.89549345236594</v>
      </c>
      <c r="E746" s="5">
        <f t="shared" si="46"/>
        <v>2</v>
      </c>
      <c r="F746" s="4">
        <v>264</v>
      </c>
      <c r="G746" s="5" t="s">
        <v>54</v>
      </c>
      <c r="H746" s="5">
        <v>45</v>
      </c>
      <c r="I746" s="5">
        <f t="shared" si="45"/>
        <v>220.00279814001337</v>
      </c>
      <c r="J746" s="5">
        <f t="shared" si="47"/>
        <v>10</v>
      </c>
    </row>
    <row r="747" spans="1:10" x14ac:dyDescent="0.2">
      <c r="A747">
        <v>272.75</v>
      </c>
      <c r="B747" t="s">
        <v>219</v>
      </c>
      <c r="C747" s="5">
        <v>55</v>
      </c>
      <c r="D747" s="5">
        <f t="shared" si="44"/>
        <v>392.00377257605692</v>
      </c>
      <c r="E747" s="5">
        <f t="shared" si="46"/>
        <v>4</v>
      </c>
      <c r="F747" s="4">
        <v>264.25</v>
      </c>
      <c r="G747" s="5" t="s">
        <v>56</v>
      </c>
      <c r="H747" s="5">
        <v>41</v>
      </c>
      <c r="I747" s="5">
        <f t="shared" si="45"/>
        <v>174.61573954711864</v>
      </c>
      <c r="J747" s="5">
        <f t="shared" si="47"/>
        <v>4</v>
      </c>
    </row>
    <row r="748" spans="1:10" x14ac:dyDescent="0.2">
      <c r="A748">
        <v>273</v>
      </c>
      <c r="B748" t="s">
        <v>284</v>
      </c>
      <c r="C748" s="5">
        <v>59</v>
      </c>
      <c r="D748" s="5">
        <f t="shared" si="44"/>
        <v>493.89549345236594</v>
      </c>
      <c r="E748" s="5">
        <f t="shared" si="46"/>
        <v>4</v>
      </c>
      <c r="F748" s="4">
        <v>264.5</v>
      </c>
      <c r="G748" s="5" t="s">
        <v>53</v>
      </c>
      <c r="H748" s="5">
        <v>55</v>
      </c>
      <c r="I748" s="5">
        <f t="shared" si="45"/>
        <v>392.00377257605692</v>
      </c>
      <c r="J748" s="5">
        <f t="shared" si="47"/>
        <v>14</v>
      </c>
    </row>
    <row r="749" spans="1:10" x14ac:dyDescent="0.2">
      <c r="A749">
        <v>273.5</v>
      </c>
      <c r="B749" t="s">
        <v>219</v>
      </c>
      <c r="C749" s="5">
        <v>55</v>
      </c>
      <c r="D749" s="5">
        <f t="shared" si="44"/>
        <v>392.00377257605692</v>
      </c>
      <c r="E749" s="5">
        <f t="shared" si="46"/>
        <v>4</v>
      </c>
      <c r="F749" s="4">
        <v>264.75</v>
      </c>
      <c r="G749" s="5" t="s">
        <v>273</v>
      </c>
      <c r="H749" s="5">
        <v>50</v>
      </c>
      <c r="I749" s="5">
        <f t="shared" si="45"/>
        <v>293.66975814369101</v>
      </c>
      <c r="J749" s="5">
        <f t="shared" si="47"/>
        <v>5</v>
      </c>
    </row>
    <row r="750" spans="1:10" x14ac:dyDescent="0.2">
      <c r="A750">
        <v>274</v>
      </c>
      <c r="B750" t="s">
        <v>281</v>
      </c>
      <c r="C750" s="5">
        <v>50</v>
      </c>
      <c r="D750" s="5">
        <f t="shared" si="44"/>
        <v>293.66975814369101</v>
      </c>
      <c r="E750" s="5">
        <f t="shared" si="46"/>
        <v>5</v>
      </c>
      <c r="F750" s="4">
        <v>265</v>
      </c>
      <c r="G750" s="5" t="s">
        <v>53</v>
      </c>
      <c r="H750" s="5">
        <v>55</v>
      </c>
      <c r="I750" s="5">
        <f t="shared" si="45"/>
        <v>392.00377257605692</v>
      </c>
      <c r="J750" s="5">
        <f t="shared" si="47"/>
        <v>5</v>
      </c>
    </row>
    <row r="751" spans="1:10" x14ac:dyDescent="0.2">
      <c r="A751">
        <v>274.25</v>
      </c>
      <c r="B751" t="s">
        <v>177</v>
      </c>
      <c r="C751" s="5">
        <v>57</v>
      </c>
      <c r="D751" s="5">
        <f t="shared" si="44"/>
        <v>440.01010976071973</v>
      </c>
      <c r="E751" s="5">
        <f t="shared" si="46"/>
        <v>7</v>
      </c>
      <c r="F751" s="4">
        <v>265.5</v>
      </c>
      <c r="G751" s="5" t="s">
        <v>60</v>
      </c>
      <c r="H751" s="5">
        <v>55</v>
      </c>
      <c r="I751" s="5">
        <f t="shared" si="45"/>
        <v>392.00377257605692</v>
      </c>
      <c r="J751" s="5">
        <f t="shared" si="47"/>
        <v>0</v>
      </c>
    </row>
    <row r="752" spans="1:10" x14ac:dyDescent="0.2">
      <c r="A752">
        <v>274.5</v>
      </c>
      <c r="B752" t="s">
        <v>284</v>
      </c>
      <c r="C752" s="5">
        <v>59</v>
      </c>
      <c r="D752" s="5">
        <f t="shared" si="44"/>
        <v>493.89549345236594</v>
      </c>
      <c r="E752" s="5">
        <f t="shared" si="46"/>
        <v>2</v>
      </c>
      <c r="F752" s="4">
        <v>266</v>
      </c>
      <c r="G752" s="5" t="s">
        <v>63</v>
      </c>
      <c r="H752" s="5">
        <v>59</v>
      </c>
      <c r="I752" s="5">
        <f t="shared" si="45"/>
        <v>493.89549345236594</v>
      </c>
      <c r="J752" s="5">
        <f t="shared" si="47"/>
        <v>4</v>
      </c>
    </row>
    <row r="753" spans="1:10" x14ac:dyDescent="0.2">
      <c r="A753">
        <v>274.75</v>
      </c>
      <c r="B753" t="s">
        <v>219</v>
      </c>
      <c r="C753" s="5">
        <v>55</v>
      </c>
      <c r="D753" s="5">
        <f t="shared" si="44"/>
        <v>392.00377257605692</v>
      </c>
      <c r="E753" s="5">
        <f t="shared" si="46"/>
        <v>4</v>
      </c>
      <c r="F753" s="4">
        <v>266.5</v>
      </c>
      <c r="G753" s="5" t="s">
        <v>64</v>
      </c>
      <c r="H753" s="5">
        <v>58</v>
      </c>
      <c r="I753" s="5">
        <f t="shared" si="45"/>
        <v>466.17487092753117</v>
      </c>
      <c r="J753" s="5">
        <f t="shared" si="47"/>
        <v>1</v>
      </c>
    </row>
    <row r="754" spans="1:10" x14ac:dyDescent="0.2">
      <c r="A754">
        <v>275</v>
      </c>
      <c r="B754" t="s">
        <v>284</v>
      </c>
      <c r="C754" s="5">
        <v>59</v>
      </c>
      <c r="D754" s="5">
        <f t="shared" si="44"/>
        <v>493.89549345236594</v>
      </c>
      <c r="E754" s="5">
        <f t="shared" si="46"/>
        <v>4</v>
      </c>
      <c r="F754" s="4">
        <v>267</v>
      </c>
      <c r="G754" s="5" t="s">
        <v>60</v>
      </c>
      <c r="H754" s="5">
        <v>55</v>
      </c>
      <c r="I754" s="5">
        <f t="shared" si="45"/>
        <v>392.00377257605692</v>
      </c>
      <c r="J754" s="5">
        <f t="shared" si="47"/>
        <v>3</v>
      </c>
    </row>
    <row r="755" spans="1:10" x14ac:dyDescent="0.2">
      <c r="A755">
        <v>275.5</v>
      </c>
      <c r="B755" t="s">
        <v>219</v>
      </c>
      <c r="C755" s="5">
        <v>55</v>
      </c>
      <c r="D755" s="5">
        <f t="shared" si="44"/>
        <v>392.00377257605692</v>
      </c>
      <c r="E755" s="5">
        <f t="shared" si="46"/>
        <v>4</v>
      </c>
      <c r="F755" s="4">
        <v>267.5</v>
      </c>
      <c r="G755" s="5" t="s">
        <v>53</v>
      </c>
      <c r="H755" s="5">
        <v>55</v>
      </c>
      <c r="I755" s="5">
        <f t="shared" si="45"/>
        <v>392.00377257605692</v>
      </c>
      <c r="J755" s="5">
        <f t="shared" si="47"/>
        <v>0</v>
      </c>
    </row>
    <row r="756" spans="1:10" x14ac:dyDescent="0.2">
      <c r="A756">
        <v>276</v>
      </c>
      <c r="B756" t="s">
        <v>247</v>
      </c>
      <c r="C756" s="5">
        <v>50</v>
      </c>
      <c r="D756" s="5">
        <f t="shared" si="44"/>
        <v>293.66975814369101</v>
      </c>
      <c r="E756" s="5">
        <f t="shared" si="46"/>
        <v>5</v>
      </c>
      <c r="F756" s="4">
        <v>268</v>
      </c>
      <c r="G756" s="5" t="s">
        <v>54</v>
      </c>
      <c r="H756" s="5">
        <v>45</v>
      </c>
      <c r="I756" s="5">
        <f t="shared" si="45"/>
        <v>220.00279814001337</v>
      </c>
      <c r="J756" s="5">
        <f t="shared" si="47"/>
        <v>10</v>
      </c>
    </row>
    <row r="757" spans="1:10" x14ac:dyDescent="0.2">
      <c r="A757">
        <v>276.25</v>
      </c>
      <c r="B757" t="s">
        <v>248</v>
      </c>
      <c r="C757" s="5">
        <v>57</v>
      </c>
      <c r="D757" s="5">
        <f t="shared" si="44"/>
        <v>440.01010976071973</v>
      </c>
      <c r="E757" s="5">
        <f t="shared" si="46"/>
        <v>7</v>
      </c>
      <c r="F757" s="4">
        <v>268.25</v>
      </c>
      <c r="G757" s="5" t="s">
        <v>62</v>
      </c>
      <c r="H757" s="5">
        <v>53</v>
      </c>
      <c r="I757" s="5">
        <f t="shared" si="45"/>
        <v>349.23506143398839</v>
      </c>
      <c r="J757" s="5">
        <f t="shared" si="47"/>
        <v>8</v>
      </c>
    </row>
    <row r="758" spans="1:10" x14ac:dyDescent="0.2">
      <c r="A758">
        <v>276.5</v>
      </c>
      <c r="B758" t="s">
        <v>249</v>
      </c>
      <c r="C758" s="5">
        <v>59</v>
      </c>
      <c r="D758" s="5">
        <f t="shared" si="44"/>
        <v>493.89549345236594</v>
      </c>
      <c r="E758" s="5">
        <f t="shared" si="46"/>
        <v>2</v>
      </c>
      <c r="F758" s="4">
        <v>268.5</v>
      </c>
      <c r="G758" s="5" t="s">
        <v>53</v>
      </c>
      <c r="H758" s="5">
        <v>55</v>
      </c>
      <c r="I758" s="5">
        <f t="shared" si="45"/>
        <v>392.00377257605692</v>
      </c>
      <c r="J758" s="5">
        <f t="shared" si="47"/>
        <v>2</v>
      </c>
    </row>
    <row r="759" spans="1:10" x14ac:dyDescent="0.2">
      <c r="A759">
        <v>276.75</v>
      </c>
      <c r="B759" t="s">
        <v>250</v>
      </c>
      <c r="C759">
        <v>55</v>
      </c>
      <c r="D759" s="5">
        <f t="shared" si="44"/>
        <v>392.00377257605692</v>
      </c>
      <c r="E759" s="5">
        <f t="shared" si="46"/>
        <v>4</v>
      </c>
      <c r="F759" s="4">
        <v>268.75</v>
      </c>
      <c r="G759" s="5" t="s">
        <v>273</v>
      </c>
      <c r="H759" s="5">
        <v>50</v>
      </c>
      <c r="I759" s="5">
        <f t="shared" si="45"/>
        <v>293.66975814369101</v>
      </c>
      <c r="J759" s="5">
        <f t="shared" si="47"/>
        <v>5</v>
      </c>
    </row>
    <row r="760" spans="1:10" x14ac:dyDescent="0.2">
      <c r="A760">
        <v>277</v>
      </c>
      <c r="B760" t="s">
        <v>249</v>
      </c>
      <c r="C760">
        <v>59</v>
      </c>
      <c r="D760" s="5">
        <f t="shared" si="44"/>
        <v>493.89549345236594</v>
      </c>
      <c r="E760" s="5">
        <f t="shared" si="46"/>
        <v>4</v>
      </c>
      <c r="F760" s="4">
        <v>269</v>
      </c>
      <c r="G760" s="5" t="s">
        <v>53</v>
      </c>
      <c r="H760" s="5">
        <v>55</v>
      </c>
      <c r="I760" s="5">
        <f t="shared" si="45"/>
        <v>392.00377257605692</v>
      </c>
      <c r="J760" s="5">
        <f t="shared" si="47"/>
        <v>5</v>
      </c>
    </row>
    <row r="761" spans="1:10" x14ac:dyDescent="0.2">
      <c r="A761">
        <v>277.5</v>
      </c>
      <c r="B761" t="s">
        <v>37</v>
      </c>
      <c r="C761">
        <v>55</v>
      </c>
      <c r="D761" s="5">
        <f t="shared" si="44"/>
        <v>392.00377257605692</v>
      </c>
      <c r="E761" s="5">
        <f t="shared" si="46"/>
        <v>4</v>
      </c>
      <c r="F761" s="4">
        <v>269.5</v>
      </c>
      <c r="G761" s="5" t="s">
        <v>53</v>
      </c>
      <c r="H761" s="5">
        <v>55</v>
      </c>
      <c r="I761" s="5">
        <f t="shared" si="45"/>
        <v>392.00377257605692</v>
      </c>
      <c r="J761" s="5">
        <f t="shared" si="47"/>
        <v>0</v>
      </c>
    </row>
    <row r="762" spans="1:10" x14ac:dyDescent="0.2">
      <c r="A762">
        <v>278</v>
      </c>
      <c r="B762" t="s">
        <v>247</v>
      </c>
      <c r="C762">
        <v>50</v>
      </c>
      <c r="D762" s="5">
        <f t="shared" si="44"/>
        <v>293.66975814369101</v>
      </c>
      <c r="E762" s="5">
        <f t="shared" si="46"/>
        <v>5</v>
      </c>
      <c r="F762" s="4">
        <v>270</v>
      </c>
      <c r="G762" s="5" t="s">
        <v>54</v>
      </c>
      <c r="H762" s="5">
        <v>45</v>
      </c>
      <c r="I762" s="5">
        <f t="shared" si="45"/>
        <v>220.00279814001337</v>
      </c>
      <c r="J762" s="5">
        <f t="shared" si="47"/>
        <v>10</v>
      </c>
    </row>
    <row r="763" spans="1:10" x14ac:dyDescent="0.2">
      <c r="A763">
        <v>278.25</v>
      </c>
      <c r="B763" t="s">
        <v>248</v>
      </c>
      <c r="C763">
        <v>57</v>
      </c>
      <c r="D763" s="5">
        <f t="shared" si="44"/>
        <v>440.01010976071973</v>
      </c>
      <c r="E763" s="5">
        <f t="shared" si="46"/>
        <v>7</v>
      </c>
      <c r="F763" s="4">
        <v>270.25</v>
      </c>
      <c r="G763" s="5" t="s">
        <v>62</v>
      </c>
      <c r="H763" s="5">
        <v>53</v>
      </c>
      <c r="I763" s="5">
        <f t="shared" si="45"/>
        <v>349.23506143398839</v>
      </c>
      <c r="J763" s="5">
        <f t="shared" si="47"/>
        <v>8</v>
      </c>
    </row>
    <row r="764" spans="1:10" x14ac:dyDescent="0.2">
      <c r="A764">
        <v>278.5</v>
      </c>
      <c r="B764" t="s">
        <v>249</v>
      </c>
      <c r="C764">
        <v>59</v>
      </c>
      <c r="D764" s="5">
        <f t="shared" si="44"/>
        <v>493.89549345236594</v>
      </c>
      <c r="E764" s="5">
        <f t="shared" si="46"/>
        <v>2</v>
      </c>
      <c r="F764" s="4">
        <v>270.5</v>
      </c>
      <c r="G764" s="5" t="s">
        <v>53</v>
      </c>
      <c r="H764" s="5">
        <v>55</v>
      </c>
      <c r="I764" s="5">
        <f t="shared" si="45"/>
        <v>392.00377257605692</v>
      </c>
      <c r="J764" s="5">
        <f t="shared" si="47"/>
        <v>2</v>
      </c>
    </row>
    <row r="765" spans="1:10" x14ac:dyDescent="0.2">
      <c r="A765">
        <v>278.75</v>
      </c>
      <c r="B765" t="s">
        <v>250</v>
      </c>
      <c r="C765">
        <v>55</v>
      </c>
      <c r="D765" s="5">
        <f t="shared" si="44"/>
        <v>392.00377257605692</v>
      </c>
      <c r="E765" s="5">
        <f t="shared" si="46"/>
        <v>4</v>
      </c>
      <c r="F765" s="4">
        <v>270.75</v>
      </c>
      <c r="G765" s="5" t="s">
        <v>273</v>
      </c>
      <c r="H765" s="5">
        <v>50</v>
      </c>
      <c r="I765" s="5">
        <f t="shared" si="45"/>
        <v>293.66975814369101</v>
      </c>
      <c r="J765" s="5">
        <f t="shared" si="47"/>
        <v>5</v>
      </c>
    </row>
    <row r="766" spans="1:10" x14ac:dyDescent="0.2">
      <c r="A766">
        <v>279</v>
      </c>
      <c r="B766" t="s">
        <v>249</v>
      </c>
      <c r="C766">
        <v>59</v>
      </c>
      <c r="D766" s="5">
        <f t="shared" si="44"/>
        <v>493.89549345236594</v>
      </c>
      <c r="E766" s="5">
        <f t="shared" si="46"/>
        <v>4</v>
      </c>
      <c r="F766" s="4">
        <v>271</v>
      </c>
      <c r="G766" s="5" t="s">
        <v>53</v>
      </c>
      <c r="H766" s="5">
        <v>55</v>
      </c>
      <c r="I766" s="5">
        <f t="shared" si="45"/>
        <v>392.00377257605692</v>
      </c>
      <c r="J766" s="5">
        <f t="shared" si="47"/>
        <v>5</v>
      </c>
    </row>
    <row r="767" spans="1:10" x14ac:dyDescent="0.2">
      <c r="A767">
        <v>279.5</v>
      </c>
      <c r="B767" t="s">
        <v>37</v>
      </c>
      <c r="C767">
        <v>55</v>
      </c>
      <c r="D767" s="5">
        <f t="shared" si="44"/>
        <v>392.00377257605692</v>
      </c>
      <c r="E767" s="5">
        <f t="shared" si="46"/>
        <v>4</v>
      </c>
      <c r="F767" s="4">
        <v>271.5</v>
      </c>
      <c r="G767" s="5" t="s">
        <v>53</v>
      </c>
      <c r="H767" s="5">
        <v>55</v>
      </c>
      <c r="I767" s="5">
        <f t="shared" si="45"/>
        <v>392.00377257605692</v>
      </c>
      <c r="J767" s="5">
        <f t="shared" si="47"/>
        <v>0</v>
      </c>
    </row>
    <row r="768" spans="1:10" x14ac:dyDescent="0.2">
      <c r="A768">
        <v>280</v>
      </c>
      <c r="B768" t="s">
        <v>247</v>
      </c>
      <c r="C768">
        <v>50</v>
      </c>
      <c r="D768" s="5">
        <f t="shared" si="44"/>
        <v>293.66975814369101</v>
      </c>
      <c r="E768" s="5">
        <f t="shared" si="46"/>
        <v>5</v>
      </c>
      <c r="F768" s="4">
        <v>272</v>
      </c>
      <c r="G768" s="5" t="s">
        <v>54</v>
      </c>
      <c r="H768" s="5">
        <v>45</v>
      </c>
      <c r="I768" s="5">
        <f t="shared" si="45"/>
        <v>220.00279814001337</v>
      </c>
      <c r="J768" s="5">
        <f t="shared" si="47"/>
        <v>10</v>
      </c>
    </row>
    <row r="769" spans="1:10" x14ac:dyDescent="0.2">
      <c r="A769">
        <v>280.25</v>
      </c>
      <c r="B769" t="s">
        <v>248</v>
      </c>
      <c r="C769">
        <v>57</v>
      </c>
      <c r="D769" s="5">
        <f t="shared" si="44"/>
        <v>440.01010976071973</v>
      </c>
      <c r="E769" s="5">
        <f t="shared" si="46"/>
        <v>7</v>
      </c>
      <c r="F769" s="4">
        <v>272.25</v>
      </c>
      <c r="G769" s="5" t="s">
        <v>62</v>
      </c>
      <c r="H769" s="5">
        <v>53</v>
      </c>
      <c r="I769" s="5">
        <f t="shared" si="45"/>
        <v>349.23506143398839</v>
      </c>
      <c r="J769" s="5">
        <f t="shared" si="47"/>
        <v>8</v>
      </c>
    </row>
    <row r="770" spans="1:10" x14ac:dyDescent="0.2">
      <c r="A770">
        <v>280.5</v>
      </c>
      <c r="B770" t="s">
        <v>249</v>
      </c>
      <c r="C770">
        <v>59</v>
      </c>
      <c r="D770" s="5">
        <f t="shared" si="44"/>
        <v>493.89549345236594</v>
      </c>
      <c r="E770" s="5">
        <f t="shared" si="46"/>
        <v>2</v>
      </c>
      <c r="F770" s="4">
        <v>272.5</v>
      </c>
      <c r="G770" s="5" t="s">
        <v>53</v>
      </c>
      <c r="H770" s="5">
        <v>55</v>
      </c>
      <c r="I770" s="5">
        <f t="shared" si="45"/>
        <v>392.00377257605692</v>
      </c>
      <c r="J770" s="5">
        <f t="shared" si="47"/>
        <v>2</v>
      </c>
    </row>
    <row r="771" spans="1:10" x14ac:dyDescent="0.2">
      <c r="A771">
        <v>280.75</v>
      </c>
      <c r="B771" t="s">
        <v>250</v>
      </c>
      <c r="C771">
        <v>55</v>
      </c>
      <c r="D771" s="5">
        <f t="shared" si="44"/>
        <v>392.00377257605692</v>
      </c>
      <c r="E771" s="5">
        <f t="shared" si="46"/>
        <v>4</v>
      </c>
      <c r="F771" s="4">
        <v>272.75</v>
      </c>
      <c r="G771" s="5" t="s">
        <v>273</v>
      </c>
      <c r="H771" s="5">
        <v>50</v>
      </c>
      <c r="I771" s="5">
        <f t="shared" si="45"/>
        <v>293.66975814369101</v>
      </c>
      <c r="J771" s="5">
        <f t="shared" si="47"/>
        <v>5</v>
      </c>
    </row>
    <row r="772" spans="1:10" x14ac:dyDescent="0.2">
      <c r="A772">
        <v>281</v>
      </c>
      <c r="B772" t="s">
        <v>249</v>
      </c>
      <c r="C772">
        <v>59</v>
      </c>
      <c r="D772" s="5">
        <f t="shared" ref="D772:D835" si="48">16.35117682*1.059464^C772</f>
        <v>493.89549345236594</v>
      </c>
      <c r="E772" s="5">
        <f t="shared" si="46"/>
        <v>4</v>
      </c>
      <c r="F772" s="4">
        <v>273</v>
      </c>
      <c r="G772" s="5" t="s">
        <v>53</v>
      </c>
      <c r="H772" s="5">
        <v>55</v>
      </c>
      <c r="I772" s="5">
        <f t="shared" ref="I772:I835" si="49">16.35117682*1.059464^H772</f>
        <v>392.00377257605692</v>
      </c>
      <c r="J772" s="5">
        <f t="shared" si="47"/>
        <v>5</v>
      </c>
    </row>
    <row r="773" spans="1:10" x14ac:dyDescent="0.2">
      <c r="A773">
        <v>281.5</v>
      </c>
      <c r="B773" t="s">
        <v>37</v>
      </c>
      <c r="C773">
        <v>55</v>
      </c>
      <c r="D773" s="5">
        <f t="shared" si="48"/>
        <v>392.00377257605692</v>
      </c>
      <c r="E773" s="5">
        <f t="shared" ref="E773:E836" si="50">ABS( C773-C772)</f>
        <v>4</v>
      </c>
      <c r="F773" s="4">
        <v>273.5</v>
      </c>
      <c r="G773" s="5" t="s">
        <v>53</v>
      </c>
      <c r="H773" s="5">
        <v>55</v>
      </c>
      <c r="I773" s="5">
        <f t="shared" si="49"/>
        <v>392.00377257605692</v>
      </c>
      <c r="J773" s="5">
        <f t="shared" ref="J773:J836" si="51">ABS( H773-H772)</f>
        <v>0</v>
      </c>
    </row>
    <row r="774" spans="1:10" x14ac:dyDescent="0.2">
      <c r="A774">
        <v>282</v>
      </c>
      <c r="B774" t="s">
        <v>247</v>
      </c>
      <c r="C774">
        <v>50</v>
      </c>
      <c r="D774" s="5">
        <f t="shared" si="48"/>
        <v>293.66975814369101</v>
      </c>
      <c r="E774" s="5">
        <f t="shared" si="50"/>
        <v>5</v>
      </c>
      <c r="F774" s="4">
        <v>274</v>
      </c>
      <c r="G774" s="5" t="s">
        <v>54</v>
      </c>
      <c r="H774" s="5">
        <v>45</v>
      </c>
      <c r="I774" s="5">
        <f t="shared" si="49"/>
        <v>220.00279814001337</v>
      </c>
      <c r="J774" s="5">
        <f t="shared" si="51"/>
        <v>10</v>
      </c>
    </row>
    <row r="775" spans="1:10" x14ac:dyDescent="0.2">
      <c r="A775">
        <v>282.25</v>
      </c>
      <c r="B775" t="s">
        <v>248</v>
      </c>
      <c r="C775">
        <v>57</v>
      </c>
      <c r="D775" s="5">
        <f t="shared" si="48"/>
        <v>440.01010976071973</v>
      </c>
      <c r="E775" s="5">
        <f t="shared" si="50"/>
        <v>7</v>
      </c>
      <c r="F775" s="4">
        <v>274.25</v>
      </c>
      <c r="G775" s="5" t="s">
        <v>62</v>
      </c>
      <c r="H775" s="5">
        <v>53</v>
      </c>
      <c r="I775" s="5">
        <f t="shared" si="49"/>
        <v>349.23506143398839</v>
      </c>
      <c r="J775" s="5">
        <f t="shared" si="51"/>
        <v>8</v>
      </c>
    </row>
    <row r="776" spans="1:10" x14ac:dyDescent="0.2">
      <c r="A776">
        <v>282.5</v>
      </c>
      <c r="B776" t="s">
        <v>249</v>
      </c>
      <c r="C776">
        <v>59</v>
      </c>
      <c r="D776" s="5">
        <f t="shared" si="48"/>
        <v>493.89549345236594</v>
      </c>
      <c r="E776" s="5">
        <f t="shared" si="50"/>
        <v>2</v>
      </c>
      <c r="F776" s="4">
        <v>274.5</v>
      </c>
      <c r="G776" s="5" t="s">
        <v>53</v>
      </c>
      <c r="H776" s="5">
        <v>55</v>
      </c>
      <c r="I776" s="5">
        <f t="shared" si="49"/>
        <v>392.00377257605692</v>
      </c>
      <c r="J776" s="5">
        <f t="shared" si="51"/>
        <v>2</v>
      </c>
    </row>
    <row r="777" spans="1:10" x14ac:dyDescent="0.2">
      <c r="A777">
        <v>282.75</v>
      </c>
      <c r="B777" t="s">
        <v>250</v>
      </c>
      <c r="C777">
        <v>55</v>
      </c>
      <c r="D777" s="5">
        <f t="shared" si="48"/>
        <v>392.00377257605692</v>
      </c>
      <c r="E777" s="5">
        <f t="shared" si="50"/>
        <v>4</v>
      </c>
      <c r="F777" s="4">
        <v>274.75</v>
      </c>
      <c r="G777" s="5" t="s">
        <v>273</v>
      </c>
      <c r="H777" s="5">
        <v>50</v>
      </c>
      <c r="I777" s="5">
        <f t="shared" si="49"/>
        <v>293.66975814369101</v>
      </c>
      <c r="J777" s="5">
        <f t="shared" si="51"/>
        <v>5</v>
      </c>
    </row>
    <row r="778" spans="1:10" x14ac:dyDescent="0.2">
      <c r="A778">
        <v>283</v>
      </c>
      <c r="B778" t="s">
        <v>249</v>
      </c>
      <c r="C778">
        <v>59</v>
      </c>
      <c r="D778" s="5">
        <f t="shared" si="48"/>
        <v>493.89549345236594</v>
      </c>
      <c r="E778" s="5">
        <f t="shared" si="50"/>
        <v>4</v>
      </c>
      <c r="F778" s="4">
        <v>275</v>
      </c>
      <c r="G778" s="5" t="s">
        <v>53</v>
      </c>
      <c r="H778" s="5">
        <v>55</v>
      </c>
      <c r="I778" s="5">
        <f t="shared" si="49"/>
        <v>392.00377257605692</v>
      </c>
      <c r="J778" s="5">
        <f t="shared" si="51"/>
        <v>5</v>
      </c>
    </row>
    <row r="779" spans="1:10" x14ac:dyDescent="0.2">
      <c r="A779">
        <v>283.5</v>
      </c>
      <c r="B779" t="s">
        <v>37</v>
      </c>
      <c r="C779">
        <v>55</v>
      </c>
      <c r="D779" s="5">
        <f t="shared" si="48"/>
        <v>392.00377257605692</v>
      </c>
      <c r="E779" s="5">
        <f t="shared" si="50"/>
        <v>4</v>
      </c>
      <c r="F779" s="4">
        <v>275.5</v>
      </c>
      <c r="G779" s="5" t="s">
        <v>53</v>
      </c>
      <c r="H779" s="5">
        <v>55</v>
      </c>
      <c r="I779" s="5">
        <f t="shared" si="49"/>
        <v>392.00377257605692</v>
      </c>
      <c r="J779" s="5">
        <f t="shared" si="51"/>
        <v>0</v>
      </c>
    </row>
    <row r="780" spans="1:10" x14ac:dyDescent="0.2">
      <c r="A780">
        <v>284</v>
      </c>
      <c r="B780" t="s">
        <v>247</v>
      </c>
      <c r="C780">
        <v>50</v>
      </c>
      <c r="D780" s="5">
        <f t="shared" si="48"/>
        <v>293.66975814369101</v>
      </c>
      <c r="E780" s="5">
        <f t="shared" si="50"/>
        <v>5</v>
      </c>
      <c r="F780" s="4">
        <v>276</v>
      </c>
      <c r="G780" s="5" t="s">
        <v>54</v>
      </c>
      <c r="H780" s="5">
        <v>45</v>
      </c>
      <c r="I780" s="5">
        <f t="shared" si="49"/>
        <v>220.00279814001337</v>
      </c>
      <c r="J780" s="5">
        <f t="shared" si="51"/>
        <v>10</v>
      </c>
    </row>
    <row r="781" spans="1:10" x14ac:dyDescent="0.2">
      <c r="A781">
        <v>284.25</v>
      </c>
      <c r="B781" t="s">
        <v>248</v>
      </c>
      <c r="C781">
        <v>57</v>
      </c>
      <c r="D781" s="5">
        <f t="shared" si="48"/>
        <v>440.01010976071973</v>
      </c>
      <c r="E781" s="5">
        <f t="shared" si="50"/>
        <v>7</v>
      </c>
      <c r="F781" s="4">
        <v>276.25</v>
      </c>
      <c r="G781" s="5" t="s">
        <v>62</v>
      </c>
      <c r="H781" s="5">
        <v>53</v>
      </c>
      <c r="I781" s="5">
        <f t="shared" si="49"/>
        <v>349.23506143398839</v>
      </c>
      <c r="J781" s="5">
        <f t="shared" si="51"/>
        <v>8</v>
      </c>
    </row>
    <row r="782" spans="1:10" x14ac:dyDescent="0.2">
      <c r="A782">
        <v>284.5</v>
      </c>
      <c r="B782" t="s">
        <v>249</v>
      </c>
      <c r="C782">
        <v>59</v>
      </c>
      <c r="D782" s="5">
        <f t="shared" si="48"/>
        <v>493.89549345236594</v>
      </c>
      <c r="E782" s="5">
        <f t="shared" si="50"/>
        <v>2</v>
      </c>
      <c r="F782" s="4">
        <v>276.5</v>
      </c>
      <c r="G782" s="5" t="s">
        <v>53</v>
      </c>
      <c r="H782" s="5">
        <v>55</v>
      </c>
      <c r="I782" s="5">
        <f t="shared" si="49"/>
        <v>392.00377257605692</v>
      </c>
      <c r="J782" s="5">
        <f t="shared" si="51"/>
        <v>2</v>
      </c>
    </row>
    <row r="783" spans="1:10" x14ac:dyDescent="0.2">
      <c r="A783">
        <v>284.75</v>
      </c>
      <c r="B783" t="s">
        <v>250</v>
      </c>
      <c r="C783">
        <v>55</v>
      </c>
      <c r="D783" s="5">
        <f t="shared" si="48"/>
        <v>392.00377257605692</v>
      </c>
      <c r="E783" s="5">
        <f t="shared" si="50"/>
        <v>4</v>
      </c>
      <c r="F783" s="4">
        <v>276.75</v>
      </c>
      <c r="G783" s="5" t="s">
        <v>273</v>
      </c>
      <c r="H783" s="5">
        <v>50</v>
      </c>
      <c r="I783" s="5">
        <f t="shared" si="49"/>
        <v>293.66975814369101</v>
      </c>
      <c r="J783" s="5">
        <f t="shared" si="51"/>
        <v>5</v>
      </c>
    </row>
    <row r="784" spans="1:10" x14ac:dyDescent="0.2">
      <c r="A784">
        <v>285</v>
      </c>
      <c r="B784" t="s">
        <v>249</v>
      </c>
      <c r="C784">
        <v>59</v>
      </c>
      <c r="D784" s="5">
        <f t="shared" si="48"/>
        <v>493.89549345236594</v>
      </c>
      <c r="E784" s="5">
        <f t="shared" si="50"/>
        <v>4</v>
      </c>
      <c r="F784" s="4">
        <v>277</v>
      </c>
      <c r="G784" s="5" t="s">
        <v>53</v>
      </c>
      <c r="H784" s="5">
        <v>55</v>
      </c>
      <c r="I784" s="5">
        <f t="shared" si="49"/>
        <v>392.00377257605692</v>
      </c>
      <c r="J784" s="5">
        <f t="shared" si="51"/>
        <v>5</v>
      </c>
    </row>
    <row r="785" spans="1:10" x14ac:dyDescent="0.2">
      <c r="A785">
        <v>285.5</v>
      </c>
      <c r="B785" t="s">
        <v>37</v>
      </c>
      <c r="C785">
        <v>55</v>
      </c>
      <c r="D785" s="5">
        <f t="shared" si="48"/>
        <v>392.00377257605692</v>
      </c>
      <c r="E785" s="5">
        <f t="shared" si="50"/>
        <v>4</v>
      </c>
      <c r="F785" s="4">
        <v>277.5</v>
      </c>
      <c r="G785" s="5" t="s">
        <v>53</v>
      </c>
      <c r="H785" s="5">
        <v>55</v>
      </c>
      <c r="I785" s="5">
        <f t="shared" si="49"/>
        <v>392.00377257605692</v>
      </c>
      <c r="J785" s="5">
        <f t="shared" si="51"/>
        <v>0</v>
      </c>
    </row>
    <row r="786" spans="1:10" x14ac:dyDescent="0.2">
      <c r="A786">
        <v>286</v>
      </c>
      <c r="B786" t="s">
        <v>247</v>
      </c>
      <c r="C786">
        <v>50</v>
      </c>
      <c r="D786" s="5">
        <f t="shared" si="48"/>
        <v>293.66975814369101</v>
      </c>
      <c r="E786" s="5">
        <f t="shared" si="50"/>
        <v>5</v>
      </c>
      <c r="F786" s="4">
        <v>278</v>
      </c>
      <c r="G786" s="5" t="s">
        <v>54</v>
      </c>
      <c r="H786" s="5">
        <v>45</v>
      </c>
      <c r="I786" s="5">
        <f t="shared" si="49"/>
        <v>220.00279814001337</v>
      </c>
      <c r="J786" s="5">
        <f t="shared" si="51"/>
        <v>10</v>
      </c>
    </row>
    <row r="787" spans="1:10" x14ac:dyDescent="0.2">
      <c r="A787">
        <v>286.25</v>
      </c>
      <c r="B787" t="s">
        <v>248</v>
      </c>
      <c r="C787">
        <v>57</v>
      </c>
      <c r="D787" s="5">
        <f t="shared" si="48"/>
        <v>440.01010976071973</v>
      </c>
      <c r="E787" s="5">
        <f t="shared" si="50"/>
        <v>7</v>
      </c>
      <c r="F787" s="4">
        <v>278.25</v>
      </c>
      <c r="G787" s="5" t="s">
        <v>62</v>
      </c>
      <c r="H787" s="5">
        <v>53</v>
      </c>
      <c r="I787" s="5">
        <f t="shared" si="49"/>
        <v>349.23506143398839</v>
      </c>
      <c r="J787" s="5">
        <f t="shared" si="51"/>
        <v>8</v>
      </c>
    </row>
    <row r="788" spans="1:10" x14ac:dyDescent="0.2">
      <c r="A788">
        <v>286.5</v>
      </c>
      <c r="B788" t="s">
        <v>249</v>
      </c>
      <c r="C788">
        <v>59</v>
      </c>
      <c r="D788" s="5">
        <f t="shared" si="48"/>
        <v>493.89549345236594</v>
      </c>
      <c r="E788" s="5">
        <f t="shared" si="50"/>
        <v>2</v>
      </c>
      <c r="F788" s="4">
        <v>278.5</v>
      </c>
      <c r="G788" s="5" t="s">
        <v>53</v>
      </c>
      <c r="H788">
        <v>55</v>
      </c>
      <c r="I788" s="5">
        <f t="shared" si="49"/>
        <v>392.00377257605692</v>
      </c>
      <c r="J788" s="5">
        <f t="shared" si="51"/>
        <v>2</v>
      </c>
    </row>
    <row r="789" spans="1:10" x14ac:dyDescent="0.2">
      <c r="A789">
        <v>286.75</v>
      </c>
      <c r="B789" t="s">
        <v>250</v>
      </c>
      <c r="C789">
        <v>55</v>
      </c>
      <c r="D789" s="5">
        <f t="shared" si="48"/>
        <v>392.00377257605692</v>
      </c>
      <c r="E789" s="5">
        <f t="shared" si="50"/>
        <v>4</v>
      </c>
      <c r="F789" s="4">
        <v>278.75</v>
      </c>
      <c r="G789" s="5" t="s">
        <v>273</v>
      </c>
      <c r="H789">
        <v>50</v>
      </c>
      <c r="I789" s="5">
        <f t="shared" si="49"/>
        <v>293.66975814369101</v>
      </c>
      <c r="J789" s="5">
        <f t="shared" si="51"/>
        <v>5</v>
      </c>
    </row>
    <row r="790" spans="1:10" x14ac:dyDescent="0.2">
      <c r="A790">
        <v>287</v>
      </c>
      <c r="B790" t="s">
        <v>249</v>
      </c>
      <c r="C790">
        <v>59</v>
      </c>
      <c r="D790" s="5">
        <f t="shared" si="48"/>
        <v>493.89549345236594</v>
      </c>
      <c r="E790" s="5">
        <f t="shared" si="50"/>
        <v>4</v>
      </c>
      <c r="F790" s="4">
        <v>279</v>
      </c>
      <c r="G790" s="5" t="s">
        <v>53</v>
      </c>
      <c r="H790">
        <v>55</v>
      </c>
      <c r="I790" s="5">
        <f t="shared" si="49"/>
        <v>392.00377257605692</v>
      </c>
      <c r="J790" s="5">
        <f t="shared" si="51"/>
        <v>5</v>
      </c>
    </row>
    <row r="791" spans="1:10" x14ac:dyDescent="0.2">
      <c r="A791">
        <v>287.5</v>
      </c>
      <c r="B791" t="s">
        <v>37</v>
      </c>
      <c r="C791">
        <v>55</v>
      </c>
      <c r="D791" s="5">
        <f t="shared" si="48"/>
        <v>392.00377257605692</v>
      </c>
      <c r="E791" s="5">
        <f t="shared" si="50"/>
        <v>4</v>
      </c>
      <c r="F791" s="4">
        <v>279.5</v>
      </c>
      <c r="G791" s="5" t="s">
        <v>53</v>
      </c>
      <c r="H791">
        <v>55</v>
      </c>
      <c r="I791" s="5">
        <f t="shared" si="49"/>
        <v>392.00377257605692</v>
      </c>
      <c r="J791" s="5">
        <f t="shared" si="51"/>
        <v>0</v>
      </c>
    </row>
    <row r="792" spans="1:10" x14ac:dyDescent="0.2">
      <c r="A792">
        <v>288</v>
      </c>
      <c r="B792" t="s">
        <v>247</v>
      </c>
      <c r="C792">
        <v>50</v>
      </c>
      <c r="D792" s="5">
        <f t="shared" si="48"/>
        <v>293.66975814369101</v>
      </c>
      <c r="E792" s="5">
        <f t="shared" si="50"/>
        <v>5</v>
      </c>
      <c r="F792" s="4">
        <v>280</v>
      </c>
      <c r="G792" s="5" t="s">
        <v>54</v>
      </c>
      <c r="H792">
        <v>45</v>
      </c>
      <c r="I792" s="5">
        <f t="shared" si="49"/>
        <v>220.00279814001337</v>
      </c>
      <c r="J792" s="5">
        <f t="shared" si="51"/>
        <v>10</v>
      </c>
    </row>
    <row r="793" spans="1:10" x14ac:dyDescent="0.2">
      <c r="A793">
        <v>288.25</v>
      </c>
      <c r="B793" t="s">
        <v>248</v>
      </c>
      <c r="C793">
        <v>57</v>
      </c>
      <c r="D793" s="5">
        <f t="shared" si="48"/>
        <v>440.01010976071973</v>
      </c>
      <c r="E793" s="5">
        <f t="shared" si="50"/>
        <v>7</v>
      </c>
      <c r="F793" s="4">
        <v>280.25</v>
      </c>
      <c r="G793" s="5" t="s">
        <v>62</v>
      </c>
      <c r="H793">
        <v>53</v>
      </c>
      <c r="I793" s="5">
        <f t="shared" si="49"/>
        <v>349.23506143398839</v>
      </c>
      <c r="J793" s="5">
        <f t="shared" si="51"/>
        <v>8</v>
      </c>
    </row>
    <row r="794" spans="1:10" x14ac:dyDescent="0.2">
      <c r="A794">
        <v>288.5</v>
      </c>
      <c r="B794" t="s">
        <v>249</v>
      </c>
      <c r="C794">
        <v>59</v>
      </c>
      <c r="D794" s="5">
        <f t="shared" si="48"/>
        <v>493.89549345236594</v>
      </c>
      <c r="E794" s="5">
        <f t="shared" si="50"/>
        <v>2</v>
      </c>
      <c r="F794" s="4">
        <v>280.5</v>
      </c>
      <c r="G794" s="5" t="s">
        <v>53</v>
      </c>
      <c r="H794">
        <v>55</v>
      </c>
      <c r="I794" s="5">
        <f t="shared" si="49"/>
        <v>392.00377257605692</v>
      </c>
      <c r="J794" s="5">
        <f t="shared" si="51"/>
        <v>2</v>
      </c>
    </row>
    <row r="795" spans="1:10" x14ac:dyDescent="0.2">
      <c r="A795">
        <v>288.75</v>
      </c>
      <c r="B795" t="s">
        <v>250</v>
      </c>
      <c r="C795">
        <v>55</v>
      </c>
      <c r="D795" s="5">
        <f t="shared" si="48"/>
        <v>392.00377257605692</v>
      </c>
      <c r="E795" s="5">
        <f t="shared" si="50"/>
        <v>4</v>
      </c>
      <c r="F795" s="4">
        <v>280.75</v>
      </c>
      <c r="G795" s="5" t="s">
        <v>273</v>
      </c>
      <c r="H795">
        <v>50</v>
      </c>
      <c r="I795" s="5">
        <f t="shared" si="49"/>
        <v>293.66975814369101</v>
      </c>
      <c r="J795" s="5">
        <f t="shared" si="51"/>
        <v>5</v>
      </c>
    </row>
    <row r="796" spans="1:10" x14ac:dyDescent="0.2">
      <c r="A796">
        <v>289</v>
      </c>
      <c r="B796" t="s">
        <v>249</v>
      </c>
      <c r="C796">
        <v>59</v>
      </c>
      <c r="D796" s="5">
        <f t="shared" si="48"/>
        <v>493.89549345236594</v>
      </c>
      <c r="E796" s="5">
        <f t="shared" si="50"/>
        <v>4</v>
      </c>
      <c r="F796" s="4">
        <v>281</v>
      </c>
      <c r="G796" s="5" t="s">
        <v>53</v>
      </c>
      <c r="H796">
        <v>55</v>
      </c>
      <c r="I796" s="5">
        <f t="shared" si="49"/>
        <v>392.00377257605692</v>
      </c>
      <c r="J796" s="5">
        <f t="shared" si="51"/>
        <v>5</v>
      </c>
    </row>
    <row r="797" spans="1:10" x14ac:dyDescent="0.2">
      <c r="A797">
        <v>289.5</v>
      </c>
      <c r="B797" t="s">
        <v>37</v>
      </c>
      <c r="C797">
        <v>55</v>
      </c>
      <c r="D797" s="5">
        <f t="shared" si="48"/>
        <v>392.00377257605692</v>
      </c>
      <c r="E797" s="5">
        <f t="shared" si="50"/>
        <v>4</v>
      </c>
      <c r="F797" s="4">
        <v>281.5</v>
      </c>
      <c r="G797" s="5" t="s">
        <v>53</v>
      </c>
      <c r="H797">
        <v>55</v>
      </c>
      <c r="I797" s="5">
        <f t="shared" si="49"/>
        <v>392.00377257605692</v>
      </c>
      <c r="J797" s="5">
        <f t="shared" si="51"/>
        <v>0</v>
      </c>
    </row>
    <row r="798" spans="1:10" x14ac:dyDescent="0.2">
      <c r="A798">
        <v>290</v>
      </c>
      <c r="B798" t="s">
        <v>247</v>
      </c>
      <c r="C798">
        <v>50</v>
      </c>
      <c r="D798" s="5">
        <f t="shared" si="48"/>
        <v>293.66975814369101</v>
      </c>
      <c r="E798" s="5">
        <f t="shared" si="50"/>
        <v>5</v>
      </c>
      <c r="F798" s="4">
        <v>282</v>
      </c>
      <c r="G798" s="5" t="s">
        <v>54</v>
      </c>
      <c r="H798">
        <v>45</v>
      </c>
      <c r="I798" s="5">
        <f t="shared" si="49"/>
        <v>220.00279814001337</v>
      </c>
      <c r="J798" s="5">
        <f t="shared" si="51"/>
        <v>10</v>
      </c>
    </row>
    <row r="799" spans="1:10" x14ac:dyDescent="0.2">
      <c r="A799">
        <v>290.25</v>
      </c>
      <c r="B799" t="s">
        <v>248</v>
      </c>
      <c r="C799">
        <v>57</v>
      </c>
      <c r="D799" s="5">
        <f t="shared" si="48"/>
        <v>440.01010976071973</v>
      </c>
      <c r="E799" s="5">
        <f t="shared" si="50"/>
        <v>7</v>
      </c>
      <c r="F799" s="4">
        <v>282.25</v>
      </c>
      <c r="G799" s="5" t="s">
        <v>62</v>
      </c>
      <c r="H799">
        <v>53</v>
      </c>
      <c r="I799" s="5">
        <f t="shared" si="49"/>
        <v>349.23506143398839</v>
      </c>
      <c r="J799" s="5">
        <f t="shared" si="51"/>
        <v>8</v>
      </c>
    </row>
    <row r="800" spans="1:10" x14ac:dyDescent="0.2">
      <c r="A800">
        <v>290.5</v>
      </c>
      <c r="B800" t="s">
        <v>249</v>
      </c>
      <c r="C800">
        <v>59</v>
      </c>
      <c r="D800" s="5">
        <f t="shared" si="48"/>
        <v>493.89549345236594</v>
      </c>
      <c r="E800" s="5">
        <f t="shared" si="50"/>
        <v>2</v>
      </c>
      <c r="F800" s="4">
        <v>282.5</v>
      </c>
      <c r="G800" s="5" t="s">
        <v>53</v>
      </c>
      <c r="H800">
        <v>55</v>
      </c>
      <c r="I800" s="5">
        <f t="shared" si="49"/>
        <v>392.00377257605692</v>
      </c>
      <c r="J800" s="5">
        <f t="shared" si="51"/>
        <v>2</v>
      </c>
    </row>
    <row r="801" spans="1:10" x14ac:dyDescent="0.2">
      <c r="A801">
        <v>290.75</v>
      </c>
      <c r="B801" t="s">
        <v>250</v>
      </c>
      <c r="C801">
        <v>55</v>
      </c>
      <c r="D801" s="5">
        <f t="shared" si="48"/>
        <v>392.00377257605692</v>
      </c>
      <c r="E801" s="5">
        <f t="shared" si="50"/>
        <v>4</v>
      </c>
      <c r="F801" s="4">
        <v>282.75</v>
      </c>
      <c r="G801" s="5" t="s">
        <v>273</v>
      </c>
      <c r="H801">
        <v>50</v>
      </c>
      <c r="I801" s="5">
        <f t="shared" si="49"/>
        <v>293.66975814369101</v>
      </c>
      <c r="J801" s="5">
        <f t="shared" si="51"/>
        <v>5</v>
      </c>
    </row>
    <row r="802" spans="1:10" x14ac:dyDescent="0.2">
      <c r="A802">
        <v>291</v>
      </c>
      <c r="B802" t="s">
        <v>249</v>
      </c>
      <c r="C802">
        <v>59</v>
      </c>
      <c r="D802" s="5">
        <f t="shared" si="48"/>
        <v>493.89549345236594</v>
      </c>
      <c r="E802" s="5">
        <f t="shared" si="50"/>
        <v>4</v>
      </c>
      <c r="F802" s="4">
        <v>283</v>
      </c>
      <c r="G802" s="5" t="s">
        <v>53</v>
      </c>
      <c r="H802">
        <v>55</v>
      </c>
      <c r="I802" s="5">
        <f t="shared" si="49"/>
        <v>392.00377257605692</v>
      </c>
      <c r="J802" s="5">
        <f t="shared" si="51"/>
        <v>5</v>
      </c>
    </row>
    <row r="803" spans="1:10" x14ac:dyDescent="0.2">
      <c r="A803">
        <v>291.5</v>
      </c>
      <c r="B803" t="s">
        <v>37</v>
      </c>
      <c r="C803">
        <v>55</v>
      </c>
      <c r="D803" s="5">
        <f t="shared" si="48"/>
        <v>392.00377257605692</v>
      </c>
      <c r="E803" s="5">
        <f t="shared" si="50"/>
        <v>4</v>
      </c>
      <c r="F803" s="4">
        <v>283.5</v>
      </c>
      <c r="G803" s="5" t="s">
        <v>53</v>
      </c>
      <c r="H803">
        <v>55</v>
      </c>
      <c r="I803" s="5">
        <f t="shared" si="49"/>
        <v>392.00377257605692</v>
      </c>
      <c r="J803" s="5">
        <f t="shared" si="51"/>
        <v>0</v>
      </c>
    </row>
    <row r="804" spans="1:10" x14ac:dyDescent="0.2">
      <c r="A804">
        <v>292</v>
      </c>
      <c r="B804" t="s">
        <v>247</v>
      </c>
      <c r="C804">
        <v>50</v>
      </c>
      <c r="D804" s="5">
        <f t="shared" si="48"/>
        <v>293.66975814369101</v>
      </c>
      <c r="E804" s="5">
        <f t="shared" si="50"/>
        <v>5</v>
      </c>
      <c r="F804" s="4">
        <v>284</v>
      </c>
      <c r="G804" s="5" t="s">
        <v>54</v>
      </c>
      <c r="H804">
        <v>45</v>
      </c>
      <c r="I804" s="5">
        <f t="shared" si="49"/>
        <v>220.00279814001337</v>
      </c>
      <c r="J804" s="5">
        <f t="shared" si="51"/>
        <v>10</v>
      </c>
    </row>
    <row r="805" spans="1:10" x14ac:dyDescent="0.2">
      <c r="A805">
        <v>292.25</v>
      </c>
      <c r="B805" t="s">
        <v>248</v>
      </c>
      <c r="C805">
        <v>57</v>
      </c>
      <c r="D805" s="5">
        <f t="shared" si="48"/>
        <v>440.01010976071973</v>
      </c>
      <c r="E805" s="5">
        <f t="shared" si="50"/>
        <v>7</v>
      </c>
      <c r="F805" s="4">
        <v>284.25</v>
      </c>
      <c r="G805" s="5" t="s">
        <v>62</v>
      </c>
      <c r="H805">
        <v>53</v>
      </c>
      <c r="I805" s="5">
        <f t="shared" si="49"/>
        <v>349.23506143398839</v>
      </c>
      <c r="J805" s="5">
        <f t="shared" si="51"/>
        <v>8</v>
      </c>
    </row>
    <row r="806" spans="1:10" x14ac:dyDescent="0.2">
      <c r="A806">
        <v>292.5</v>
      </c>
      <c r="B806" t="s">
        <v>249</v>
      </c>
      <c r="C806">
        <v>59</v>
      </c>
      <c r="D806" s="5">
        <f t="shared" si="48"/>
        <v>493.89549345236594</v>
      </c>
      <c r="E806" s="5">
        <f t="shared" si="50"/>
        <v>2</v>
      </c>
      <c r="F806" s="4">
        <v>284.5</v>
      </c>
      <c r="G806" s="5" t="s">
        <v>53</v>
      </c>
      <c r="H806">
        <v>55</v>
      </c>
      <c r="I806" s="5">
        <f t="shared" si="49"/>
        <v>392.00377257605692</v>
      </c>
      <c r="J806" s="5">
        <f t="shared" si="51"/>
        <v>2</v>
      </c>
    </row>
    <row r="807" spans="1:10" x14ac:dyDescent="0.2">
      <c r="A807">
        <v>292.75</v>
      </c>
      <c r="B807" t="s">
        <v>250</v>
      </c>
      <c r="C807">
        <v>55</v>
      </c>
      <c r="D807" s="5">
        <f t="shared" si="48"/>
        <v>392.00377257605692</v>
      </c>
      <c r="E807" s="5">
        <f t="shared" si="50"/>
        <v>4</v>
      </c>
      <c r="F807" s="4">
        <v>284.75</v>
      </c>
      <c r="G807" s="5" t="s">
        <v>273</v>
      </c>
      <c r="H807">
        <v>50</v>
      </c>
      <c r="I807" s="5">
        <f t="shared" si="49"/>
        <v>293.66975814369101</v>
      </c>
      <c r="J807" s="5">
        <f t="shared" si="51"/>
        <v>5</v>
      </c>
    </row>
    <row r="808" spans="1:10" x14ac:dyDescent="0.2">
      <c r="A808">
        <v>293</v>
      </c>
      <c r="B808" t="s">
        <v>249</v>
      </c>
      <c r="C808">
        <v>59</v>
      </c>
      <c r="D808" s="5">
        <f t="shared" si="48"/>
        <v>493.89549345236594</v>
      </c>
      <c r="E808" s="5">
        <f t="shared" si="50"/>
        <v>4</v>
      </c>
      <c r="F808" s="4">
        <v>285</v>
      </c>
      <c r="G808" s="5" t="s">
        <v>53</v>
      </c>
      <c r="H808">
        <v>55</v>
      </c>
      <c r="I808" s="5">
        <f t="shared" si="49"/>
        <v>392.00377257605692</v>
      </c>
      <c r="J808" s="5">
        <f t="shared" si="51"/>
        <v>5</v>
      </c>
    </row>
    <row r="809" spans="1:10" x14ac:dyDescent="0.2">
      <c r="A809">
        <v>293.5</v>
      </c>
      <c r="B809" t="s">
        <v>37</v>
      </c>
      <c r="C809">
        <v>55</v>
      </c>
      <c r="D809" s="5">
        <f t="shared" si="48"/>
        <v>392.00377257605692</v>
      </c>
      <c r="E809" s="5">
        <f t="shared" si="50"/>
        <v>4</v>
      </c>
      <c r="F809" s="4">
        <v>285.5</v>
      </c>
      <c r="G809" s="5" t="s">
        <v>53</v>
      </c>
      <c r="H809">
        <v>55</v>
      </c>
      <c r="I809" s="5">
        <f t="shared" si="49"/>
        <v>392.00377257605692</v>
      </c>
      <c r="J809" s="5">
        <f t="shared" si="51"/>
        <v>0</v>
      </c>
    </row>
    <row r="810" spans="1:10" x14ac:dyDescent="0.2">
      <c r="A810">
        <v>294</v>
      </c>
      <c r="B810" t="s">
        <v>247</v>
      </c>
      <c r="C810">
        <v>50</v>
      </c>
      <c r="D810" s="5">
        <f t="shared" si="48"/>
        <v>293.66975814369101</v>
      </c>
      <c r="E810" s="5">
        <f t="shared" si="50"/>
        <v>5</v>
      </c>
      <c r="F810" s="4">
        <v>286</v>
      </c>
      <c r="G810" s="5" t="s">
        <v>54</v>
      </c>
      <c r="H810">
        <v>45</v>
      </c>
      <c r="I810" s="5">
        <f t="shared" si="49"/>
        <v>220.00279814001337</v>
      </c>
      <c r="J810" s="5">
        <f t="shared" si="51"/>
        <v>10</v>
      </c>
    </row>
    <row r="811" spans="1:10" x14ac:dyDescent="0.2">
      <c r="A811">
        <v>294.25</v>
      </c>
      <c r="B811" t="s">
        <v>248</v>
      </c>
      <c r="C811">
        <v>57</v>
      </c>
      <c r="D811" s="5">
        <f t="shared" si="48"/>
        <v>440.01010976071973</v>
      </c>
      <c r="E811" s="5">
        <f t="shared" si="50"/>
        <v>7</v>
      </c>
      <c r="F811" s="4">
        <v>286.25</v>
      </c>
      <c r="G811" s="5" t="s">
        <v>62</v>
      </c>
      <c r="H811">
        <v>53</v>
      </c>
      <c r="I811" s="5">
        <f t="shared" si="49"/>
        <v>349.23506143398839</v>
      </c>
      <c r="J811" s="5">
        <f t="shared" si="51"/>
        <v>8</v>
      </c>
    </row>
    <row r="812" spans="1:10" x14ac:dyDescent="0.2">
      <c r="A812">
        <v>294.5</v>
      </c>
      <c r="B812" t="s">
        <v>249</v>
      </c>
      <c r="C812">
        <v>59</v>
      </c>
      <c r="D812" s="5">
        <f t="shared" si="48"/>
        <v>493.89549345236594</v>
      </c>
      <c r="E812" s="5">
        <f t="shared" si="50"/>
        <v>2</v>
      </c>
      <c r="F812" s="4">
        <v>286.5</v>
      </c>
      <c r="G812" s="5" t="s">
        <v>53</v>
      </c>
      <c r="H812">
        <v>55</v>
      </c>
      <c r="I812" s="5">
        <f t="shared" si="49"/>
        <v>392.00377257605692</v>
      </c>
      <c r="J812" s="5">
        <f t="shared" si="51"/>
        <v>2</v>
      </c>
    </row>
    <row r="813" spans="1:10" x14ac:dyDescent="0.2">
      <c r="A813">
        <v>294.75</v>
      </c>
      <c r="B813" t="s">
        <v>250</v>
      </c>
      <c r="C813">
        <v>55</v>
      </c>
      <c r="D813" s="5">
        <f t="shared" si="48"/>
        <v>392.00377257605692</v>
      </c>
      <c r="E813" s="5">
        <f t="shared" si="50"/>
        <v>4</v>
      </c>
      <c r="F813" s="4">
        <v>286.75</v>
      </c>
      <c r="G813" s="5" t="s">
        <v>273</v>
      </c>
      <c r="H813">
        <v>50</v>
      </c>
      <c r="I813" s="5">
        <f t="shared" si="49"/>
        <v>293.66975814369101</v>
      </c>
      <c r="J813" s="5">
        <f t="shared" si="51"/>
        <v>5</v>
      </c>
    </row>
    <row r="814" spans="1:10" x14ac:dyDescent="0.2">
      <c r="A814">
        <v>295</v>
      </c>
      <c r="B814" t="s">
        <v>249</v>
      </c>
      <c r="C814">
        <v>59</v>
      </c>
      <c r="D814" s="5">
        <f t="shared" si="48"/>
        <v>493.89549345236594</v>
      </c>
      <c r="E814" s="5">
        <f t="shared" si="50"/>
        <v>4</v>
      </c>
      <c r="F814" s="4">
        <v>287</v>
      </c>
      <c r="G814" s="5" t="s">
        <v>53</v>
      </c>
      <c r="H814">
        <v>55</v>
      </c>
      <c r="I814" s="5">
        <f t="shared" si="49"/>
        <v>392.00377257605692</v>
      </c>
      <c r="J814" s="5">
        <f t="shared" si="51"/>
        <v>5</v>
      </c>
    </row>
    <row r="815" spans="1:10" x14ac:dyDescent="0.2">
      <c r="A815">
        <v>295.5</v>
      </c>
      <c r="B815" t="s">
        <v>37</v>
      </c>
      <c r="C815">
        <v>55</v>
      </c>
      <c r="D815" s="5">
        <f t="shared" si="48"/>
        <v>392.00377257605692</v>
      </c>
      <c r="E815" s="5">
        <f t="shared" si="50"/>
        <v>4</v>
      </c>
      <c r="F815" s="4">
        <v>287.5</v>
      </c>
      <c r="G815" s="5" t="s">
        <v>53</v>
      </c>
      <c r="H815">
        <v>55</v>
      </c>
      <c r="I815" s="5">
        <f t="shared" si="49"/>
        <v>392.00377257605692</v>
      </c>
      <c r="J815" s="5">
        <f t="shared" si="51"/>
        <v>0</v>
      </c>
    </row>
    <row r="816" spans="1:10" x14ac:dyDescent="0.2">
      <c r="A816">
        <v>296</v>
      </c>
      <c r="B816" t="s">
        <v>247</v>
      </c>
      <c r="C816">
        <v>50</v>
      </c>
      <c r="D816" s="5">
        <f t="shared" si="48"/>
        <v>293.66975814369101</v>
      </c>
      <c r="E816" s="5">
        <f t="shared" si="50"/>
        <v>5</v>
      </c>
      <c r="F816" s="4">
        <v>288</v>
      </c>
      <c r="G816" s="5" t="s">
        <v>54</v>
      </c>
      <c r="H816">
        <v>45</v>
      </c>
      <c r="I816" s="5">
        <f t="shared" si="49"/>
        <v>220.00279814001337</v>
      </c>
      <c r="J816" s="5">
        <f t="shared" si="51"/>
        <v>10</v>
      </c>
    </row>
    <row r="817" spans="1:10" x14ac:dyDescent="0.2">
      <c r="A817">
        <v>296.25</v>
      </c>
      <c r="B817" t="s">
        <v>248</v>
      </c>
      <c r="C817">
        <v>57</v>
      </c>
      <c r="D817" s="5">
        <f t="shared" si="48"/>
        <v>440.01010976071973</v>
      </c>
      <c r="E817" s="5">
        <f t="shared" si="50"/>
        <v>7</v>
      </c>
      <c r="F817" s="4">
        <v>288.25</v>
      </c>
      <c r="G817" s="5" t="s">
        <v>62</v>
      </c>
      <c r="H817">
        <v>53</v>
      </c>
      <c r="I817" s="5">
        <f t="shared" si="49"/>
        <v>349.23506143398839</v>
      </c>
      <c r="J817" s="5">
        <f t="shared" si="51"/>
        <v>8</v>
      </c>
    </row>
    <row r="818" spans="1:10" x14ac:dyDescent="0.2">
      <c r="A818">
        <v>296.5</v>
      </c>
      <c r="B818" t="s">
        <v>249</v>
      </c>
      <c r="C818">
        <v>59</v>
      </c>
      <c r="D818" s="5">
        <f t="shared" si="48"/>
        <v>493.89549345236594</v>
      </c>
      <c r="E818" s="5">
        <f t="shared" si="50"/>
        <v>2</v>
      </c>
      <c r="F818" s="4">
        <v>288.5</v>
      </c>
      <c r="G818" s="5" t="s">
        <v>53</v>
      </c>
      <c r="H818">
        <v>55</v>
      </c>
      <c r="I818" s="5">
        <f t="shared" si="49"/>
        <v>392.00377257605692</v>
      </c>
      <c r="J818" s="5">
        <f t="shared" si="51"/>
        <v>2</v>
      </c>
    </row>
    <row r="819" spans="1:10" x14ac:dyDescent="0.2">
      <c r="A819">
        <v>296.75</v>
      </c>
      <c r="B819" t="s">
        <v>250</v>
      </c>
      <c r="C819">
        <v>55</v>
      </c>
      <c r="D819" s="5">
        <f t="shared" si="48"/>
        <v>392.00377257605692</v>
      </c>
      <c r="E819" s="5">
        <f t="shared" si="50"/>
        <v>4</v>
      </c>
      <c r="F819" s="4">
        <v>288.75</v>
      </c>
      <c r="G819" t="s">
        <v>273</v>
      </c>
      <c r="H819">
        <v>50</v>
      </c>
      <c r="I819" s="5">
        <f t="shared" si="49"/>
        <v>293.66975814369101</v>
      </c>
      <c r="J819" s="5">
        <f t="shared" si="51"/>
        <v>5</v>
      </c>
    </row>
    <row r="820" spans="1:10" x14ac:dyDescent="0.2">
      <c r="A820">
        <v>297</v>
      </c>
      <c r="B820" t="s">
        <v>249</v>
      </c>
      <c r="C820">
        <v>59</v>
      </c>
      <c r="D820" s="5">
        <f t="shared" si="48"/>
        <v>493.89549345236594</v>
      </c>
      <c r="E820" s="5">
        <f t="shared" si="50"/>
        <v>4</v>
      </c>
      <c r="F820" s="4">
        <v>289</v>
      </c>
      <c r="G820" s="5" t="s">
        <v>53</v>
      </c>
      <c r="H820">
        <v>55</v>
      </c>
      <c r="I820" s="5">
        <f t="shared" si="49"/>
        <v>392.00377257605692</v>
      </c>
      <c r="J820" s="5">
        <f t="shared" si="51"/>
        <v>5</v>
      </c>
    </row>
    <row r="821" spans="1:10" x14ac:dyDescent="0.2">
      <c r="A821">
        <v>297.5</v>
      </c>
      <c r="B821" t="s">
        <v>37</v>
      </c>
      <c r="C821">
        <v>55</v>
      </c>
      <c r="D821" s="5">
        <f t="shared" si="48"/>
        <v>392.00377257605692</v>
      </c>
      <c r="E821" s="5">
        <f t="shared" si="50"/>
        <v>4</v>
      </c>
      <c r="F821" s="4">
        <v>289.5</v>
      </c>
      <c r="G821" t="s">
        <v>53</v>
      </c>
      <c r="H821">
        <v>55</v>
      </c>
      <c r="I821" s="5">
        <f t="shared" si="49"/>
        <v>392.00377257605692</v>
      </c>
      <c r="J821" s="5">
        <f t="shared" si="51"/>
        <v>0</v>
      </c>
    </row>
    <row r="822" spans="1:10" x14ac:dyDescent="0.2">
      <c r="A822">
        <v>298</v>
      </c>
      <c r="B822" t="s">
        <v>247</v>
      </c>
      <c r="C822">
        <v>50</v>
      </c>
      <c r="D822" s="5">
        <f t="shared" si="48"/>
        <v>293.66975814369101</v>
      </c>
      <c r="E822" s="5">
        <f t="shared" si="50"/>
        <v>5</v>
      </c>
      <c r="F822" s="4">
        <v>290</v>
      </c>
      <c r="G822" s="5" t="s">
        <v>54</v>
      </c>
      <c r="H822">
        <v>45</v>
      </c>
      <c r="I822" s="5">
        <f t="shared" si="49"/>
        <v>220.00279814001337</v>
      </c>
      <c r="J822" s="5">
        <f t="shared" si="51"/>
        <v>10</v>
      </c>
    </row>
    <row r="823" spans="1:10" x14ac:dyDescent="0.2">
      <c r="A823">
        <v>298.25</v>
      </c>
      <c r="B823" t="s">
        <v>248</v>
      </c>
      <c r="C823">
        <v>57</v>
      </c>
      <c r="D823" s="5">
        <f t="shared" si="48"/>
        <v>440.01010976071973</v>
      </c>
      <c r="E823" s="5">
        <f t="shared" si="50"/>
        <v>7</v>
      </c>
      <c r="F823" s="4">
        <v>290.25</v>
      </c>
      <c r="G823" t="s">
        <v>62</v>
      </c>
      <c r="H823">
        <v>53</v>
      </c>
      <c r="I823" s="5">
        <f t="shared" si="49"/>
        <v>349.23506143398839</v>
      </c>
      <c r="J823" s="5">
        <f t="shared" si="51"/>
        <v>8</v>
      </c>
    </row>
    <row r="824" spans="1:10" x14ac:dyDescent="0.2">
      <c r="A824">
        <v>298.5</v>
      </c>
      <c r="B824" t="s">
        <v>249</v>
      </c>
      <c r="C824">
        <v>59</v>
      </c>
      <c r="D824" s="5">
        <f t="shared" si="48"/>
        <v>493.89549345236594</v>
      </c>
      <c r="E824" s="5">
        <f t="shared" si="50"/>
        <v>2</v>
      </c>
      <c r="F824" s="4">
        <v>290.5</v>
      </c>
      <c r="G824" s="5" t="s">
        <v>53</v>
      </c>
      <c r="H824">
        <v>55</v>
      </c>
      <c r="I824" s="5">
        <f t="shared" si="49"/>
        <v>392.00377257605692</v>
      </c>
      <c r="J824" s="5">
        <f t="shared" si="51"/>
        <v>2</v>
      </c>
    </row>
    <row r="825" spans="1:10" x14ac:dyDescent="0.2">
      <c r="A825">
        <v>298.75</v>
      </c>
      <c r="B825" t="s">
        <v>250</v>
      </c>
      <c r="C825">
        <v>55</v>
      </c>
      <c r="D825" s="5">
        <f t="shared" si="48"/>
        <v>392.00377257605692</v>
      </c>
      <c r="E825" s="5">
        <f t="shared" si="50"/>
        <v>4</v>
      </c>
      <c r="F825" s="4">
        <v>290.75</v>
      </c>
      <c r="G825" t="s">
        <v>273</v>
      </c>
      <c r="H825">
        <v>50</v>
      </c>
      <c r="I825" s="5">
        <f t="shared" si="49"/>
        <v>293.66975814369101</v>
      </c>
      <c r="J825" s="5">
        <f t="shared" si="51"/>
        <v>5</v>
      </c>
    </row>
    <row r="826" spans="1:10" x14ac:dyDescent="0.2">
      <c r="A826">
        <v>299</v>
      </c>
      <c r="B826" t="s">
        <v>249</v>
      </c>
      <c r="C826">
        <v>59</v>
      </c>
      <c r="D826" s="5">
        <f t="shared" si="48"/>
        <v>493.89549345236594</v>
      </c>
      <c r="E826" s="5">
        <f t="shared" si="50"/>
        <v>4</v>
      </c>
      <c r="F826" s="4">
        <v>291</v>
      </c>
      <c r="G826" s="5" t="s">
        <v>53</v>
      </c>
      <c r="H826">
        <v>55</v>
      </c>
      <c r="I826" s="5">
        <f t="shared" si="49"/>
        <v>392.00377257605692</v>
      </c>
      <c r="J826" s="5">
        <f t="shared" si="51"/>
        <v>5</v>
      </c>
    </row>
    <row r="827" spans="1:10" x14ac:dyDescent="0.2">
      <c r="A827">
        <v>299.5</v>
      </c>
      <c r="B827" t="s">
        <v>37</v>
      </c>
      <c r="C827">
        <v>55</v>
      </c>
      <c r="D827" s="5">
        <f t="shared" si="48"/>
        <v>392.00377257605692</v>
      </c>
      <c r="E827" s="5">
        <f t="shared" si="50"/>
        <v>4</v>
      </c>
      <c r="F827" s="4">
        <v>291.5</v>
      </c>
      <c r="G827" t="s">
        <v>53</v>
      </c>
      <c r="H827">
        <v>55</v>
      </c>
      <c r="I827" s="5">
        <f t="shared" si="49"/>
        <v>392.00377257605692</v>
      </c>
      <c r="J827" s="5">
        <f t="shared" si="51"/>
        <v>0</v>
      </c>
    </row>
    <row r="828" spans="1:10" x14ac:dyDescent="0.2">
      <c r="A828">
        <v>301</v>
      </c>
      <c r="B828" t="s">
        <v>38</v>
      </c>
      <c r="C828">
        <v>52</v>
      </c>
      <c r="D828" s="5">
        <f t="shared" si="48"/>
        <v>329.63372180082422</v>
      </c>
      <c r="E828" s="5">
        <f t="shared" si="50"/>
        <v>3</v>
      </c>
      <c r="F828" s="4">
        <v>292</v>
      </c>
      <c r="G828" s="5" t="s">
        <v>54</v>
      </c>
      <c r="H828">
        <v>45</v>
      </c>
      <c r="I828" s="5">
        <f t="shared" si="49"/>
        <v>220.00279814001337</v>
      </c>
      <c r="J828" s="5">
        <f t="shared" si="51"/>
        <v>10</v>
      </c>
    </row>
    <row r="829" spans="1:10" x14ac:dyDescent="0.2">
      <c r="A829">
        <v>301.5</v>
      </c>
      <c r="B829" t="s">
        <v>203</v>
      </c>
      <c r="C829">
        <v>53</v>
      </c>
      <c r="D829" s="5">
        <f t="shared" si="48"/>
        <v>349.23506143398839</v>
      </c>
      <c r="E829" s="5">
        <f t="shared" si="50"/>
        <v>1</v>
      </c>
      <c r="F829" s="4">
        <v>292.25</v>
      </c>
      <c r="G829" t="s">
        <v>62</v>
      </c>
      <c r="H829">
        <v>53</v>
      </c>
      <c r="I829" s="5">
        <f t="shared" si="49"/>
        <v>349.23506143398839</v>
      </c>
      <c r="J829" s="5">
        <f t="shared" si="51"/>
        <v>8</v>
      </c>
    </row>
    <row r="830" spans="1:10" x14ac:dyDescent="0.2">
      <c r="A830">
        <v>302</v>
      </c>
      <c r="B830" t="s">
        <v>204</v>
      </c>
      <c r="C830">
        <v>57</v>
      </c>
      <c r="D830" s="5">
        <f t="shared" si="48"/>
        <v>440.01010976071973</v>
      </c>
      <c r="E830" s="5">
        <f t="shared" si="50"/>
        <v>4</v>
      </c>
      <c r="F830" s="4">
        <v>292.5</v>
      </c>
      <c r="G830" s="5" t="s">
        <v>53</v>
      </c>
      <c r="H830">
        <v>55</v>
      </c>
      <c r="I830" s="5">
        <f t="shared" si="49"/>
        <v>392.00377257605692</v>
      </c>
      <c r="J830" s="5">
        <f t="shared" si="51"/>
        <v>2</v>
      </c>
    </row>
    <row r="831" spans="1:10" x14ac:dyDescent="0.2">
      <c r="A831">
        <v>303</v>
      </c>
      <c r="B831" t="s">
        <v>205</v>
      </c>
      <c r="C831">
        <v>53</v>
      </c>
      <c r="D831" s="5">
        <f t="shared" si="48"/>
        <v>349.23506143398839</v>
      </c>
      <c r="E831" s="5">
        <f t="shared" si="50"/>
        <v>4</v>
      </c>
      <c r="F831" s="4">
        <v>292.75</v>
      </c>
      <c r="G831" s="5" t="s">
        <v>273</v>
      </c>
      <c r="H831">
        <v>50</v>
      </c>
      <c r="I831" s="5">
        <f t="shared" si="49"/>
        <v>293.66975814369101</v>
      </c>
      <c r="J831" s="5">
        <f t="shared" si="51"/>
        <v>5</v>
      </c>
    </row>
    <row r="832" spans="1:10" x14ac:dyDescent="0.2">
      <c r="A832">
        <v>303.5</v>
      </c>
      <c r="B832" t="s">
        <v>38</v>
      </c>
      <c r="C832">
        <v>52</v>
      </c>
      <c r="D832" s="5">
        <f t="shared" si="48"/>
        <v>329.63372180082422</v>
      </c>
      <c r="E832" s="5">
        <f t="shared" si="50"/>
        <v>1</v>
      </c>
      <c r="F832" s="4">
        <v>293</v>
      </c>
      <c r="G832" s="5" t="s">
        <v>53</v>
      </c>
      <c r="H832">
        <v>55</v>
      </c>
      <c r="I832" s="5">
        <f t="shared" si="49"/>
        <v>392.00377257605692</v>
      </c>
      <c r="J832" s="5">
        <f t="shared" si="51"/>
        <v>5</v>
      </c>
    </row>
    <row r="833" spans="1:10" x14ac:dyDescent="0.2">
      <c r="A833">
        <v>303.75</v>
      </c>
      <c r="B833" t="s">
        <v>247</v>
      </c>
      <c r="C833">
        <v>50</v>
      </c>
      <c r="D833" s="5">
        <f t="shared" si="48"/>
        <v>293.66975814369101</v>
      </c>
      <c r="E833" s="5">
        <f t="shared" si="50"/>
        <v>2</v>
      </c>
      <c r="F833" s="4">
        <v>293.5</v>
      </c>
      <c r="G833" s="5" t="s">
        <v>53</v>
      </c>
      <c r="H833">
        <v>55</v>
      </c>
      <c r="I833" s="5">
        <f t="shared" si="49"/>
        <v>392.00377257605692</v>
      </c>
      <c r="J833" s="5">
        <f t="shared" si="51"/>
        <v>0</v>
      </c>
    </row>
    <row r="834" spans="1:10" x14ac:dyDescent="0.2">
      <c r="A834">
        <v>304</v>
      </c>
      <c r="B834" t="s">
        <v>38</v>
      </c>
      <c r="C834">
        <v>52</v>
      </c>
      <c r="D834" s="5">
        <f t="shared" si="48"/>
        <v>329.63372180082422</v>
      </c>
      <c r="E834" s="5">
        <f t="shared" si="50"/>
        <v>2</v>
      </c>
      <c r="F834" s="4">
        <v>294</v>
      </c>
      <c r="G834" s="5" t="s">
        <v>54</v>
      </c>
      <c r="H834">
        <v>45</v>
      </c>
      <c r="I834" s="5">
        <f t="shared" si="49"/>
        <v>220.00279814001337</v>
      </c>
      <c r="J834" s="5">
        <f t="shared" si="51"/>
        <v>10</v>
      </c>
    </row>
    <row r="835" spans="1:10" x14ac:dyDescent="0.2">
      <c r="A835">
        <v>304.5</v>
      </c>
      <c r="B835" t="s">
        <v>202</v>
      </c>
      <c r="C835">
        <v>53</v>
      </c>
      <c r="D835" s="5">
        <f t="shared" si="48"/>
        <v>349.23506143398839</v>
      </c>
      <c r="E835" s="5">
        <f t="shared" si="50"/>
        <v>1</v>
      </c>
      <c r="F835" s="4">
        <v>294.25</v>
      </c>
      <c r="G835" t="s">
        <v>62</v>
      </c>
      <c r="H835">
        <v>53</v>
      </c>
      <c r="I835" s="5">
        <f t="shared" si="49"/>
        <v>349.23506143398839</v>
      </c>
      <c r="J835" s="5">
        <f t="shared" si="51"/>
        <v>8</v>
      </c>
    </row>
    <row r="836" spans="1:10" x14ac:dyDescent="0.2">
      <c r="A836">
        <v>305</v>
      </c>
      <c r="B836" t="s">
        <v>37</v>
      </c>
      <c r="C836">
        <v>55</v>
      </c>
      <c r="D836" s="5">
        <f t="shared" ref="D836:D849" si="52">16.35117682*1.059464^C836</f>
        <v>392.00377257605692</v>
      </c>
      <c r="E836" s="5">
        <f t="shared" si="50"/>
        <v>2</v>
      </c>
      <c r="F836" s="4">
        <v>294.5</v>
      </c>
      <c r="G836" s="5" t="s">
        <v>53</v>
      </c>
      <c r="H836">
        <v>55</v>
      </c>
      <c r="I836" s="5">
        <f t="shared" ref="I836:I865" si="53">16.35117682*1.059464^H836</f>
        <v>392.00377257605692</v>
      </c>
      <c r="J836" s="5">
        <f t="shared" si="51"/>
        <v>2</v>
      </c>
    </row>
    <row r="837" spans="1:10" x14ac:dyDescent="0.2">
      <c r="A837">
        <v>305.5</v>
      </c>
      <c r="B837" t="s">
        <v>206</v>
      </c>
      <c r="C837">
        <v>52</v>
      </c>
      <c r="D837" s="5">
        <f t="shared" si="52"/>
        <v>329.63372180082422</v>
      </c>
      <c r="E837" s="5">
        <f t="shared" ref="E837:E849" si="54">ABS( C837-C836)</f>
        <v>3</v>
      </c>
      <c r="F837" s="4">
        <v>294.75</v>
      </c>
      <c r="G837" t="s">
        <v>273</v>
      </c>
      <c r="H837">
        <v>50</v>
      </c>
      <c r="I837" s="5">
        <f t="shared" si="53"/>
        <v>293.66975814369101</v>
      </c>
      <c r="J837" s="5">
        <f t="shared" ref="J837:J865" si="55">ABS( H837-H836)</f>
        <v>5</v>
      </c>
    </row>
    <row r="838" spans="1:10" x14ac:dyDescent="0.2">
      <c r="A838">
        <v>305.75</v>
      </c>
      <c r="B838" t="s">
        <v>207</v>
      </c>
      <c r="C838">
        <v>50</v>
      </c>
      <c r="D838" s="5">
        <f t="shared" si="52"/>
        <v>293.66975814369101</v>
      </c>
      <c r="E838" s="5">
        <f t="shared" si="54"/>
        <v>2</v>
      </c>
      <c r="F838" s="4">
        <v>295</v>
      </c>
      <c r="G838" s="5" t="s">
        <v>53</v>
      </c>
      <c r="H838">
        <v>55</v>
      </c>
      <c r="I838" s="5">
        <f t="shared" si="53"/>
        <v>392.00377257605692</v>
      </c>
      <c r="J838" s="5">
        <f t="shared" si="55"/>
        <v>5</v>
      </c>
    </row>
    <row r="839" spans="1:10" x14ac:dyDescent="0.2">
      <c r="A839">
        <v>306</v>
      </c>
      <c r="B839" t="s">
        <v>38</v>
      </c>
      <c r="C839">
        <v>52</v>
      </c>
      <c r="D839" s="5">
        <f t="shared" si="52"/>
        <v>329.63372180082422</v>
      </c>
      <c r="E839" s="5">
        <f t="shared" si="54"/>
        <v>2</v>
      </c>
      <c r="F839" s="4">
        <v>295.5</v>
      </c>
      <c r="G839" t="s">
        <v>53</v>
      </c>
      <c r="H839">
        <v>55</v>
      </c>
      <c r="I839" s="5">
        <f t="shared" si="53"/>
        <v>392.00377257605692</v>
      </c>
      <c r="J839" s="5">
        <f t="shared" si="55"/>
        <v>0</v>
      </c>
    </row>
    <row r="840" spans="1:10" x14ac:dyDescent="0.2">
      <c r="A840">
        <v>309.5</v>
      </c>
      <c r="B840" t="s">
        <v>208</v>
      </c>
      <c r="C840">
        <v>67</v>
      </c>
      <c r="D840" s="5">
        <f t="shared" si="52"/>
        <v>784.01558732918636</v>
      </c>
      <c r="E840" s="5">
        <f t="shared" si="54"/>
        <v>15</v>
      </c>
      <c r="F840" s="4">
        <v>296</v>
      </c>
      <c r="G840" s="5" t="s">
        <v>54</v>
      </c>
      <c r="H840">
        <v>45</v>
      </c>
      <c r="I840" s="5">
        <f t="shared" si="53"/>
        <v>220.00279814001337</v>
      </c>
      <c r="J840" s="5">
        <f t="shared" si="55"/>
        <v>10</v>
      </c>
    </row>
    <row r="841" spans="1:10" x14ac:dyDescent="0.2">
      <c r="A841">
        <v>310</v>
      </c>
      <c r="B841" t="s">
        <v>76</v>
      </c>
      <c r="C841">
        <v>72</v>
      </c>
      <c r="D841" s="5">
        <f t="shared" si="52"/>
        <v>1046.5397252143878</v>
      </c>
      <c r="E841" s="5">
        <f t="shared" si="54"/>
        <v>5</v>
      </c>
      <c r="F841" s="4">
        <v>296.25</v>
      </c>
      <c r="G841" s="5" t="s">
        <v>62</v>
      </c>
      <c r="H841">
        <v>53</v>
      </c>
      <c r="I841" s="5">
        <f t="shared" si="53"/>
        <v>349.23506143398839</v>
      </c>
      <c r="J841" s="5">
        <f t="shared" si="55"/>
        <v>8</v>
      </c>
    </row>
    <row r="842" spans="1:10" x14ac:dyDescent="0.2">
      <c r="A842">
        <v>312</v>
      </c>
      <c r="B842" t="s">
        <v>77</v>
      </c>
      <c r="C842">
        <v>69</v>
      </c>
      <c r="D842" s="5">
        <f t="shared" si="52"/>
        <v>880.02924657542201</v>
      </c>
      <c r="E842" s="5">
        <f t="shared" si="54"/>
        <v>3</v>
      </c>
      <c r="F842" s="4">
        <v>296.5</v>
      </c>
      <c r="G842" s="5" t="s">
        <v>53</v>
      </c>
      <c r="H842">
        <v>55</v>
      </c>
      <c r="I842" s="5">
        <f t="shared" si="53"/>
        <v>392.00377257605692</v>
      </c>
      <c r="J842" s="5">
        <f t="shared" si="55"/>
        <v>2</v>
      </c>
    </row>
    <row r="843" spans="1:10" x14ac:dyDescent="0.2">
      <c r="A843">
        <v>312.5</v>
      </c>
      <c r="B843" t="s">
        <v>78</v>
      </c>
      <c r="C843">
        <v>74</v>
      </c>
      <c r="D843" s="5">
        <f t="shared" si="52"/>
        <v>1174.7031318970071</v>
      </c>
      <c r="E843" s="5">
        <f t="shared" si="54"/>
        <v>5</v>
      </c>
      <c r="F843" s="4">
        <v>296.75</v>
      </c>
      <c r="G843" s="5" t="s">
        <v>273</v>
      </c>
      <c r="H843">
        <v>50</v>
      </c>
      <c r="I843" s="5">
        <f t="shared" si="53"/>
        <v>293.66975814369101</v>
      </c>
      <c r="J843" s="5">
        <f t="shared" si="55"/>
        <v>5</v>
      </c>
    </row>
    <row r="844" spans="1:10" x14ac:dyDescent="0.2">
      <c r="A844">
        <v>315</v>
      </c>
      <c r="B844" t="s">
        <v>79</v>
      </c>
      <c r="C844">
        <v>70</v>
      </c>
      <c r="D844" s="5">
        <f t="shared" si="52"/>
        <v>932.35930569378297</v>
      </c>
      <c r="E844" s="5">
        <f t="shared" si="54"/>
        <v>4</v>
      </c>
      <c r="F844" s="4">
        <v>297</v>
      </c>
      <c r="G844" s="5" t="s">
        <v>53</v>
      </c>
      <c r="H844">
        <v>55</v>
      </c>
      <c r="I844" s="5">
        <f t="shared" si="53"/>
        <v>392.00377257605692</v>
      </c>
      <c r="J844" s="5">
        <f t="shared" si="55"/>
        <v>5</v>
      </c>
    </row>
    <row r="845" spans="1:10" x14ac:dyDescent="0.2">
      <c r="A845">
        <v>315.5</v>
      </c>
      <c r="B845" t="s">
        <v>114</v>
      </c>
      <c r="C845">
        <v>64</v>
      </c>
      <c r="D845" s="5">
        <f t="shared" si="52"/>
        <v>659.27420622217721</v>
      </c>
      <c r="E845" s="5">
        <f t="shared" si="54"/>
        <v>6</v>
      </c>
      <c r="F845" s="4">
        <v>297.5</v>
      </c>
      <c r="G845" t="s">
        <v>53</v>
      </c>
      <c r="H845">
        <v>55</v>
      </c>
      <c r="I845" s="5">
        <f t="shared" si="53"/>
        <v>392.00377257605692</v>
      </c>
      <c r="J845" s="5">
        <f t="shared" si="55"/>
        <v>0</v>
      </c>
    </row>
    <row r="846" spans="1:10" x14ac:dyDescent="0.2">
      <c r="A846">
        <v>318</v>
      </c>
      <c r="B846" t="s">
        <v>76</v>
      </c>
      <c r="C846">
        <v>72</v>
      </c>
      <c r="D846" s="5">
        <f t="shared" si="52"/>
        <v>1046.5397252143878</v>
      </c>
      <c r="E846" s="5">
        <f t="shared" si="54"/>
        <v>8</v>
      </c>
      <c r="F846" s="4">
        <v>298</v>
      </c>
      <c r="G846" s="5" t="s">
        <v>54</v>
      </c>
      <c r="H846">
        <v>45</v>
      </c>
      <c r="I846" s="5">
        <f t="shared" si="53"/>
        <v>220.00279814001337</v>
      </c>
      <c r="J846" s="5">
        <f t="shared" si="55"/>
        <v>10</v>
      </c>
    </row>
    <row r="847" spans="1:10" x14ac:dyDescent="0.2">
      <c r="A847">
        <v>318.5</v>
      </c>
      <c r="B847" t="s">
        <v>115</v>
      </c>
      <c r="C847">
        <v>77</v>
      </c>
      <c r="D847" s="5">
        <f t="shared" si="52"/>
        <v>1396.9689048949263</v>
      </c>
      <c r="E847" s="5">
        <f t="shared" si="54"/>
        <v>5</v>
      </c>
      <c r="F847" s="4">
        <v>298.25</v>
      </c>
      <c r="G847" s="5" t="s">
        <v>62</v>
      </c>
      <c r="H847">
        <v>53</v>
      </c>
      <c r="I847" s="5">
        <f t="shared" si="53"/>
        <v>349.23506143398839</v>
      </c>
      <c r="J847" s="5">
        <f t="shared" si="55"/>
        <v>8</v>
      </c>
    </row>
    <row r="848" spans="1:10" x14ac:dyDescent="0.2">
      <c r="A848">
        <v>321</v>
      </c>
      <c r="B848" t="s">
        <v>117</v>
      </c>
      <c r="C848">
        <v>71</v>
      </c>
      <c r="D848" s="5">
        <f t="shared" si="52"/>
        <v>987.80111944755811</v>
      </c>
      <c r="E848" s="5">
        <f t="shared" si="54"/>
        <v>6</v>
      </c>
      <c r="F848" s="4">
        <v>298.5</v>
      </c>
      <c r="G848" s="5" t="s">
        <v>53</v>
      </c>
      <c r="H848">
        <v>55</v>
      </c>
      <c r="I848" s="5">
        <f t="shared" si="53"/>
        <v>392.00377257605692</v>
      </c>
      <c r="J848" s="5">
        <f t="shared" si="55"/>
        <v>2</v>
      </c>
    </row>
    <row r="849" spans="1:10" x14ac:dyDescent="0.2">
      <c r="A849">
        <v>322</v>
      </c>
      <c r="B849" t="s">
        <v>116</v>
      </c>
      <c r="C849">
        <v>79</v>
      </c>
      <c r="D849" s="5">
        <f t="shared" si="52"/>
        <v>1568.0472591775074</v>
      </c>
      <c r="E849" s="5">
        <f t="shared" si="54"/>
        <v>8</v>
      </c>
      <c r="F849" s="4">
        <v>298.75</v>
      </c>
      <c r="G849" s="5" t="s">
        <v>273</v>
      </c>
      <c r="H849">
        <v>50</v>
      </c>
      <c r="I849" s="5">
        <f t="shared" si="53"/>
        <v>293.66975814369101</v>
      </c>
      <c r="J849" s="5">
        <f t="shared" si="55"/>
        <v>5</v>
      </c>
    </row>
    <row r="850" spans="1:10" x14ac:dyDescent="0.2">
      <c r="D850" s="4"/>
      <c r="F850" s="4">
        <v>299</v>
      </c>
      <c r="G850" s="5" t="s">
        <v>53</v>
      </c>
      <c r="H850">
        <v>55</v>
      </c>
      <c r="I850" s="5">
        <f t="shared" si="53"/>
        <v>392.00377257605692</v>
      </c>
      <c r="J850" s="5">
        <f t="shared" si="55"/>
        <v>5</v>
      </c>
    </row>
    <row r="851" spans="1:10" x14ac:dyDescent="0.2">
      <c r="D851" s="4"/>
      <c r="F851" s="4">
        <v>299.5</v>
      </c>
      <c r="G851" t="s">
        <v>53</v>
      </c>
      <c r="H851">
        <v>55</v>
      </c>
      <c r="I851" s="5">
        <f t="shared" si="53"/>
        <v>392.00377257605692</v>
      </c>
      <c r="J851" s="5">
        <f t="shared" si="55"/>
        <v>0</v>
      </c>
    </row>
    <row r="852" spans="1:10" x14ac:dyDescent="0.2">
      <c r="D852" s="4"/>
      <c r="F852" s="4">
        <v>300</v>
      </c>
      <c r="G852" s="5" t="s">
        <v>120</v>
      </c>
      <c r="H852">
        <v>48</v>
      </c>
      <c r="I852" s="5">
        <f t="shared" si="53"/>
        <v>261.62956379894968</v>
      </c>
      <c r="J852" s="5">
        <f t="shared" si="55"/>
        <v>7</v>
      </c>
    </row>
    <row r="853" spans="1:10" x14ac:dyDescent="0.2">
      <c r="D853" s="4"/>
      <c r="F853" s="4">
        <v>307.75</v>
      </c>
      <c r="G853" t="s">
        <v>121</v>
      </c>
      <c r="H853">
        <v>52</v>
      </c>
      <c r="I853" s="5">
        <f t="shared" si="53"/>
        <v>329.63372180082422</v>
      </c>
      <c r="J853" s="5">
        <f t="shared" si="55"/>
        <v>4</v>
      </c>
    </row>
    <row r="854" spans="1:10" x14ac:dyDescent="0.2">
      <c r="D854" s="4"/>
      <c r="F854" s="4">
        <v>308</v>
      </c>
      <c r="G854" s="5" t="s">
        <v>53</v>
      </c>
      <c r="H854">
        <v>55</v>
      </c>
      <c r="I854" s="5">
        <f t="shared" si="53"/>
        <v>392.00377257605692</v>
      </c>
      <c r="J854" s="5">
        <f t="shared" si="55"/>
        <v>3</v>
      </c>
    </row>
    <row r="855" spans="1:10" x14ac:dyDescent="0.2">
      <c r="D855" s="4"/>
      <c r="F855" s="4">
        <v>308.5</v>
      </c>
      <c r="G855" s="5" t="s">
        <v>90</v>
      </c>
      <c r="H855">
        <v>64</v>
      </c>
      <c r="I855" s="5">
        <f t="shared" si="53"/>
        <v>659.27420622217721</v>
      </c>
      <c r="J855" s="5">
        <f t="shared" si="55"/>
        <v>9</v>
      </c>
    </row>
    <row r="856" spans="1:10" x14ac:dyDescent="0.2">
      <c r="D856" s="4"/>
      <c r="F856" s="4">
        <v>310.75</v>
      </c>
      <c r="G856" s="5" t="s">
        <v>53</v>
      </c>
      <c r="H856">
        <v>55</v>
      </c>
      <c r="I856" s="5">
        <f t="shared" si="53"/>
        <v>392.00377257605692</v>
      </c>
      <c r="J856" s="5">
        <f t="shared" si="55"/>
        <v>9</v>
      </c>
    </row>
    <row r="857" spans="1:10" x14ac:dyDescent="0.2">
      <c r="D857" s="4"/>
      <c r="F857" s="4">
        <v>311</v>
      </c>
      <c r="G857" s="5" t="s">
        <v>88</v>
      </c>
      <c r="H857">
        <v>57</v>
      </c>
      <c r="I857" s="5">
        <f t="shared" si="53"/>
        <v>440.01010976071973</v>
      </c>
      <c r="J857" s="5">
        <f t="shared" si="55"/>
        <v>2</v>
      </c>
    </row>
    <row r="858" spans="1:10" x14ac:dyDescent="0.2">
      <c r="D858" s="4"/>
      <c r="F858" s="4">
        <v>311.5</v>
      </c>
      <c r="G858" s="5" t="s">
        <v>89</v>
      </c>
      <c r="H858">
        <v>65</v>
      </c>
      <c r="I858" s="5">
        <f t="shared" si="53"/>
        <v>698.47728762097279</v>
      </c>
      <c r="J858" s="5">
        <f t="shared" si="55"/>
        <v>8</v>
      </c>
    </row>
    <row r="859" spans="1:10" x14ac:dyDescent="0.2">
      <c r="D859" s="4"/>
      <c r="F859" s="4">
        <v>313.75</v>
      </c>
      <c r="G859" s="5" t="s">
        <v>91</v>
      </c>
      <c r="H859">
        <v>57</v>
      </c>
      <c r="I859" s="5">
        <f t="shared" si="53"/>
        <v>440.01010976071973</v>
      </c>
      <c r="J859" s="5">
        <f t="shared" si="55"/>
        <v>8</v>
      </c>
    </row>
    <row r="860" spans="1:10" x14ac:dyDescent="0.2">
      <c r="D860" s="4"/>
      <c r="F860" s="4">
        <v>314</v>
      </c>
      <c r="G860" s="5" t="s">
        <v>92</v>
      </c>
      <c r="H860">
        <v>58</v>
      </c>
      <c r="I860" s="5">
        <f t="shared" si="53"/>
        <v>466.17487092753117</v>
      </c>
      <c r="J860" s="5">
        <f t="shared" si="55"/>
        <v>1</v>
      </c>
    </row>
    <row r="861" spans="1:10" x14ac:dyDescent="0.2">
      <c r="D861" s="4"/>
      <c r="F861" s="4">
        <v>314.5</v>
      </c>
      <c r="G861" s="5" t="s">
        <v>93</v>
      </c>
      <c r="H861">
        <v>67</v>
      </c>
      <c r="I861" s="5">
        <f t="shared" si="53"/>
        <v>784.01558732918636</v>
      </c>
      <c r="J861" s="5">
        <f t="shared" si="55"/>
        <v>9</v>
      </c>
    </row>
    <row r="862" spans="1:10" x14ac:dyDescent="0.2">
      <c r="D862" s="4"/>
      <c r="F862" s="4">
        <v>316.75</v>
      </c>
      <c r="G862" s="5" t="s">
        <v>94</v>
      </c>
      <c r="H862">
        <v>58</v>
      </c>
      <c r="I862" s="5">
        <f t="shared" si="53"/>
        <v>466.17487092753117</v>
      </c>
      <c r="J862" s="5">
        <f t="shared" si="55"/>
        <v>9</v>
      </c>
    </row>
    <row r="863" spans="1:10" x14ac:dyDescent="0.2">
      <c r="D863" s="4"/>
      <c r="F863" s="4">
        <v>317</v>
      </c>
      <c r="G863" s="5" t="s">
        <v>95</v>
      </c>
      <c r="H863">
        <v>60</v>
      </c>
      <c r="I863" s="5">
        <f t="shared" si="53"/>
        <v>523.26449507501752</v>
      </c>
      <c r="J863" s="5">
        <f t="shared" si="55"/>
        <v>2</v>
      </c>
    </row>
    <row r="864" spans="1:10" x14ac:dyDescent="0.2">
      <c r="D864" s="4"/>
      <c r="F864" s="4">
        <v>317.5</v>
      </c>
      <c r="G864" s="5" t="s">
        <v>96</v>
      </c>
      <c r="H864">
        <v>69</v>
      </c>
      <c r="I864" s="5">
        <f t="shared" si="53"/>
        <v>880.02924657542201</v>
      </c>
      <c r="J864" s="5">
        <f t="shared" si="55"/>
        <v>9</v>
      </c>
    </row>
    <row r="865" spans="1:12" x14ac:dyDescent="0.2">
      <c r="D865" s="4"/>
      <c r="F865" s="4">
        <v>320</v>
      </c>
      <c r="G865" s="5" t="s">
        <v>97</v>
      </c>
      <c r="H865">
        <v>43</v>
      </c>
      <c r="I865" s="5">
        <f t="shared" si="53"/>
        <v>195.99987576438383</v>
      </c>
      <c r="J865" s="5">
        <f t="shared" si="55"/>
        <v>26</v>
      </c>
    </row>
    <row r="866" spans="1:12" x14ac:dyDescent="0.2">
      <c r="D866" s="4"/>
    </row>
    <row r="867" spans="1:12" x14ac:dyDescent="0.2">
      <c r="D867" s="4"/>
    </row>
    <row r="868" spans="1:12" x14ac:dyDescent="0.2">
      <c r="D868" s="4"/>
    </row>
    <row r="869" spans="1:12" ht="12.95" customHeight="1" x14ac:dyDescent="0.2">
      <c r="A869" s="5" t="s">
        <v>353</v>
      </c>
      <c r="B869" s="5" t="s">
        <v>214</v>
      </c>
      <c r="C869" s="5" t="s">
        <v>215</v>
      </c>
      <c r="D869" s="5" t="s">
        <v>216</v>
      </c>
      <c r="E869" s="5"/>
      <c r="F869" s="5" t="s">
        <v>353</v>
      </c>
      <c r="G869" s="5" t="s">
        <v>98</v>
      </c>
      <c r="H869" s="5" t="s">
        <v>99</v>
      </c>
      <c r="I869" s="5" t="s">
        <v>216</v>
      </c>
      <c r="J869" s="5"/>
      <c r="K869" s="5" t="s">
        <v>402</v>
      </c>
      <c r="L869" s="5"/>
    </row>
    <row r="870" spans="1:12" x14ac:dyDescent="0.2">
      <c r="A870" s="5">
        <v>4</v>
      </c>
      <c r="B870" s="5" t="s">
        <v>247</v>
      </c>
      <c r="C870" s="5">
        <v>50</v>
      </c>
      <c r="D870" s="5">
        <f t="shared" ref="D870:D933" si="56">16.35117682*1.059464^C870</f>
        <v>293.66975814369101</v>
      </c>
      <c r="E870" s="5"/>
      <c r="F870" s="5">
        <v>4</v>
      </c>
      <c r="G870" s="5" t="s">
        <v>335</v>
      </c>
      <c r="H870" s="5">
        <v>45</v>
      </c>
      <c r="I870" s="5">
        <f t="shared" ref="I870:I933" si="57">16.35117682*1.059464^H870</f>
        <v>220.00279814001337</v>
      </c>
      <c r="J870" s="5"/>
      <c r="K870" s="5"/>
      <c r="L870" s="5"/>
    </row>
    <row r="871" spans="1:12" x14ac:dyDescent="0.2">
      <c r="A871" s="5">
        <v>4.5</v>
      </c>
      <c r="B871" s="5" t="s">
        <v>250</v>
      </c>
      <c r="C871" s="5">
        <v>55</v>
      </c>
      <c r="D871" s="5">
        <f t="shared" si="56"/>
        <v>392.00377257605692</v>
      </c>
      <c r="E871" s="5">
        <f t="shared" ref="E871:E934" si="58">ABS( C871-C870)</f>
        <v>5</v>
      </c>
      <c r="F871" s="5">
        <v>4.5</v>
      </c>
      <c r="G871" s="5" t="s">
        <v>250</v>
      </c>
      <c r="H871" s="5">
        <v>55</v>
      </c>
      <c r="I871" s="5">
        <f t="shared" si="57"/>
        <v>392.00377257605692</v>
      </c>
      <c r="J871" s="5">
        <f t="shared" ref="J871:J934" si="59">ABS( H871-H870)</f>
        <v>10</v>
      </c>
      <c r="K871" s="5" t="s">
        <v>355</v>
      </c>
      <c r="L871" s="5" t="s">
        <v>396</v>
      </c>
    </row>
    <row r="872" spans="1:12" x14ac:dyDescent="0.2">
      <c r="A872" s="5">
        <v>5</v>
      </c>
      <c r="B872" s="5" t="s">
        <v>250</v>
      </c>
      <c r="C872" s="5">
        <v>55</v>
      </c>
      <c r="D872" s="5">
        <f t="shared" si="56"/>
        <v>392.00377257605692</v>
      </c>
      <c r="E872" s="5">
        <f t="shared" si="58"/>
        <v>0</v>
      </c>
      <c r="F872" s="5">
        <v>5</v>
      </c>
      <c r="G872" s="5" t="s">
        <v>250</v>
      </c>
      <c r="H872" s="5">
        <v>55</v>
      </c>
      <c r="I872" s="5">
        <f t="shared" si="57"/>
        <v>392.00377257605692</v>
      </c>
      <c r="J872" s="5">
        <f t="shared" si="59"/>
        <v>0</v>
      </c>
      <c r="K872" s="5">
        <f>SUM(E871:E1292)</f>
        <v>1651</v>
      </c>
      <c r="L872" s="5">
        <f>1292-869</f>
        <v>423</v>
      </c>
    </row>
    <row r="873" spans="1:12" x14ac:dyDescent="0.2">
      <c r="A873" s="5">
        <v>6</v>
      </c>
      <c r="B873" s="5" t="s">
        <v>250</v>
      </c>
      <c r="C873" s="5">
        <v>55</v>
      </c>
      <c r="D873" s="5">
        <f t="shared" si="56"/>
        <v>392.00377257605692</v>
      </c>
      <c r="E873" s="5">
        <f t="shared" si="58"/>
        <v>0</v>
      </c>
      <c r="F873" s="5">
        <v>6</v>
      </c>
      <c r="G873" s="5" t="s">
        <v>250</v>
      </c>
      <c r="H873" s="5">
        <v>55</v>
      </c>
      <c r="I873" s="5">
        <f t="shared" si="57"/>
        <v>392.00377257605692</v>
      </c>
      <c r="J873" s="5">
        <f t="shared" si="59"/>
        <v>0</v>
      </c>
      <c r="K873" s="5"/>
      <c r="L873" s="5"/>
    </row>
    <row r="874" spans="1:12" x14ac:dyDescent="0.2">
      <c r="A874" s="5">
        <v>7</v>
      </c>
      <c r="B874" s="5" t="s">
        <v>250</v>
      </c>
      <c r="C874" s="5">
        <v>55</v>
      </c>
      <c r="D874" s="5">
        <f t="shared" si="56"/>
        <v>392.00377257605692</v>
      </c>
      <c r="E874" s="5">
        <f t="shared" si="58"/>
        <v>0</v>
      </c>
      <c r="F874" s="5">
        <v>7</v>
      </c>
      <c r="G874" s="5" t="s">
        <v>250</v>
      </c>
      <c r="H874" s="5">
        <v>55</v>
      </c>
      <c r="I874" s="5">
        <f t="shared" si="57"/>
        <v>392.00377257605692</v>
      </c>
      <c r="J874" s="5">
        <f t="shared" si="59"/>
        <v>0</v>
      </c>
      <c r="K874" s="5" t="s">
        <v>356</v>
      </c>
      <c r="L874" s="5"/>
    </row>
    <row r="875" spans="1:12" x14ac:dyDescent="0.2">
      <c r="A875" s="5">
        <v>8</v>
      </c>
      <c r="B875" s="5" t="s">
        <v>247</v>
      </c>
      <c r="C875" s="5">
        <v>50</v>
      </c>
      <c r="D875" s="5">
        <f t="shared" si="56"/>
        <v>293.66975814369101</v>
      </c>
      <c r="E875" s="5">
        <f t="shared" si="58"/>
        <v>5</v>
      </c>
      <c r="F875" s="5">
        <v>8</v>
      </c>
      <c r="G875" s="5" t="s">
        <v>335</v>
      </c>
      <c r="H875" s="5">
        <v>45</v>
      </c>
      <c r="I875" s="5">
        <f t="shared" si="57"/>
        <v>220.00279814001337</v>
      </c>
      <c r="J875" s="5">
        <f t="shared" si="59"/>
        <v>10</v>
      </c>
      <c r="K875" s="5">
        <f>K872/(L872-1)</f>
        <v>3.9123222748815167</v>
      </c>
      <c r="L875" s="5"/>
    </row>
    <row r="876" spans="1:12" x14ac:dyDescent="0.2">
      <c r="A876" s="5">
        <v>8.5</v>
      </c>
      <c r="B876" s="5" t="s">
        <v>250</v>
      </c>
      <c r="C876" s="5">
        <v>55</v>
      </c>
      <c r="D876" s="5">
        <f t="shared" si="56"/>
        <v>392.00377257605692</v>
      </c>
      <c r="E876" s="5">
        <f t="shared" si="58"/>
        <v>5</v>
      </c>
      <c r="F876" s="5">
        <v>8.5</v>
      </c>
      <c r="G876" s="5" t="s">
        <v>250</v>
      </c>
      <c r="H876" s="5">
        <v>55</v>
      </c>
      <c r="I876" s="5">
        <f t="shared" si="57"/>
        <v>392.00377257605692</v>
      </c>
      <c r="J876" s="5">
        <f t="shared" si="59"/>
        <v>10</v>
      </c>
      <c r="K876" s="5"/>
      <c r="L876" s="5"/>
    </row>
    <row r="877" spans="1:12" x14ac:dyDescent="0.2">
      <c r="A877" s="5">
        <v>9</v>
      </c>
      <c r="B877" s="5" t="s">
        <v>250</v>
      </c>
      <c r="C877" s="5">
        <v>55</v>
      </c>
      <c r="D877" s="5">
        <f t="shared" si="56"/>
        <v>392.00377257605692</v>
      </c>
      <c r="E877" s="5">
        <f t="shared" si="58"/>
        <v>0</v>
      </c>
      <c r="F877" s="5">
        <v>9</v>
      </c>
      <c r="G877" s="5" t="s">
        <v>250</v>
      </c>
      <c r="H877" s="5">
        <v>55</v>
      </c>
      <c r="I877" s="5">
        <f t="shared" si="57"/>
        <v>392.00377257605692</v>
      </c>
      <c r="J877" s="5">
        <f t="shared" si="59"/>
        <v>0</v>
      </c>
      <c r="K877" s="5"/>
      <c r="L877" s="5"/>
    </row>
    <row r="878" spans="1:12" x14ac:dyDescent="0.2">
      <c r="A878" s="5">
        <v>10</v>
      </c>
      <c r="B878" s="5" t="s">
        <v>250</v>
      </c>
      <c r="C878" s="5">
        <v>55</v>
      </c>
      <c r="D878" s="5">
        <f t="shared" si="56"/>
        <v>392.00377257605692</v>
      </c>
      <c r="E878" s="5">
        <f t="shared" si="58"/>
        <v>0</v>
      </c>
      <c r="F878" s="5">
        <v>10</v>
      </c>
      <c r="G878" s="5" t="s">
        <v>250</v>
      </c>
      <c r="H878" s="5">
        <v>55</v>
      </c>
      <c r="I878" s="5">
        <f t="shared" si="57"/>
        <v>392.00377257605692</v>
      </c>
      <c r="J878" s="5">
        <f t="shared" si="59"/>
        <v>0</v>
      </c>
      <c r="K878" s="5" t="s">
        <v>401</v>
      </c>
      <c r="L878" s="5"/>
    </row>
    <row r="879" spans="1:12" x14ac:dyDescent="0.2">
      <c r="A879" s="5">
        <v>11</v>
      </c>
      <c r="B879" s="5" t="s">
        <v>250</v>
      </c>
      <c r="C879" s="5">
        <v>55</v>
      </c>
      <c r="D879" s="5">
        <f t="shared" si="56"/>
        <v>392.00377257605692</v>
      </c>
      <c r="E879" s="5">
        <f t="shared" si="58"/>
        <v>0</v>
      </c>
      <c r="F879" s="5">
        <v>11</v>
      </c>
      <c r="G879" s="5" t="s">
        <v>250</v>
      </c>
      <c r="H879" s="5">
        <v>55</v>
      </c>
      <c r="I879" s="5">
        <f t="shared" si="57"/>
        <v>392.00377257605692</v>
      </c>
      <c r="J879" s="5">
        <f t="shared" si="59"/>
        <v>0</v>
      </c>
      <c r="K879" s="5"/>
      <c r="L879" s="5"/>
    </row>
    <row r="880" spans="1:12" x14ac:dyDescent="0.2">
      <c r="A880" s="5">
        <v>12</v>
      </c>
      <c r="B880" s="5" t="s">
        <v>247</v>
      </c>
      <c r="C880" s="5">
        <v>50</v>
      </c>
      <c r="D880" s="5">
        <f t="shared" si="56"/>
        <v>293.66975814369101</v>
      </c>
      <c r="E880" s="5">
        <f t="shared" si="58"/>
        <v>5</v>
      </c>
      <c r="F880" s="5">
        <v>12</v>
      </c>
      <c r="G880" s="5" t="s">
        <v>335</v>
      </c>
      <c r="H880" s="5">
        <v>45</v>
      </c>
      <c r="I880" s="5">
        <f t="shared" si="57"/>
        <v>220.00279814001337</v>
      </c>
      <c r="J880" s="5">
        <f t="shared" si="59"/>
        <v>10</v>
      </c>
      <c r="K880" s="5" t="s">
        <v>100</v>
      </c>
      <c r="L880" s="5" t="s">
        <v>396</v>
      </c>
    </row>
    <row r="881" spans="1:12" x14ac:dyDescent="0.2">
      <c r="A881" s="5">
        <v>12.5</v>
      </c>
      <c r="B881" s="5" t="s">
        <v>250</v>
      </c>
      <c r="C881" s="5">
        <v>55</v>
      </c>
      <c r="D881" s="5">
        <f t="shared" si="56"/>
        <v>392.00377257605692</v>
      </c>
      <c r="E881" s="5">
        <f t="shared" si="58"/>
        <v>5</v>
      </c>
      <c r="F881" s="5">
        <v>12.5</v>
      </c>
      <c r="G881" s="5" t="s">
        <v>250</v>
      </c>
      <c r="H881" s="5">
        <v>55</v>
      </c>
      <c r="I881" s="5">
        <f t="shared" si="57"/>
        <v>392.00377257605692</v>
      </c>
      <c r="J881" s="5">
        <f t="shared" si="59"/>
        <v>10</v>
      </c>
      <c r="K881" s="5">
        <f>SUM(J871:J1300)</f>
        <v>2200</v>
      </c>
      <c r="L881" s="5">
        <v>431</v>
      </c>
    </row>
    <row r="882" spans="1:12" x14ac:dyDescent="0.2">
      <c r="A882" s="5">
        <v>13</v>
      </c>
      <c r="B882" s="5" t="s">
        <v>250</v>
      </c>
      <c r="C882" s="5">
        <v>55</v>
      </c>
      <c r="D882" s="5">
        <f t="shared" si="56"/>
        <v>392.00377257605692</v>
      </c>
      <c r="E882" s="5">
        <f t="shared" si="58"/>
        <v>0</v>
      </c>
      <c r="F882" s="5">
        <v>13</v>
      </c>
      <c r="G882" s="5" t="s">
        <v>250</v>
      </c>
      <c r="H882" s="5">
        <v>55</v>
      </c>
      <c r="I882" s="5">
        <f t="shared" si="57"/>
        <v>392.00377257605692</v>
      </c>
      <c r="J882" s="5">
        <f t="shared" si="59"/>
        <v>0</v>
      </c>
      <c r="K882" s="5"/>
      <c r="L882" s="5"/>
    </row>
    <row r="883" spans="1:12" x14ac:dyDescent="0.2">
      <c r="A883" s="5">
        <v>14</v>
      </c>
      <c r="B883" s="5" t="s">
        <v>250</v>
      </c>
      <c r="C883" s="5">
        <v>55</v>
      </c>
      <c r="D883" s="5">
        <f t="shared" si="56"/>
        <v>392.00377257605692</v>
      </c>
      <c r="E883" s="5">
        <f t="shared" si="58"/>
        <v>0</v>
      </c>
      <c r="F883" s="5">
        <v>14</v>
      </c>
      <c r="G883" s="5" t="s">
        <v>250</v>
      </c>
      <c r="H883" s="5">
        <v>55</v>
      </c>
      <c r="I883" s="5">
        <f t="shared" si="57"/>
        <v>392.00377257605692</v>
      </c>
      <c r="J883" s="5">
        <f t="shared" si="59"/>
        <v>0</v>
      </c>
      <c r="K883" s="5" t="s">
        <v>236</v>
      </c>
      <c r="L883" s="5"/>
    </row>
    <row r="884" spans="1:12" x14ac:dyDescent="0.2">
      <c r="A884" s="5">
        <v>15</v>
      </c>
      <c r="B884" s="5" t="s">
        <v>250</v>
      </c>
      <c r="C884" s="5">
        <v>55</v>
      </c>
      <c r="D884" s="5">
        <f t="shared" si="56"/>
        <v>392.00377257605692</v>
      </c>
      <c r="E884" s="5">
        <f t="shared" si="58"/>
        <v>0</v>
      </c>
      <c r="F884" s="5">
        <v>15</v>
      </c>
      <c r="G884" s="5" t="s">
        <v>250</v>
      </c>
      <c r="H884" s="5">
        <v>55</v>
      </c>
      <c r="I884" s="5">
        <f t="shared" si="57"/>
        <v>392.00377257605692</v>
      </c>
      <c r="J884" s="5">
        <f t="shared" si="59"/>
        <v>0</v>
      </c>
      <c r="K884" s="5">
        <f>K881/(L881-1)</f>
        <v>5.1162790697674421</v>
      </c>
      <c r="L884" s="5"/>
    </row>
    <row r="885" spans="1:12" x14ac:dyDescent="0.2">
      <c r="A885" s="5">
        <v>16</v>
      </c>
      <c r="B885" s="5" t="s">
        <v>247</v>
      </c>
      <c r="C885" s="5">
        <v>50</v>
      </c>
      <c r="D885" s="5">
        <f t="shared" si="56"/>
        <v>293.66975814369101</v>
      </c>
      <c r="E885" s="5">
        <f t="shared" si="58"/>
        <v>5</v>
      </c>
      <c r="F885" s="5">
        <v>16</v>
      </c>
      <c r="G885" s="5" t="s">
        <v>335</v>
      </c>
      <c r="H885" s="5">
        <v>45</v>
      </c>
      <c r="I885" s="5">
        <f t="shared" si="57"/>
        <v>220.00279814001337</v>
      </c>
      <c r="J885" s="5">
        <f t="shared" si="59"/>
        <v>10</v>
      </c>
    </row>
    <row r="886" spans="1:12" x14ac:dyDescent="0.2">
      <c r="A886" s="5">
        <v>16.5</v>
      </c>
      <c r="B886" s="5" t="s">
        <v>250</v>
      </c>
      <c r="C886" s="5">
        <v>55</v>
      </c>
      <c r="D886" s="5">
        <f t="shared" si="56"/>
        <v>392.00377257605692</v>
      </c>
      <c r="E886" s="5">
        <f t="shared" si="58"/>
        <v>5</v>
      </c>
      <c r="F886" s="5">
        <v>16.5</v>
      </c>
      <c r="G886" s="5" t="s">
        <v>250</v>
      </c>
      <c r="H886" s="5">
        <v>55</v>
      </c>
      <c r="I886" s="5">
        <f t="shared" si="57"/>
        <v>392.00377257605692</v>
      </c>
      <c r="J886" s="5">
        <f t="shared" si="59"/>
        <v>10</v>
      </c>
    </row>
    <row r="887" spans="1:12" x14ac:dyDescent="0.2">
      <c r="A887" s="5">
        <v>17</v>
      </c>
      <c r="B887" s="5" t="s">
        <v>250</v>
      </c>
      <c r="C887" s="5">
        <v>55</v>
      </c>
      <c r="D887" s="5">
        <f t="shared" si="56"/>
        <v>392.00377257605692</v>
      </c>
      <c r="E887" s="5">
        <f t="shared" si="58"/>
        <v>0</v>
      </c>
      <c r="F887" s="5">
        <v>17</v>
      </c>
      <c r="G887" s="5" t="s">
        <v>250</v>
      </c>
      <c r="H887" s="5">
        <v>55</v>
      </c>
      <c r="I887" s="5">
        <f t="shared" si="57"/>
        <v>392.00377257605692</v>
      </c>
      <c r="J887" s="5">
        <f t="shared" si="59"/>
        <v>0</v>
      </c>
    </row>
    <row r="888" spans="1:12" x14ac:dyDescent="0.2">
      <c r="A888" s="5">
        <v>18</v>
      </c>
      <c r="B888" s="5" t="s">
        <v>250</v>
      </c>
      <c r="C888" s="5">
        <v>55</v>
      </c>
      <c r="D888" s="5">
        <f t="shared" si="56"/>
        <v>392.00377257605692</v>
      </c>
      <c r="E888" s="5">
        <f t="shared" si="58"/>
        <v>0</v>
      </c>
      <c r="F888" s="5">
        <v>18</v>
      </c>
      <c r="G888" s="5" t="s">
        <v>250</v>
      </c>
      <c r="H888" s="5">
        <v>55</v>
      </c>
      <c r="I888" s="5">
        <f t="shared" si="57"/>
        <v>392.00377257605692</v>
      </c>
      <c r="J888" s="5">
        <f t="shared" si="59"/>
        <v>0</v>
      </c>
    </row>
    <row r="889" spans="1:12" x14ac:dyDescent="0.2">
      <c r="A889" s="5">
        <v>19</v>
      </c>
      <c r="B889" s="5" t="s">
        <v>250</v>
      </c>
      <c r="C889" s="5">
        <v>55</v>
      </c>
      <c r="D889" s="5">
        <f t="shared" si="56"/>
        <v>392.00377257605692</v>
      </c>
      <c r="E889" s="5">
        <f t="shared" si="58"/>
        <v>0</v>
      </c>
      <c r="F889" s="5">
        <v>19</v>
      </c>
      <c r="G889" s="5" t="s">
        <v>250</v>
      </c>
      <c r="H889" s="5">
        <v>55</v>
      </c>
      <c r="I889" s="5">
        <f t="shared" si="57"/>
        <v>392.00377257605692</v>
      </c>
      <c r="J889" s="5">
        <f t="shared" si="59"/>
        <v>0</v>
      </c>
    </row>
    <row r="890" spans="1:12" x14ac:dyDescent="0.2">
      <c r="A890" s="5">
        <v>20</v>
      </c>
      <c r="B890" s="5" t="s">
        <v>247</v>
      </c>
      <c r="C890" s="5">
        <v>50</v>
      </c>
      <c r="D890" s="5">
        <f t="shared" si="56"/>
        <v>293.66975814369101</v>
      </c>
      <c r="E890" s="5">
        <f t="shared" si="58"/>
        <v>5</v>
      </c>
      <c r="F890" s="5">
        <v>20</v>
      </c>
      <c r="G890" s="5" t="s">
        <v>337</v>
      </c>
      <c r="H890" s="5">
        <v>45</v>
      </c>
      <c r="I890" s="5">
        <f t="shared" si="57"/>
        <v>220.00279814001337</v>
      </c>
      <c r="J890" s="5">
        <f t="shared" si="59"/>
        <v>10</v>
      </c>
    </row>
    <row r="891" spans="1:12" x14ac:dyDescent="0.2">
      <c r="A891" s="5">
        <v>20.5</v>
      </c>
      <c r="B891" s="5" t="s">
        <v>249</v>
      </c>
      <c r="C891" s="5">
        <v>59</v>
      </c>
      <c r="D891" s="5">
        <f t="shared" si="56"/>
        <v>493.89549345236594</v>
      </c>
      <c r="E891" s="5">
        <f t="shared" si="58"/>
        <v>9</v>
      </c>
      <c r="F891" s="5">
        <v>20.5</v>
      </c>
      <c r="G891" s="5" t="s">
        <v>338</v>
      </c>
      <c r="H891" s="5">
        <v>55</v>
      </c>
      <c r="I891" s="5">
        <f t="shared" si="57"/>
        <v>392.00377257605692</v>
      </c>
      <c r="J891" s="5">
        <f t="shared" si="59"/>
        <v>10</v>
      </c>
    </row>
    <row r="892" spans="1:12" x14ac:dyDescent="0.2">
      <c r="A892" s="5">
        <v>21</v>
      </c>
      <c r="B892" s="5" t="s">
        <v>249</v>
      </c>
      <c r="C892" s="5">
        <v>59</v>
      </c>
      <c r="D892" s="5">
        <f t="shared" si="56"/>
        <v>493.89549345236594</v>
      </c>
      <c r="E892" s="5">
        <f t="shared" si="58"/>
        <v>0</v>
      </c>
      <c r="F892" s="5">
        <v>21</v>
      </c>
      <c r="G892" s="5" t="s">
        <v>250</v>
      </c>
      <c r="H892" s="5">
        <v>55</v>
      </c>
      <c r="I892" s="5">
        <f t="shared" si="57"/>
        <v>392.00377257605692</v>
      </c>
      <c r="J892" s="5">
        <f t="shared" si="59"/>
        <v>0</v>
      </c>
    </row>
    <row r="893" spans="1:12" x14ac:dyDescent="0.2">
      <c r="A893" s="5">
        <v>21.75</v>
      </c>
      <c r="B893" s="5" t="s">
        <v>247</v>
      </c>
      <c r="C893" s="5">
        <v>50</v>
      </c>
      <c r="D893" s="5">
        <f t="shared" si="56"/>
        <v>293.66975814369101</v>
      </c>
      <c r="E893" s="5">
        <f t="shared" si="58"/>
        <v>9</v>
      </c>
      <c r="F893" s="5">
        <v>21.75</v>
      </c>
      <c r="G893" s="5" t="s">
        <v>340</v>
      </c>
      <c r="H893" s="5">
        <v>50</v>
      </c>
      <c r="I893" s="5">
        <f t="shared" si="57"/>
        <v>293.66975814369101</v>
      </c>
      <c r="J893" s="5">
        <f t="shared" si="59"/>
        <v>5</v>
      </c>
    </row>
    <row r="894" spans="1:12" x14ac:dyDescent="0.2">
      <c r="A894" s="5">
        <v>22.5</v>
      </c>
      <c r="B894" s="5" t="s">
        <v>250</v>
      </c>
      <c r="C894" s="5">
        <v>55</v>
      </c>
      <c r="D894" s="5">
        <f t="shared" si="56"/>
        <v>392.00377257605692</v>
      </c>
      <c r="E894" s="5">
        <f t="shared" si="58"/>
        <v>5</v>
      </c>
      <c r="F894" s="5">
        <v>22.5</v>
      </c>
      <c r="G894" s="5" t="s">
        <v>250</v>
      </c>
      <c r="H894" s="5">
        <v>55</v>
      </c>
      <c r="I894" s="5">
        <f t="shared" si="57"/>
        <v>392.00377257605692</v>
      </c>
      <c r="J894" s="5">
        <f t="shared" si="59"/>
        <v>5</v>
      </c>
    </row>
    <row r="895" spans="1:12" x14ac:dyDescent="0.2">
      <c r="A895" s="5">
        <v>23.5</v>
      </c>
      <c r="B895" s="5" t="s">
        <v>250</v>
      </c>
      <c r="C895" s="5">
        <v>55</v>
      </c>
      <c r="D895" s="5">
        <f t="shared" si="56"/>
        <v>392.00377257605692</v>
      </c>
      <c r="E895" s="5">
        <f t="shared" si="58"/>
        <v>0</v>
      </c>
      <c r="F895" s="5">
        <v>23.5</v>
      </c>
      <c r="G895" s="5" t="s">
        <v>247</v>
      </c>
      <c r="H895" s="5">
        <v>50</v>
      </c>
      <c r="I895" s="5">
        <f t="shared" si="57"/>
        <v>293.66975814369101</v>
      </c>
      <c r="J895" s="5">
        <f t="shared" si="59"/>
        <v>5</v>
      </c>
    </row>
    <row r="896" spans="1:12" x14ac:dyDescent="0.2">
      <c r="A896" s="5">
        <v>24.25</v>
      </c>
      <c r="B896" s="5" t="s">
        <v>248</v>
      </c>
      <c r="C896" s="5">
        <v>57</v>
      </c>
      <c r="D896" s="5">
        <f t="shared" si="56"/>
        <v>440.01010976071973</v>
      </c>
      <c r="E896" s="5">
        <f t="shared" si="58"/>
        <v>2</v>
      </c>
      <c r="F896" s="5">
        <v>24.25</v>
      </c>
      <c r="G896" s="5" t="s">
        <v>202</v>
      </c>
      <c r="H896" s="5">
        <v>53</v>
      </c>
      <c r="I896" s="5">
        <f t="shared" si="57"/>
        <v>349.23506143398839</v>
      </c>
      <c r="J896" s="5">
        <f t="shared" si="59"/>
        <v>3</v>
      </c>
    </row>
    <row r="897" spans="1:10" x14ac:dyDescent="0.2">
      <c r="A897" s="5">
        <v>24.75</v>
      </c>
      <c r="B897" s="5" t="s">
        <v>250</v>
      </c>
      <c r="C897" s="5">
        <v>55</v>
      </c>
      <c r="D897" s="5">
        <f t="shared" si="56"/>
        <v>392.00377257605692</v>
      </c>
      <c r="E897" s="5">
        <f t="shared" si="58"/>
        <v>2</v>
      </c>
      <c r="F897" s="5">
        <v>24.75</v>
      </c>
      <c r="G897" s="5" t="s">
        <v>247</v>
      </c>
      <c r="H897" s="5">
        <v>50</v>
      </c>
      <c r="I897" s="5">
        <f t="shared" si="57"/>
        <v>293.66975814369101</v>
      </c>
      <c r="J897" s="5">
        <f t="shared" si="59"/>
        <v>3</v>
      </c>
    </row>
    <row r="898" spans="1:10" x14ac:dyDescent="0.2">
      <c r="A898" s="5">
        <v>25.5</v>
      </c>
      <c r="B898" s="5" t="s">
        <v>250</v>
      </c>
      <c r="C898" s="5">
        <v>55</v>
      </c>
      <c r="D898" s="5">
        <f t="shared" si="56"/>
        <v>392.00377257605692</v>
      </c>
      <c r="E898" s="5">
        <f t="shared" si="58"/>
        <v>0</v>
      </c>
      <c r="F898" s="5">
        <v>25.5</v>
      </c>
      <c r="G898" s="5" t="s">
        <v>341</v>
      </c>
      <c r="H898" s="5">
        <v>59</v>
      </c>
      <c r="I898" s="5">
        <f t="shared" si="57"/>
        <v>493.89549345236594</v>
      </c>
      <c r="J898" s="5">
        <f t="shared" si="59"/>
        <v>9</v>
      </c>
    </row>
    <row r="899" spans="1:10" x14ac:dyDescent="0.2">
      <c r="A899" s="5">
        <v>26</v>
      </c>
      <c r="B899" s="5" t="s">
        <v>249</v>
      </c>
      <c r="C899" s="5">
        <v>59</v>
      </c>
      <c r="D899" s="5">
        <f t="shared" si="56"/>
        <v>493.89549345236594</v>
      </c>
      <c r="E899" s="5">
        <f t="shared" si="58"/>
        <v>4</v>
      </c>
      <c r="F899" s="5">
        <v>26</v>
      </c>
      <c r="G899" s="5" t="s">
        <v>250</v>
      </c>
      <c r="H899" s="5">
        <v>55</v>
      </c>
      <c r="I899" s="5">
        <f t="shared" si="57"/>
        <v>392.00377257605692</v>
      </c>
      <c r="J899" s="5">
        <f t="shared" si="59"/>
        <v>4</v>
      </c>
    </row>
    <row r="900" spans="1:10" x14ac:dyDescent="0.2">
      <c r="A900" s="5">
        <v>27</v>
      </c>
      <c r="B900" s="5" t="s">
        <v>285</v>
      </c>
      <c r="C900" s="5">
        <v>62</v>
      </c>
      <c r="D900" s="5">
        <f t="shared" si="56"/>
        <v>587.34554108704231</v>
      </c>
      <c r="E900" s="5">
        <f t="shared" si="58"/>
        <v>3</v>
      </c>
      <c r="F900" s="5">
        <v>27</v>
      </c>
      <c r="G900" s="5" t="s">
        <v>249</v>
      </c>
      <c r="H900" s="5">
        <v>59</v>
      </c>
      <c r="I900" s="5">
        <f t="shared" si="57"/>
        <v>493.89549345236594</v>
      </c>
      <c r="J900" s="5">
        <f t="shared" si="59"/>
        <v>4</v>
      </c>
    </row>
    <row r="901" spans="1:10" x14ac:dyDescent="0.2">
      <c r="A901" s="5">
        <v>28</v>
      </c>
      <c r="B901" s="5" t="s">
        <v>375</v>
      </c>
      <c r="C901" s="5">
        <v>50</v>
      </c>
      <c r="D901" s="5">
        <f t="shared" si="56"/>
        <v>293.66975814369101</v>
      </c>
      <c r="E901" s="5">
        <f t="shared" si="58"/>
        <v>12</v>
      </c>
      <c r="F901" s="5">
        <v>28</v>
      </c>
      <c r="G901" s="5" t="s">
        <v>337</v>
      </c>
      <c r="H901" s="5">
        <v>45</v>
      </c>
      <c r="I901" s="5">
        <f t="shared" si="57"/>
        <v>220.00279814001337</v>
      </c>
      <c r="J901" s="5">
        <f t="shared" si="59"/>
        <v>14</v>
      </c>
    </row>
    <row r="902" spans="1:10" x14ac:dyDescent="0.2">
      <c r="A902" s="5">
        <v>28.5</v>
      </c>
      <c r="B902" s="5" t="s">
        <v>381</v>
      </c>
      <c r="C902" s="5">
        <v>57</v>
      </c>
      <c r="D902" s="5">
        <f t="shared" si="56"/>
        <v>440.01010976071973</v>
      </c>
      <c r="E902" s="5">
        <f t="shared" si="58"/>
        <v>7</v>
      </c>
      <c r="F902" s="5">
        <v>28.5</v>
      </c>
      <c r="G902" s="5" t="s">
        <v>202</v>
      </c>
      <c r="H902" s="5">
        <v>53</v>
      </c>
      <c r="I902" s="5">
        <f t="shared" si="57"/>
        <v>349.23506143398839</v>
      </c>
      <c r="J902" s="5">
        <f t="shared" si="59"/>
        <v>8</v>
      </c>
    </row>
    <row r="903" spans="1:10" x14ac:dyDescent="0.2">
      <c r="A903" s="5">
        <v>29</v>
      </c>
      <c r="B903" s="5" t="s">
        <v>248</v>
      </c>
      <c r="C903" s="5">
        <v>57</v>
      </c>
      <c r="D903" s="5">
        <f t="shared" si="56"/>
        <v>440.01010976071973</v>
      </c>
      <c r="E903" s="5">
        <f t="shared" si="58"/>
        <v>0</v>
      </c>
      <c r="F903" s="5">
        <v>29</v>
      </c>
      <c r="G903" s="5" t="s">
        <v>202</v>
      </c>
      <c r="H903" s="5">
        <v>53</v>
      </c>
      <c r="I903" s="5">
        <f t="shared" si="57"/>
        <v>349.23506143398839</v>
      </c>
      <c r="J903" s="5">
        <f t="shared" si="59"/>
        <v>0</v>
      </c>
    </row>
    <row r="904" spans="1:10" x14ac:dyDescent="0.2">
      <c r="A904" s="5">
        <v>29.75</v>
      </c>
      <c r="B904" s="5" t="s">
        <v>247</v>
      </c>
      <c r="C904" s="5">
        <v>50</v>
      </c>
      <c r="D904" s="5">
        <f t="shared" si="56"/>
        <v>293.66975814369101</v>
      </c>
      <c r="E904" s="5">
        <f t="shared" si="58"/>
        <v>7</v>
      </c>
      <c r="F904" s="5">
        <v>29.75</v>
      </c>
      <c r="G904" s="5" t="s">
        <v>247</v>
      </c>
      <c r="H904" s="5">
        <v>50</v>
      </c>
      <c r="I904" s="5">
        <f t="shared" si="57"/>
        <v>293.66975814369101</v>
      </c>
      <c r="J904" s="5">
        <f t="shared" si="59"/>
        <v>3</v>
      </c>
    </row>
    <row r="905" spans="1:10" x14ac:dyDescent="0.2">
      <c r="A905" s="5">
        <v>30.5</v>
      </c>
      <c r="B905" s="5" t="s">
        <v>250</v>
      </c>
      <c r="C905" s="5">
        <v>55</v>
      </c>
      <c r="D905" s="5">
        <f t="shared" si="56"/>
        <v>392.00377257605692</v>
      </c>
      <c r="E905" s="5">
        <f t="shared" si="58"/>
        <v>5</v>
      </c>
      <c r="F905" s="5">
        <v>30.5</v>
      </c>
      <c r="G905" s="5" t="s">
        <v>250</v>
      </c>
      <c r="H905" s="5">
        <v>55</v>
      </c>
      <c r="I905" s="5">
        <f t="shared" si="57"/>
        <v>392.00377257605692</v>
      </c>
      <c r="J905" s="5">
        <f t="shared" si="59"/>
        <v>5</v>
      </c>
    </row>
    <row r="906" spans="1:10" x14ac:dyDescent="0.2">
      <c r="A906" s="5">
        <v>31.5</v>
      </c>
      <c r="B906" s="5" t="s">
        <v>250</v>
      </c>
      <c r="C906" s="5">
        <v>55</v>
      </c>
      <c r="D906" s="5">
        <f t="shared" si="56"/>
        <v>392.00377257605692</v>
      </c>
      <c r="E906" s="5">
        <f t="shared" si="58"/>
        <v>0</v>
      </c>
      <c r="F906" s="5">
        <v>31.5</v>
      </c>
      <c r="G906" s="5" t="s">
        <v>247</v>
      </c>
      <c r="H906" s="5">
        <v>50</v>
      </c>
      <c r="I906" s="5">
        <f t="shared" si="57"/>
        <v>293.66975814369101</v>
      </c>
      <c r="J906" s="5">
        <f t="shared" si="59"/>
        <v>5</v>
      </c>
    </row>
    <row r="907" spans="1:10" x14ac:dyDescent="0.2">
      <c r="A907" s="5">
        <v>32.25</v>
      </c>
      <c r="B907" s="5" t="s">
        <v>423</v>
      </c>
      <c r="C907" s="5">
        <v>52</v>
      </c>
      <c r="D907" s="5">
        <f t="shared" si="56"/>
        <v>329.63372180082422</v>
      </c>
      <c r="E907" s="5">
        <f t="shared" si="58"/>
        <v>3</v>
      </c>
      <c r="F907" s="5">
        <v>32.25</v>
      </c>
      <c r="G907" s="5" t="s">
        <v>385</v>
      </c>
      <c r="H907" s="5">
        <v>47</v>
      </c>
      <c r="I907" s="5">
        <f t="shared" si="57"/>
        <v>246.94521361646048</v>
      </c>
      <c r="J907" s="5">
        <f t="shared" si="59"/>
        <v>3</v>
      </c>
    </row>
    <row r="908" spans="1:10" x14ac:dyDescent="0.2">
      <c r="A908" s="5">
        <v>32.75</v>
      </c>
      <c r="B908" s="5" t="s">
        <v>250</v>
      </c>
      <c r="C908" s="5">
        <v>55</v>
      </c>
      <c r="D908" s="5">
        <f t="shared" si="56"/>
        <v>392.00377257605692</v>
      </c>
      <c r="E908" s="5">
        <f t="shared" si="58"/>
        <v>3</v>
      </c>
      <c r="F908" s="5">
        <v>32.75</v>
      </c>
      <c r="G908" s="5" t="s">
        <v>247</v>
      </c>
      <c r="H908" s="5">
        <v>50</v>
      </c>
      <c r="I908" s="5">
        <f t="shared" si="57"/>
        <v>293.66975814369101</v>
      </c>
      <c r="J908" s="5">
        <f t="shared" si="59"/>
        <v>3</v>
      </c>
    </row>
    <row r="909" spans="1:10" x14ac:dyDescent="0.2">
      <c r="A909" s="5">
        <v>33.5</v>
      </c>
      <c r="B909" s="5" t="s">
        <v>250</v>
      </c>
      <c r="C909" s="5">
        <v>55</v>
      </c>
      <c r="D909" s="5">
        <f t="shared" si="56"/>
        <v>392.00377257605692</v>
      </c>
      <c r="E909" s="5">
        <f t="shared" si="58"/>
        <v>0</v>
      </c>
      <c r="F909" s="5">
        <v>33.5</v>
      </c>
      <c r="G909" s="5" t="s">
        <v>38</v>
      </c>
      <c r="H909" s="5">
        <v>52</v>
      </c>
      <c r="I909" s="5">
        <f t="shared" si="57"/>
        <v>329.63372180082422</v>
      </c>
      <c r="J909" s="5">
        <f t="shared" si="59"/>
        <v>2</v>
      </c>
    </row>
    <row r="910" spans="1:10" x14ac:dyDescent="0.2">
      <c r="A910" s="5">
        <v>34.5</v>
      </c>
      <c r="B910" s="5" t="s">
        <v>250</v>
      </c>
      <c r="C910" s="5">
        <v>55</v>
      </c>
      <c r="D910" s="5">
        <f t="shared" si="56"/>
        <v>392.00377257605692</v>
      </c>
      <c r="E910" s="5">
        <f t="shared" si="58"/>
        <v>0</v>
      </c>
      <c r="F910" s="5">
        <v>34</v>
      </c>
      <c r="G910" s="5" t="s">
        <v>386</v>
      </c>
      <c r="H910" s="5">
        <v>48</v>
      </c>
      <c r="I910" s="5">
        <f t="shared" si="57"/>
        <v>261.62956379894968</v>
      </c>
      <c r="J910" s="5">
        <f t="shared" si="59"/>
        <v>4</v>
      </c>
    </row>
    <row r="911" spans="1:10" x14ac:dyDescent="0.2">
      <c r="A911" s="5">
        <v>35.5</v>
      </c>
      <c r="B911" s="5" t="s">
        <v>250</v>
      </c>
      <c r="C911" s="5">
        <v>55</v>
      </c>
      <c r="D911" s="5">
        <f t="shared" si="56"/>
        <v>392.00377257605692</v>
      </c>
      <c r="E911" s="5">
        <f t="shared" si="58"/>
        <v>0</v>
      </c>
      <c r="F911" s="5">
        <v>35</v>
      </c>
      <c r="G911" s="5" t="s">
        <v>38</v>
      </c>
      <c r="H911" s="5">
        <v>52</v>
      </c>
      <c r="I911" s="5">
        <f t="shared" si="57"/>
        <v>329.63372180082422</v>
      </c>
      <c r="J911" s="5">
        <f t="shared" si="59"/>
        <v>4</v>
      </c>
    </row>
    <row r="912" spans="1:10" x14ac:dyDescent="0.2">
      <c r="A912" s="5">
        <v>36.25</v>
      </c>
      <c r="B912" s="5" t="s">
        <v>248</v>
      </c>
      <c r="C912" s="5">
        <v>57</v>
      </c>
      <c r="D912" s="5">
        <f t="shared" si="56"/>
        <v>440.01010976071973</v>
      </c>
      <c r="E912" s="5">
        <f t="shared" si="58"/>
        <v>2</v>
      </c>
      <c r="F912" s="5">
        <v>36</v>
      </c>
      <c r="G912" s="5" t="s">
        <v>337</v>
      </c>
      <c r="H912" s="5">
        <v>45</v>
      </c>
      <c r="I912" s="5">
        <f t="shared" si="57"/>
        <v>220.00279814001337</v>
      </c>
      <c r="J912" s="5">
        <f t="shared" si="59"/>
        <v>7</v>
      </c>
    </row>
    <row r="913" spans="1:10" x14ac:dyDescent="0.2">
      <c r="A913" s="5">
        <v>36.75</v>
      </c>
      <c r="B913" s="5" t="s">
        <v>250</v>
      </c>
      <c r="C913" s="5">
        <v>55</v>
      </c>
      <c r="D913" s="5">
        <f t="shared" si="56"/>
        <v>392.00377257605692</v>
      </c>
      <c r="E913" s="5">
        <f t="shared" si="58"/>
        <v>2</v>
      </c>
      <c r="F913" s="5">
        <v>36.5</v>
      </c>
      <c r="G913" s="5" t="s">
        <v>338</v>
      </c>
      <c r="H913" s="5">
        <v>55</v>
      </c>
      <c r="I913" s="5">
        <f t="shared" si="57"/>
        <v>392.00377257605692</v>
      </c>
      <c r="J913" s="5">
        <f t="shared" si="59"/>
        <v>10</v>
      </c>
    </row>
    <row r="914" spans="1:10" x14ac:dyDescent="0.2">
      <c r="A914" s="5">
        <v>37.5</v>
      </c>
      <c r="B914" s="5" t="s">
        <v>250</v>
      </c>
      <c r="C914" s="5">
        <v>55</v>
      </c>
      <c r="D914" s="5">
        <f t="shared" si="56"/>
        <v>392.00377257605692</v>
      </c>
      <c r="E914" s="5">
        <f t="shared" si="58"/>
        <v>0</v>
      </c>
      <c r="F914" s="5">
        <v>37</v>
      </c>
      <c r="G914" s="5" t="s">
        <v>250</v>
      </c>
      <c r="H914" s="5">
        <v>55</v>
      </c>
      <c r="I914" s="5">
        <f t="shared" si="57"/>
        <v>392.00377257605692</v>
      </c>
      <c r="J914" s="5">
        <f t="shared" si="59"/>
        <v>0</v>
      </c>
    </row>
    <row r="915" spans="1:10" x14ac:dyDescent="0.2">
      <c r="A915" s="5">
        <v>38</v>
      </c>
      <c r="B915" s="5" t="s">
        <v>249</v>
      </c>
      <c r="C915" s="5">
        <v>59</v>
      </c>
      <c r="D915" s="5">
        <f t="shared" si="56"/>
        <v>493.89549345236594</v>
      </c>
      <c r="E915" s="5">
        <f t="shared" si="58"/>
        <v>4</v>
      </c>
      <c r="F915" s="5">
        <v>37.75</v>
      </c>
      <c r="G915" s="5" t="s">
        <v>340</v>
      </c>
      <c r="H915" s="5">
        <v>50</v>
      </c>
      <c r="I915" s="5">
        <f t="shared" si="57"/>
        <v>293.66975814369101</v>
      </c>
      <c r="J915" s="5">
        <f t="shared" si="59"/>
        <v>5</v>
      </c>
    </row>
    <row r="916" spans="1:10" x14ac:dyDescent="0.2">
      <c r="A916" s="5">
        <v>39</v>
      </c>
      <c r="B916" s="5" t="s">
        <v>285</v>
      </c>
      <c r="C916" s="5">
        <v>62</v>
      </c>
      <c r="D916" s="5">
        <f t="shared" si="56"/>
        <v>587.34554108704231</v>
      </c>
      <c r="E916" s="5">
        <f t="shared" si="58"/>
        <v>3</v>
      </c>
      <c r="F916" s="5">
        <v>38.5</v>
      </c>
      <c r="G916" s="5" t="s">
        <v>250</v>
      </c>
      <c r="H916" s="5">
        <v>55</v>
      </c>
      <c r="I916" s="5">
        <f t="shared" si="57"/>
        <v>392.00377257605692</v>
      </c>
      <c r="J916" s="5">
        <f t="shared" si="59"/>
        <v>5</v>
      </c>
    </row>
    <row r="917" spans="1:10" x14ac:dyDescent="0.2">
      <c r="A917" s="5">
        <v>40</v>
      </c>
      <c r="B917" s="5" t="s">
        <v>288</v>
      </c>
      <c r="C917" s="5">
        <v>50</v>
      </c>
      <c r="D917" s="5">
        <f t="shared" si="56"/>
        <v>293.66975814369101</v>
      </c>
      <c r="E917" s="5">
        <f t="shared" si="58"/>
        <v>12</v>
      </c>
      <c r="F917" s="5">
        <v>39.5</v>
      </c>
      <c r="G917" s="5" t="s">
        <v>247</v>
      </c>
      <c r="H917" s="5">
        <v>50</v>
      </c>
      <c r="I917" s="5">
        <f t="shared" si="57"/>
        <v>293.66975814369101</v>
      </c>
      <c r="J917" s="5">
        <f t="shared" si="59"/>
        <v>5</v>
      </c>
    </row>
    <row r="918" spans="1:10" x14ac:dyDescent="0.2">
      <c r="A918" s="5">
        <v>40.5</v>
      </c>
      <c r="B918" s="5" t="s">
        <v>249</v>
      </c>
      <c r="C918" s="5">
        <v>59</v>
      </c>
      <c r="D918" s="5">
        <f t="shared" si="56"/>
        <v>493.89549345236594</v>
      </c>
      <c r="E918" s="5">
        <f t="shared" si="58"/>
        <v>9</v>
      </c>
      <c r="F918" s="5">
        <v>40.25</v>
      </c>
      <c r="G918" s="5" t="s">
        <v>202</v>
      </c>
      <c r="H918" s="5">
        <v>53</v>
      </c>
      <c r="I918" s="5">
        <f t="shared" si="57"/>
        <v>349.23506143398839</v>
      </c>
      <c r="J918" s="5">
        <f t="shared" si="59"/>
        <v>3</v>
      </c>
    </row>
    <row r="919" spans="1:10" x14ac:dyDescent="0.2">
      <c r="A919" s="5">
        <v>41</v>
      </c>
      <c r="B919" s="5" t="s">
        <v>249</v>
      </c>
      <c r="C919" s="5">
        <v>59</v>
      </c>
      <c r="D919" s="5">
        <f t="shared" si="56"/>
        <v>493.89549345236594</v>
      </c>
      <c r="E919" s="5">
        <f t="shared" si="58"/>
        <v>0</v>
      </c>
      <c r="F919" s="5">
        <v>40.75</v>
      </c>
      <c r="G919" s="5" t="s">
        <v>247</v>
      </c>
      <c r="H919" s="5">
        <v>50</v>
      </c>
      <c r="I919" s="5">
        <f t="shared" si="57"/>
        <v>293.66975814369101</v>
      </c>
      <c r="J919" s="5">
        <f t="shared" si="59"/>
        <v>3</v>
      </c>
    </row>
    <row r="920" spans="1:10" x14ac:dyDescent="0.2">
      <c r="A920" s="5">
        <v>41.75</v>
      </c>
      <c r="B920" s="5" t="s">
        <v>373</v>
      </c>
      <c r="C920" s="5">
        <v>50</v>
      </c>
      <c r="D920" s="5">
        <f t="shared" si="56"/>
        <v>293.66975814369101</v>
      </c>
      <c r="E920" s="5">
        <f t="shared" si="58"/>
        <v>9</v>
      </c>
      <c r="F920" s="5">
        <v>41.5</v>
      </c>
      <c r="G920" s="5" t="s">
        <v>341</v>
      </c>
      <c r="H920" s="5">
        <v>59</v>
      </c>
      <c r="I920" s="5">
        <f t="shared" si="57"/>
        <v>493.89549345236594</v>
      </c>
      <c r="J920" s="5">
        <f t="shared" si="59"/>
        <v>9</v>
      </c>
    </row>
    <row r="921" spans="1:10" x14ac:dyDescent="0.2">
      <c r="A921" s="5">
        <v>42.5</v>
      </c>
      <c r="B921" s="5" t="s">
        <v>250</v>
      </c>
      <c r="C921" s="5">
        <v>55</v>
      </c>
      <c r="D921" s="5">
        <f t="shared" si="56"/>
        <v>392.00377257605692</v>
      </c>
      <c r="E921" s="5">
        <f t="shared" si="58"/>
        <v>5</v>
      </c>
      <c r="F921" s="5">
        <v>42</v>
      </c>
      <c r="G921" s="5" t="s">
        <v>250</v>
      </c>
      <c r="H921" s="5">
        <v>55</v>
      </c>
      <c r="I921" s="5">
        <f t="shared" si="57"/>
        <v>392.00377257605692</v>
      </c>
      <c r="J921" s="5">
        <f t="shared" si="59"/>
        <v>4</v>
      </c>
    </row>
    <row r="922" spans="1:10" x14ac:dyDescent="0.2">
      <c r="A922" s="5">
        <v>43.5</v>
      </c>
      <c r="B922" s="5" t="s">
        <v>250</v>
      </c>
      <c r="C922" s="5">
        <v>55</v>
      </c>
      <c r="D922" s="5">
        <f t="shared" si="56"/>
        <v>392.00377257605692</v>
      </c>
      <c r="E922" s="5">
        <f t="shared" si="58"/>
        <v>0</v>
      </c>
      <c r="F922" s="5">
        <v>43</v>
      </c>
      <c r="G922" s="5" t="s">
        <v>249</v>
      </c>
      <c r="H922" s="5">
        <v>59</v>
      </c>
      <c r="I922" s="5">
        <f t="shared" si="57"/>
        <v>493.89549345236594</v>
      </c>
      <c r="J922" s="5">
        <f t="shared" si="59"/>
        <v>4</v>
      </c>
    </row>
    <row r="923" spans="1:10" x14ac:dyDescent="0.2">
      <c r="A923" s="5">
        <v>44.25</v>
      </c>
      <c r="B923" s="5" t="s">
        <v>374</v>
      </c>
      <c r="C923" s="5">
        <v>55</v>
      </c>
      <c r="D923" s="5">
        <f t="shared" si="56"/>
        <v>392.00377257605692</v>
      </c>
      <c r="E923" s="5">
        <f t="shared" si="58"/>
        <v>0</v>
      </c>
      <c r="F923" s="5">
        <v>44</v>
      </c>
      <c r="G923" s="5" t="s">
        <v>337</v>
      </c>
      <c r="H923" s="5">
        <v>45</v>
      </c>
      <c r="I923" s="5">
        <f t="shared" si="57"/>
        <v>220.00279814001337</v>
      </c>
      <c r="J923" s="5">
        <f t="shared" si="59"/>
        <v>14</v>
      </c>
    </row>
    <row r="924" spans="1:10" x14ac:dyDescent="0.2">
      <c r="A924" s="5">
        <v>44.75</v>
      </c>
      <c r="B924" s="5" t="s">
        <v>374</v>
      </c>
      <c r="C924" s="5">
        <v>55</v>
      </c>
      <c r="D924" s="5">
        <f t="shared" si="56"/>
        <v>392.00377257605692</v>
      </c>
      <c r="E924" s="5">
        <f t="shared" si="58"/>
        <v>0</v>
      </c>
      <c r="F924" s="5">
        <v>44.5</v>
      </c>
      <c r="G924" s="5" t="s">
        <v>202</v>
      </c>
      <c r="H924" s="5">
        <v>53</v>
      </c>
      <c r="I924" s="5">
        <f t="shared" si="57"/>
        <v>349.23506143398839</v>
      </c>
      <c r="J924" s="5">
        <f t="shared" si="59"/>
        <v>8</v>
      </c>
    </row>
    <row r="925" spans="1:10" x14ac:dyDescent="0.2">
      <c r="A925" s="5">
        <v>45.5</v>
      </c>
      <c r="B925" s="5" t="s">
        <v>382</v>
      </c>
      <c r="C925" s="5">
        <v>55</v>
      </c>
      <c r="D925" s="5">
        <f t="shared" si="56"/>
        <v>392.00377257605692</v>
      </c>
      <c r="E925" s="5">
        <f t="shared" si="58"/>
        <v>0</v>
      </c>
      <c r="F925" s="5">
        <v>45</v>
      </c>
      <c r="G925" s="5" t="s">
        <v>202</v>
      </c>
      <c r="H925" s="5">
        <v>53</v>
      </c>
      <c r="I925" s="5">
        <f t="shared" si="57"/>
        <v>349.23506143398839</v>
      </c>
      <c r="J925" s="5">
        <f t="shared" si="59"/>
        <v>0</v>
      </c>
    </row>
    <row r="926" spans="1:10" x14ac:dyDescent="0.2">
      <c r="A926" s="5">
        <v>46</v>
      </c>
      <c r="B926" s="5" t="s">
        <v>248</v>
      </c>
      <c r="C926" s="5">
        <v>57</v>
      </c>
      <c r="D926" s="5">
        <f t="shared" si="56"/>
        <v>440.01010976071973</v>
      </c>
      <c r="E926" s="5">
        <f t="shared" si="58"/>
        <v>2</v>
      </c>
      <c r="F926" s="5">
        <v>45.75</v>
      </c>
      <c r="G926" s="5" t="s">
        <v>247</v>
      </c>
      <c r="H926" s="5">
        <v>50</v>
      </c>
      <c r="I926" s="5">
        <f t="shared" si="57"/>
        <v>293.66975814369101</v>
      </c>
      <c r="J926" s="5">
        <f t="shared" si="59"/>
        <v>3</v>
      </c>
    </row>
    <row r="927" spans="1:10" x14ac:dyDescent="0.2">
      <c r="A927" s="5">
        <v>47</v>
      </c>
      <c r="B927" s="5" t="s">
        <v>383</v>
      </c>
      <c r="C927" s="5">
        <v>60</v>
      </c>
      <c r="D927" s="5">
        <f t="shared" si="56"/>
        <v>523.26449507501752</v>
      </c>
      <c r="E927" s="5">
        <f t="shared" si="58"/>
        <v>3</v>
      </c>
      <c r="F927" s="5">
        <v>46.5</v>
      </c>
      <c r="G927" s="5" t="s">
        <v>250</v>
      </c>
      <c r="H927" s="5">
        <v>55</v>
      </c>
      <c r="I927" s="5">
        <f t="shared" si="57"/>
        <v>392.00377257605692</v>
      </c>
      <c r="J927" s="5">
        <f t="shared" si="59"/>
        <v>5</v>
      </c>
    </row>
    <row r="928" spans="1:10" x14ac:dyDescent="0.2">
      <c r="A928" s="5">
        <v>48</v>
      </c>
      <c r="B928" s="5" t="s">
        <v>247</v>
      </c>
      <c r="C928" s="5">
        <v>50</v>
      </c>
      <c r="D928" s="5">
        <f t="shared" si="56"/>
        <v>293.66975814369101</v>
      </c>
      <c r="E928" s="5">
        <f t="shared" si="58"/>
        <v>10</v>
      </c>
      <c r="F928" s="5">
        <v>47.5</v>
      </c>
      <c r="G928" s="5" t="s">
        <v>247</v>
      </c>
      <c r="H928" s="5">
        <v>50</v>
      </c>
      <c r="I928" s="5">
        <f t="shared" si="57"/>
        <v>293.66975814369101</v>
      </c>
      <c r="J928" s="5">
        <f t="shared" si="59"/>
        <v>5</v>
      </c>
    </row>
    <row r="929" spans="1:10" x14ac:dyDescent="0.2">
      <c r="A929" s="5">
        <v>48.5</v>
      </c>
      <c r="B929" s="5" t="s">
        <v>202</v>
      </c>
      <c r="C929" s="5">
        <v>53</v>
      </c>
      <c r="D929" s="5">
        <f t="shared" si="56"/>
        <v>349.23506143398839</v>
      </c>
      <c r="E929" s="5">
        <f t="shared" si="58"/>
        <v>3</v>
      </c>
      <c r="F929" s="5">
        <v>48.25</v>
      </c>
      <c r="G929" s="5" t="s">
        <v>385</v>
      </c>
      <c r="H929" s="5">
        <v>47</v>
      </c>
      <c r="I929" s="5">
        <f t="shared" si="57"/>
        <v>246.94521361646048</v>
      </c>
      <c r="J929" s="5">
        <f t="shared" si="59"/>
        <v>3</v>
      </c>
    </row>
    <row r="930" spans="1:10" x14ac:dyDescent="0.2">
      <c r="A930" s="5">
        <v>49</v>
      </c>
      <c r="B930" s="5" t="s">
        <v>423</v>
      </c>
      <c r="C930" s="5">
        <v>52</v>
      </c>
      <c r="D930" s="5">
        <f t="shared" si="56"/>
        <v>329.63372180082422</v>
      </c>
      <c r="E930" s="5">
        <f t="shared" si="58"/>
        <v>1</v>
      </c>
      <c r="F930" s="5">
        <v>48.75</v>
      </c>
      <c r="G930" s="5" t="s">
        <v>247</v>
      </c>
      <c r="H930" s="5">
        <v>50</v>
      </c>
      <c r="I930" s="5">
        <f t="shared" si="57"/>
        <v>293.66975814369101</v>
      </c>
      <c r="J930" s="5">
        <f t="shared" si="59"/>
        <v>3</v>
      </c>
    </row>
    <row r="931" spans="1:10" x14ac:dyDescent="0.2">
      <c r="A931" s="5">
        <v>50</v>
      </c>
      <c r="B931" s="5" t="s">
        <v>423</v>
      </c>
      <c r="C931" s="5">
        <v>52</v>
      </c>
      <c r="D931" s="5">
        <f t="shared" si="56"/>
        <v>329.63372180082422</v>
      </c>
      <c r="E931" s="5">
        <f t="shared" si="58"/>
        <v>0</v>
      </c>
      <c r="F931" s="5">
        <v>49.5</v>
      </c>
      <c r="G931" s="5" t="s">
        <v>38</v>
      </c>
      <c r="H931" s="5">
        <v>52</v>
      </c>
      <c r="I931" s="5">
        <f t="shared" si="57"/>
        <v>329.63372180082422</v>
      </c>
      <c r="J931" s="5">
        <f t="shared" si="59"/>
        <v>2</v>
      </c>
    </row>
    <row r="932" spans="1:10" x14ac:dyDescent="0.2">
      <c r="A932" s="5">
        <v>51</v>
      </c>
      <c r="B932" s="5" t="s">
        <v>424</v>
      </c>
      <c r="C932" s="5">
        <v>52</v>
      </c>
      <c r="D932" s="5">
        <f t="shared" si="56"/>
        <v>329.63372180082422</v>
      </c>
      <c r="E932" s="5">
        <f t="shared" si="58"/>
        <v>0</v>
      </c>
      <c r="F932" s="5">
        <v>50</v>
      </c>
      <c r="G932" s="5" t="s">
        <v>386</v>
      </c>
      <c r="H932" s="5">
        <v>48</v>
      </c>
      <c r="I932" s="5">
        <f t="shared" si="57"/>
        <v>261.62956379894968</v>
      </c>
      <c r="J932" s="5">
        <f t="shared" si="59"/>
        <v>4</v>
      </c>
    </row>
    <row r="933" spans="1:10" x14ac:dyDescent="0.2">
      <c r="A933" s="5">
        <v>52</v>
      </c>
      <c r="B933" s="5" t="s">
        <v>247</v>
      </c>
      <c r="C933" s="5">
        <v>50</v>
      </c>
      <c r="D933" s="5">
        <f t="shared" si="56"/>
        <v>293.66975814369101</v>
      </c>
      <c r="E933" s="5">
        <f t="shared" si="58"/>
        <v>2</v>
      </c>
      <c r="F933" s="5">
        <v>51</v>
      </c>
      <c r="G933" s="5" t="s">
        <v>38</v>
      </c>
      <c r="H933" s="5">
        <v>52</v>
      </c>
      <c r="I933" s="5">
        <f t="shared" si="57"/>
        <v>329.63372180082422</v>
      </c>
      <c r="J933" s="5">
        <f t="shared" si="59"/>
        <v>4</v>
      </c>
    </row>
    <row r="934" spans="1:10" x14ac:dyDescent="0.2">
      <c r="A934" s="5">
        <v>52.5</v>
      </c>
      <c r="B934" s="5" t="s">
        <v>249</v>
      </c>
      <c r="C934" s="5">
        <v>59</v>
      </c>
      <c r="D934" s="5">
        <f t="shared" ref="D934:D997" si="60">16.35117682*1.059464^C934</f>
        <v>493.89549345236594</v>
      </c>
      <c r="E934" s="5">
        <f t="shared" si="58"/>
        <v>9</v>
      </c>
      <c r="F934" s="5">
        <v>52</v>
      </c>
      <c r="G934" s="5" t="s">
        <v>337</v>
      </c>
      <c r="H934" s="5">
        <v>45</v>
      </c>
      <c r="I934" s="5">
        <f t="shared" ref="I934:I997" si="61">16.35117682*1.059464^H934</f>
        <v>220.00279814001337</v>
      </c>
      <c r="J934" s="5">
        <f t="shared" si="59"/>
        <v>7</v>
      </c>
    </row>
    <row r="935" spans="1:10" x14ac:dyDescent="0.2">
      <c r="A935" s="5">
        <v>53</v>
      </c>
      <c r="B935" s="5" t="s">
        <v>249</v>
      </c>
      <c r="C935" s="5">
        <v>59</v>
      </c>
      <c r="D935" s="5">
        <f t="shared" si="60"/>
        <v>493.89549345236594</v>
      </c>
      <c r="E935" s="5">
        <f t="shared" ref="E935:E998" si="62">ABS( C935-C934)</f>
        <v>0</v>
      </c>
      <c r="F935" s="5">
        <v>52.5</v>
      </c>
      <c r="G935" s="5" t="s">
        <v>338</v>
      </c>
      <c r="H935" s="5">
        <v>55</v>
      </c>
      <c r="I935" s="5">
        <f t="shared" si="61"/>
        <v>392.00377257605692</v>
      </c>
      <c r="J935" s="5">
        <f t="shared" ref="J935:J998" si="63">ABS( H935-H934)</f>
        <v>10</v>
      </c>
    </row>
    <row r="936" spans="1:10" x14ac:dyDescent="0.2">
      <c r="A936" s="5">
        <v>53.75</v>
      </c>
      <c r="B936" s="5" t="s">
        <v>247</v>
      </c>
      <c r="C936" s="5">
        <v>50</v>
      </c>
      <c r="D936" s="5">
        <f t="shared" si="60"/>
        <v>293.66975814369101</v>
      </c>
      <c r="E936" s="5">
        <f t="shared" si="62"/>
        <v>9</v>
      </c>
      <c r="F936" s="5">
        <v>53</v>
      </c>
      <c r="G936" s="5" t="s">
        <v>250</v>
      </c>
      <c r="H936" s="5">
        <v>55</v>
      </c>
      <c r="I936" s="5">
        <f t="shared" si="61"/>
        <v>392.00377257605692</v>
      </c>
      <c r="J936" s="5">
        <f t="shared" si="63"/>
        <v>0</v>
      </c>
    </row>
    <row r="937" spans="1:10" x14ac:dyDescent="0.2">
      <c r="A937" s="5">
        <v>54.5</v>
      </c>
      <c r="B937" s="5" t="s">
        <v>250</v>
      </c>
      <c r="C937" s="5">
        <v>55</v>
      </c>
      <c r="D937" s="5">
        <f t="shared" si="60"/>
        <v>392.00377257605692</v>
      </c>
      <c r="E937" s="5">
        <f t="shared" si="62"/>
        <v>5</v>
      </c>
      <c r="F937" s="5">
        <v>53.75</v>
      </c>
      <c r="G937" s="5" t="s">
        <v>340</v>
      </c>
      <c r="H937" s="5">
        <v>50</v>
      </c>
      <c r="I937" s="5">
        <f t="shared" si="61"/>
        <v>293.66975814369101</v>
      </c>
      <c r="J937" s="5">
        <f t="shared" si="63"/>
        <v>5</v>
      </c>
    </row>
    <row r="938" spans="1:10" x14ac:dyDescent="0.2">
      <c r="A938" s="5">
        <v>55.5</v>
      </c>
      <c r="B938" s="5" t="s">
        <v>250</v>
      </c>
      <c r="C938" s="5">
        <v>55</v>
      </c>
      <c r="D938" s="5">
        <f t="shared" si="60"/>
        <v>392.00377257605692</v>
      </c>
      <c r="E938" s="5">
        <f t="shared" si="62"/>
        <v>0</v>
      </c>
      <c r="F938" s="5">
        <v>54.5</v>
      </c>
      <c r="G938" s="5" t="s">
        <v>250</v>
      </c>
      <c r="H938" s="5">
        <v>55</v>
      </c>
      <c r="I938" s="5">
        <f t="shared" si="61"/>
        <v>392.00377257605692</v>
      </c>
      <c r="J938" s="5">
        <f t="shared" si="63"/>
        <v>5</v>
      </c>
    </row>
    <row r="939" spans="1:10" x14ac:dyDescent="0.2">
      <c r="A939" s="5">
        <v>56.25</v>
      </c>
      <c r="B939" s="5" t="s">
        <v>248</v>
      </c>
      <c r="C939" s="5">
        <v>57</v>
      </c>
      <c r="D939" s="5">
        <f t="shared" si="60"/>
        <v>440.01010976071973</v>
      </c>
      <c r="E939" s="5">
        <f t="shared" si="62"/>
        <v>2</v>
      </c>
      <c r="F939" s="5">
        <v>55.5</v>
      </c>
      <c r="G939" s="5" t="s">
        <v>247</v>
      </c>
      <c r="H939" s="5">
        <v>50</v>
      </c>
      <c r="I939" s="5">
        <f t="shared" si="61"/>
        <v>293.66975814369101</v>
      </c>
      <c r="J939" s="5">
        <f t="shared" si="63"/>
        <v>5</v>
      </c>
    </row>
    <row r="940" spans="1:10" x14ac:dyDescent="0.2">
      <c r="A940" s="5">
        <v>56.75</v>
      </c>
      <c r="B940" s="5" t="s">
        <v>250</v>
      </c>
      <c r="C940" s="5">
        <v>55</v>
      </c>
      <c r="D940" s="5">
        <f t="shared" si="60"/>
        <v>392.00377257605692</v>
      </c>
      <c r="E940" s="5">
        <f t="shared" si="62"/>
        <v>2</v>
      </c>
      <c r="F940" s="5">
        <v>56.25</v>
      </c>
      <c r="G940" s="5" t="s">
        <v>202</v>
      </c>
      <c r="H940" s="5">
        <v>53</v>
      </c>
      <c r="I940" s="5">
        <f t="shared" si="61"/>
        <v>349.23506143398839</v>
      </c>
      <c r="J940" s="5">
        <f t="shared" si="63"/>
        <v>3</v>
      </c>
    </row>
    <row r="941" spans="1:10" x14ac:dyDescent="0.2">
      <c r="A941" s="5">
        <v>57.5</v>
      </c>
      <c r="B941" s="5" t="s">
        <v>250</v>
      </c>
      <c r="C941" s="5">
        <v>55</v>
      </c>
      <c r="D941" s="5">
        <f t="shared" si="60"/>
        <v>392.00377257605692</v>
      </c>
      <c r="E941" s="5">
        <f t="shared" si="62"/>
        <v>0</v>
      </c>
      <c r="F941" s="5">
        <v>56.75</v>
      </c>
      <c r="G941" s="5" t="s">
        <v>247</v>
      </c>
      <c r="H941" s="5">
        <v>50</v>
      </c>
      <c r="I941" s="5">
        <f t="shared" si="61"/>
        <v>293.66975814369101</v>
      </c>
      <c r="J941" s="5">
        <f t="shared" si="63"/>
        <v>3</v>
      </c>
    </row>
    <row r="942" spans="1:10" x14ac:dyDescent="0.2">
      <c r="A942" s="5">
        <v>58</v>
      </c>
      <c r="B942" s="5" t="s">
        <v>249</v>
      </c>
      <c r="C942" s="5">
        <v>59</v>
      </c>
      <c r="D942" s="5">
        <f t="shared" si="60"/>
        <v>493.89549345236594</v>
      </c>
      <c r="E942" s="5">
        <f t="shared" si="62"/>
        <v>4</v>
      </c>
      <c r="F942" s="5">
        <v>57.5</v>
      </c>
      <c r="G942" s="5" t="s">
        <v>341</v>
      </c>
      <c r="H942" s="5">
        <v>59</v>
      </c>
      <c r="I942" s="5">
        <f t="shared" si="61"/>
        <v>493.89549345236594</v>
      </c>
      <c r="J942" s="5">
        <f t="shared" si="63"/>
        <v>9</v>
      </c>
    </row>
    <row r="943" spans="1:10" x14ac:dyDescent="0.2">
      <c r="A943" s="5">
        <v>59</v>
      </c>
      <c r="B943" s="5" t="s">
        <v>285</v>
      </c>
      <c r="C943" s="5">
        <v>62</v>
      </c>
      <c r="D943" s="5">
        <f t="shared" si="60"/>
        <v>587.34554108704231</v>
      </c>
      <c r="E943" s="5">
        <f t="shared" si="62"/>
        <v>3</v>
      </c>
      <c r="F943" s="5">
        <v>58</v>
      </c>
      <c r="G943" s="5" t="s">
        <v>250</v>
      </c>
      <c r="H943" s="5">
        <v>55</v>
      </c>
      <c r="I943" s="5">
        <f t="shared" si="61"/>
        <v>392.00377257605692</v>
      </c>
      <c r="J943" s="5">
        <f t="shared" si="63"/>
        <v>4</v>
      </c>
    </row>
    <row r="944" spans="1:10" x14ac:dyDescent="0.2">
      <c r="A944" s="5">
        <v>60</v>
      </c>
      <c r="B944" s="5" t="s">
        <v>375</v>
      </c>
      <c r="C944" s="5">
        <v>50</v>
      </c>
      <c r="D944" s="5">
        <f t="shared" si="60"/>
        <v>293.66975814369101</v>
      </c>
      <c r="E944" s="5">
        <f t="shared" si="62"/>
        <v>12</v>
      </c>
      <c r="F944" s="5">
        <v>59</v>
      </c>
      <c r="G944" s="5" t="s">
        <v>249</v>
      </c>
      <c r="H944" s="5">
        <v>59</v>
      </c>
      <c r="I944" s="5">
        <f t="shared" si="61"/>
        <v>493.89549345236594</v>
      </c>
      <c r="J944" s="5">
        <f t="shared" si="63"/>
        <v>4</v>
      </c>
    </row>
    <row r="945" spans="1:10" x14ac:dyDescent="0.2">
      <c r="A945" s="5">
        <v>60.5</v>
      </c>
      <c r="B945" s="5" t="s">
        <v>381</v>
      </c>
      <c r="C945" s="5">
        <v>57</v>
      </c>
      <c r="D945" s="5">
        <f t="shared" si="60"/>
        <v>440.01010976071973</v>
      </c>
      <c r="E945" s="5">
        <f t="shared" si="62"/>
        <v>7</v>
      </c>
      <c r="F945" s="5">
        <v>60</v>
      </c>
      <c r="G945" s="5" t="s">
        <v>337</v>
      </c>
      <c r="H945" s="5">
        <v>45</v>
      </c>
      <c r="I945" s="5">
        <f t="shared" si="61"/>
        <v>220.00279814001337</v>
      </c>
      <c r="J945" s="5">
        <f t="shared" si="63"/>
        <v>14</v>
      </c>
    </row>
    <row r="946" spans="1:10" x14ac:dyDescent="0.2">
      <c r="A946" s="5">
        <v>61</v>
      </c>
      <c r="B946" s="5" t="s">
        <v>248</v>
      </c>
      <c r="C946" s="5">
        <v>57</v>
      </c>
      <c r="D946" s="5">
        <f t="shared" si="60"/>
        <v>440.01010976071973</v>
      </c>
      <c r="E946" s="5">
        <f t="shared" si="62"/>
        <v>0</v>
      </c>
      <c r="F946" s="5">
        <v>60.5</v>
      </c>
      <c r="G946" s="5" t="s">
        <v>202</v>
      </c>
      <c r="H946" s="5">
        <v>53</v>
      </c>
      <c r="I946" s="5">
        <f t="shared" si="61"/>
        <v>349.23506143398839</v>
      </c>
      <c r="J946" s="5">
        <f t="shared" si="63"/>
        <v>8</v>
      </c>
    </row>
    <row r="947" spans="1:10" x14ac:dyDescent="0.2">
      <c r="A947" s="5">
        <v>61.75</v>
      </c>
      <c r="B947" s="5" t="s">
        <v>247</v>
      </c>
      <c r="C947" s="5">
        <v>50</v>
      </c>
      <c r="D947" s="5">
        <f t="shared" si="60"/>
        <v>293.66975814369101</v>
      </c>
      <c r="E947" s="5">
        <f t="shared" si="62"/>
        <v>7</v>
      </c>
      <c r="F947" s="5">
        <v>61</v>
      </c>
      <c r="G947" s="5" t="s">
        <v>202</v>
      </c>
      <c r="H947" s="5">
        <v>53</v>
      </c>
      <c r="I947" s="5">
        <f t="shared" si="61"/>
        <v>349.23506143398839</v>
      </c>
      <c r="J947" s="5">
        <f t="shared" si="63"/>
        <v>0</v>
      </c>
    </row>
    <row r="948" spans="1:10" x14ac:dyDescent="0.2">
      <c r="A948" s="5">
        <v>62.5</v>
      </c>
      <c r="B948" s="5" t="s">
        <v>250</v>
      </c>
      <c r="C948" s="5">
        <v>55</v>
      </c>
      <c r="D948" s="5">
        <f t="shared" si="60"/>
        <v>392.00377257605692</v>
      </c>
      <c r="E948" s="5">
        <f t="shared" si="62"/>
        <v>5</v>
      </c>
      <c r="F948" s="5">
        <v>61.75</v>
      </c>
      <c r="G948" s="5" t="s">
        <v>247</v>
      </c>
      <c r="H948" s="5">
        <v>50</v>
      </c>
      <c r="I948" s="5">
        <f t="shared" si="61"/>
        <v>293.66975814369101</v>
      </c>
      <c r="J948" s="5">
        <f t="shared" si="63"/>
        <v>3</v>
      </c>
    </row>
    <row r="949" spans="1:10" x14ac:dyDescent="0.2">
      <c r="A949" s="5">
        <v>63.5</v>
      </c>
      <c r="B949" s="5" t="s">
        <v>250</v>
      </c>
      <c r="C949" s="5">
        <v>55</v>
      </c>
      <c r="D949" s="5">
        <f t="shared" si="60"/>
        <v>392.00377257605692</v>
      </c>
      <c r="E949" s="5">
        <f t="shared" si="62"/>
        <v>0</v>
      </c>
      <c r="F949" s="5">
        <v>62.5</v>
      </c>
      <c r="G949" s="5" t="s">
        <v>250</v>
      </c>
      <c r="H949" s="5">
        <v>55</v>
      </c>
      <c r="I949" s="5">
        <f t="shared" si="61"/>
        <v>392.00377257605692</v>
      </c>
      <c r="J949" s="5">
        <f t="shared" si="63"/>
        <v>5</v>
      </c>
    </row>
    <row r="950" spans="1:10" x14ac:dyDescent="0.2">
      <c r="A950" s="5">
        <v>64.25</v>
      </c>
      <c r="B950" s="5" t="s">
        <v>423</v>
      </c>
      <c r="C950" s="5">
        <v>52</v>
      </c>
      <c r="D950" s="5">
        <f t="shared" si="60"/>
        <v>329.63372180082422</v>
      </c>
      <c r="E950" s="5">
        <f t="shared" si="62"/>
        <v>3</v>
      </c>
      <c r="F950" s="5">
        <v>63.5</v>
      </c>
      <c r="G950" s="5" t="s">
        <v>247</v>
      </c>
      <c r="H950" s="5">
        <v>50</v>
      </c>
      <c r="I950" s="5">
        <f t="shared" si="61"/>
        <v>293.66975814369101</v>
      </c>
      <c r="J950" s="5">
        <f t="shared" si="63"/>
        <v>5</v>
      </c>
    </row>
    <row r="951" spans="1:10" x14ac:dyDescent="0.2">
      <c r="A951" s="5">
        <v>64.75</v>
      </c>
      <c r="B951" s="5" t="s">
        <v>250</v>
      </c>
      <c r="C951" s="5">
        <v>55</v>
      </c>
      <c r="D951" s="5">
        <f t="shared" si="60"/>
        <v>392.00377257605692</v>
      </c>
      <c r="E951" s="5">
        <f t="shared" si="62"/>
        <v>3</v>
      </c>
      <c r="F951" s="5">
        <v>64.25</v>
      </c>
      <c r="G951" s="5" t="s">
        <v>385</v>
      </c>
      <c r="H951" s="5">
        <v>47</v>
      </c>
      <c r="I951" s="5">
        <f t="shared" si="61"/>
        <v>246.94521361646048</v>
      </c>
      <c r="J951" s="5">
        <f t="shared" si="63"/>
        <v>3</v>
      </c>
    </row>
    <row r="952" spans="1:10" x14ac:dyDescent="0.2">
      <c r="A952" s="5">
        <v>65.5</v>
      </c>
      <c r="B952" s="5" t="s">
        <v>250</v>
      </c>
      <c r="C952" s="5">
        <v>55</v>
      </c>
      <c r="D952" s="5">
        <f t="shared" si="60"/>
        <v>392.00377257605692</v>
      </c>
      <c r="E952" s="5">
        <f t="shared" si="62"/>
        <v>0</v>
      </c>
      <c r="F952" s="5">
        <v>64.75</v>
      </c>
      <c r="G952" s="5" t="s">
        <v>247</v>
      </c>
      <c r="H952" s="5">
        <v>50</v>
      </c>
      <c r="I952" s="5">
        <f t="shared" si="61"/>
        <v>293.66975814369101</v>
      </c>
      <c r="J952" s="5">
        <f t="shared" si="63"/>
        <v>3</v>
      </c>
    </row>
    <row r="953" spans="1:10" x14ac:dyDescent="0.2">
      <c r="A953" s="5">
        <v>66.5</v>
      </c>
      <c r="B953" s="5" t="s">
        <v>250</v>
      </c>
      <c r="C953" s="5">
        <v>55</v>
      </c>
      <c r="D953" s="5">
        <f t="shared" si="60"/>
        <v>392.00377257605692</v>
      </c>
      <c r="E953" s="5">
        <f t="shared" si="62"/>
        <v>0</v>
      </c>
      <c r="F953" s="5">
        <v>65.5</v>
      </c>
      <c r="G953" s="5" t="s">
        <v>38</v>
      </c>
      <c r="H953" s="5">
        <v>52</v>
      </c>
      <c r="I953" s="5">
        <f t="shared" si="61"/>
        <v>329.63372180082422</v>
      </c>
      <c r="J953" s="5">
        <f t="shared" si="63"/>
        <v>2</v>
      </c>
    </row>
    <row r="954" spans="1:10" x14ac:dyDescent="0.2">
      <c r="A954" s="5">
        <v>67.5</v>
      </c>
      <c r="B954" s="5" t="s">
        <v>250</v>
      </c>
      <c r="C954" s="5">
        <v>55</v>
      </c>
      <c r="D954" s="5">
        <f t="shared" si="60"/>
        <v>392.00377257605692</v>
      </c>
      <c r="E954" s="5">
        <f t="shared" si="62"/>
        <v>0</v>
      </c>
      <c r="F954" s="5">
        <v>66</v>
      </c>
      <c r="G954" s="5" t="s">
        <v>386</v>
      </c>
      <c r="H954" s="5">
        <v>48</v>
      </c>
      <c r="I954" s="5">
        <f t="shared" si="61"/>
        <v>261.62956379894968</v>
      </c>
      <c r="J954" s="5">
        <f t="shared" si="63"/>
        <v>4</v>
      </c>
    </row>
    <row r="955" spans="1:10" x14ac:dyDescent="0.2">
      <c r="A955" s="5">
        <v>68.25</v>
      </c>
      <c r="B955" s="5" t="s">
        <v>248</v>
      </c>
      <c r="C955" s="5">
        <v>57</v>
      </c>
      <c r="D955" s="5">
        <f t="shared" si="60"/>
        <v>440.01010976071973</v>
      </c>
      <c r="E955" s="5">
        <f t="shared" si="62"/>
        <v>2</v>
      </c>
      <c r="F955" s="5">
        <v>67</v>
      </c>
      <c r="G955" s="5" t="s">
        <v>38</v>
      </c>
      <c r="H955" s="5">
        <v>52</v>
      </c>
      <c r="I955" s="5">
        <f t="shared" si="61"/>
        <v>329.63372180082422</v>
      </c>
      <c r="J955" s="5">
        <f t="shared" si="63"/>
        <v>4</v>
      </c>
    </row>
    <row r="956" spans="1:10" x14ac:dyDescent="0.2">
      <c r="A956" s="5">
        <v>68.75</v>
      </c>
      <c r="B956" s="5" t="s">
        <v>250</v>
      </c>
      <c r="C956" s="5">
        <v>55</v>
      </c>
      <c r="D956" s="5">
        <f t="shared" si="60"/>
        <v>392.00377257605692</v>
      </c>
      <c r="E956" s="5">
        <f t="shared" si="62"/>
        <v>2</v>
      </c>
      <c r="F956" s="5">
        <v>68</v>
      </c>
      <c r="G956" s="5" t="s">
        <v>337</v>
      </c>
      <c r="H956" s="5">
        <v>45</v>
      </c>
      <c r="I956" s="5">
        <f t="shared" si="61"/>
        <v>220.00279814001337</v>
      </c>
      <c r="J956" s="5">
        <f t="shared" si="63"/>
        <v>7</v>
      </c>
    </row>
    <row r="957" spans="1:10" x14ac:dyDescent="0.2">
      <c r="A957" s="5">
        <v>69.5</v>
      </c>
      <c r="B957" s="5" t="s">
        <v>250</v>
      </c>
      <c r="C957" s="5">
        <v>55</v>
      </c>
      <c r="D957" s="5">
        <f t="shared" si="60"/>
        <v>392.00377257605692</v>
      </c>
      <c r="E957" s="5">
        <f t="shared" si="62"/>
        <v>0</v>
      </c>
      <c r="F957" s="5">
        <v>68.5</v>
      </c>
      <c r="G957" s="5" t="s">
        <v>338</v>
      </c>
      <c r="H957" s="5">
        <v>55</v>
      </c>
      <c r="I957" s="5">
        <f t="shared" si="61"/>
        <v>392.00377257605692</v>
      </c>
      <c r="J957" s="5">
        <f t="shared" si="63"/>
        <v>10</v>
      </c>
    </row>
    <row r="958" spans="1:10" x14ac:dyDescent="0.2">
      <c r="A958" s="5">
        <v>70</v>
      </c>
      <c r="B958" s="5" t="s">
        <v>249</v>
      </c>
      <c r="C958" s="5">
        <v>59</v>
      </c>
      <c r="D958" s="5">
        <f t="shared" si="60"/>
        <v>493.89549345236594</v>
      </c>
      <c r="E958" s="5">
        <f t="shared" si="62"/>
        <v>4</v>
      </c>
      <c r="F958" s="5">
        <v>69</v>
      </c>
      <c r="G958" s="5" t="s">
        <v>250</v>
      </c>
      <c r="H958" s="5">
        <v>55</v>
      </c>
      <c r="I958" s="5">
        <f t="shared" si="61"/>
        <v>392.00377257605692</v>
      </c>
      <c r="J958" s="5">
        <f t="shared" si="63"/>
        <v>0</v>
      </c>
    </row>
    <row r="959" spans="1:10" x14ac:dyDescent="0.2">
      <c r="A959" s="5">
        <v>71</v>
      </c>
      <c r="B959" s="5" t="s">
        <v>285</v>
      </c>
      <c r="C959" s="5">
        <v>62</v>
      </c>
      <c r="D959" s="5">
        <f t="shared" si="60"/>
        <v>587.34554108704231</v>
      </c>
      <c r="E959" s="5">
        <f t="shared" si="62"/>
        <v>3</v>
      </c>
      <c r="F959" s="5">
        <v>69.75</v>
      </c>
      <c r="G959" s="5" t="s">
        <v>340</v>
      </c>
      <c r="H959" s="5">
        <v>50</v>
      </c>
      <c r="I959" s="5">
        <f t="shared" si="61"/>
        <v>293.66975814369101</v>
      </c>
      <c r="J959" s="5">
        <f t="shared" si="63"/>
        <v>5</v>
      </c>
    </row>
    <row r="960" spans="1:10" x14ac:dyDescent="0.2">
      <c r="A960" s="5">
        <v>72</v>
      </c>
      <c r="B960" s="5" t="s">
        <v>288</v>
      </c>
      <c r="C960" s="5">
        <v>50</v>
      </c>
      <c r="D960" s="5">
        <f t="shared" si="60"/>
        <v>293.66975814369101</v>
      </c>
      <c r="E960" s="5">
        <f t="shared" si="62"/>
        <v>12</v>
      </c>
      <c r="F960" s="5">
        <v>70.5</v>
      </c>
      <c r="G960" s="5" t="s">
        <v>250</v>
      </c>
      <c r="H960" s="5">
        <v>55</v>
      </c>
      <c r="I960" s="5">
        <f t="shared" si="61"/>
        <v>392.00377257605692</v>
      </c>
      <c r="J960" s="5">
        <f t="shared" si="63"/>
        <v>5</v>
      </c>
    </row>
    <row r="961" spans="1:10" x14ac:dyDescent="0.2">
      <c r="A961" s="5">
        <v>72.5</v>
      </c>
      <c r="B961" s="5" t="s">
        <v>249</v>
      </c>
      <c r="C961" s="5">
        <v>59</v>
      </c>
      <c r="D961" s="5">
        <f t="shared" si="60"/>
        <v>493.89549345236594</v>
      </c>
      <c r="E961" s="5">
        <f t="shared" si="62"/>
        <v>9</v>
      </c>
      <c r="F961" s="5">
        <v>71.5</v>
      </c>
      <c r="G961" s="5" t="s">
        <v>247</v>
      </c>
      <c r="H961" s="5">
        <v>50</v>
      </c>
      <c r="I961" s="5">
        <f t="shared" si="61"/>
        <v>293.66975814369101</v>
      </c>
      <c r="J961" s="5">
        <f t="shared" si="63"/>
        <v>5</v>
      </c>
    </row>
    <row r="962" spans="1:10" x14ac:dyDescent="0.2">
      <c r="A962" s="5">
        <v>73</v>
      </c>
      <c r="B962" s="5" t="s">
        <v>249</v>
      </c>
      <c r="C962" s="5">
        <v>59</v>
      </c>
      <c r="D962" s="5">
        <f t="shared" si="60"/>
        <v>493.89549345236594</v>
      </c>
      <c r="E962" s="5">
        <f t="shared" si="62"/>
        <v>0</v>
      </c>
      <c r="F962" s="5">
        <v>72.25</v>
      </c>
      <c r="G962" s="5" t="s">
        <v>202</v>
      </c>
      <c r="H962" s="5">
        <v>53</v>
      </c>
      <c r="I962" s="5">
        <f t="shared" si="61"/>
        <v>349.23506143398839</v>
      </c>
      <c r="J962" s="5">
        <f t="shared" si="63"/>
        <v>3</v>
      </c>
    </row>
    <row r="963" spans="1:10" x14ac:dyDescent="0.2">
      <c r="A963" s="5">
        <v>73.75</v>
      </c>
      <c r="B963" s="5" t="s">
        <v>373</v>
      </c>
      <c r="C963" s="5">
        <v>50</v>
      </c>
      <c r="D963" s="5">
        <f t="shared" si="60"/>
        <v>293.66975814369101</v>
      </c>
      <c r="E963" s="5">
        <f t="shared" si="62"/>
        <v>9</v>
      </c>
      <c r="F963" s="5">
        <v>72.75</v>
      </c>
      <c r="G963" s="5" t="s">
        <v>247</v>
      </c>
      <c r="H963" s="5">
        <v>50</v>
      </c>
      <c r="I963" s="5">
        <f t="shared" si="61"/>
        <v>293.66975814369101</v>
      </c>
      <c r="J963" s="5">
        <f t="shared" si="63"/>
        <v>3</v>
      </c>
    </row>
    <row r="964" spans="1:10" x14ac:dyDescent="0.2">
      <c r="A964" s="5">
        <v>74.5</v>
      </c>
      <c r="B964" s="5" t="s">
        <v>250</v>
      </c>
      <c r="C964" s="5">
        <v>55</v>
      </c>
      <c r="D964" s="5">
        <f t="shared" si="60"/>
        <v>392.00377257605692</v>
      </c>
      <c r="E964" s="5">
        <f t="shared" si="62"/>
        <v>5</v>
      </c>
      <c r="F964" s="5">
        <v>73.5</v>
      </c>
      <c r="G964" s="5" t="s">
        <v>341</v>
      </c>
      <c r="H964" s="5">
        <v>59</v>
      </c>
      <c r="I964" s="5">
        <f t="shared" si="61"/>
        <v>493.89549345236594</v>
      </c>
      <c r="J964" s="5">
        <f t="shared" si="63"/>
        <v>9</v>
      </c>
    </row>
    <row r="965" spans="1:10" x14ac:dyDescent="0.2">
      <c r="A965" s="5">
        <v>75.5</v>
      </c>
      <c r="B965" s="5" t="s">
        <v>250</v>
      </c>
      <c r="C965" s="5">
        <v>55</v>
      </c>
      <c r="D965" s="5">
        <f t="shared" si="60"/>
        <v>392.00377257605692</v>
      </c>
      <c r="E965" s="5">
        <f t="shared" si="62"/>
        <v>0</v>
      </c>
      <c r="F965" s="5">
        <v>74</v>
      </c>
      <c r="G965" s="5" t="s">
        <v>250</v>
      </c>
      <c r="H965" s="5">
        <v>55</v>
      </c>
      <c r="I965" s="5">
        <f t="shared" si="61"/>
        <v>392.00377257605692</v>
      </c>
      <c r="J965" s="5">
        <f t="shared" si="63"/>
        <v>4</v>
      </c>
    </row>
    <row r="966" spans="1:10" x14ac:dyDescent="0.2">
      <c r="A966" s="5">
        <v>76.25</v>
      </c>
      <c r="B966" s="5" t="s">
        <v>374</v>
      </c>
      <c r="C966" s="5">
        <v>55</v>
      </c>
      <c r="D966" s="5">
        <f t="shared" si="60"/>
        <v>392.00377257605692</v>
      </c>
      <c r="E966" s="5">
        <f t="shared" si="62"/>
        <v>0</v>
      </c>
      <c r="F966" s="5">
        <v>75</v>
      </c>
      <c r="G966" s="5" t="s">
        <v>249</v>
      </c>
      <c r="H966" s="5">
        <v>59</v>
      </c>
      <c r="I966" s="5">
        <f t="shared" si="61"/>
        <v>493.89549345236594</v>
      </c>
      <c r="J966" s="5">
        <f t="shared" si="63"/>
        <v>4</v>
      </c>
    </row>
    <row r="967" spans="1:10" x14ac:dyDescent="0.2">
      <c r="A967" s="5">
        <v>76.75</v>
      </c>
      <c r="B967" s="5" t="s">
        <v>374</v>
      </c>
      <c r="C967" s="5">
        <v>55</v>
      </c>
      <c r="D967" s="5">
        <f t="shared" si="60"/>
        <v>392.00377257605692</v>
      </c>
      <c r="E967" s="5">
        <f t="shared" si="62"/>
        <v>0</v>
      </c>
      <c r="F967" s="5">
        <v>76</v>
      </c>
      <c r="G967" s="5" t="s">
        <v>337</v>
      </c>
      <c r="H967" s="5">
        <v>45</v>
      </c>
      <c r="I967" s="5">
        <f t="shared" si="61"/>
        <v>220.00279814001337</v>
      </c>
      <c r="J967" s="5">
        <f t="shared" si="63"/>
        <v>14</v>
      </c>
    </row>
    <row r="968" spans="1:10" x14ac:dyDescent="0.2">
      <c r="A968" s="5">
        <v>77.5</v>
      </c>
      <c r="B968" s="5" t="s">
        <v>382</v>
      </c>
      <c r="C968" s="5">
        <v>55</v>
      </c>
      <c r="D968" s="5">
        <f t="shared" si="60"/>
        <v>392.00377257605692</v>
      </c>
      <c r="E968" s="5">
        <f t="shared" si="62"/>
        <v>0</v>
      </c>
      <c r="F968" s="5">
        <v>76.5</v>
      </c>
      <c r="G968" s="5" t="s">
        <v>202</v>
      </c>
      <c r="H968" s="5">
        <v>53</v>
      </c>
      <c r="I968" s="5">
        <f t="shared" si="61"/>
        <v>349.23506143398839</v>
      </c>
      <c r="J968" s="5">
        <f t="shared" si="63"/>
        <v>8</v>
      </c>
    </row>
    <row r="969" spans="1:10" x14ac:dyDescent="0.2">
      <c r="A969" s="5">
        <v>78</v>
      </c>
      <c r="B969" s="5" t="s">
        <v>248</v>
      </c>
      <c r="C969" s="5">
        <v>57</v>
      </c>
      <c r="D969" s="5">
        <f t="shared" si="60"/>
        <v>440.01010976071973</v>
      </c>
      <c r="E969" s="5">
        <f t="shared" si="62"/>
        <v>2</v>
      </c>
      <c r="F969" s="5">
        <v>77</v>
      </c>
      <c r="G969" s="5" t="s">
        <v>202</v>
      </c>
      <c r="H969" s="5">
        <v>53</v>
      </c>
      <c r="I969" s="5">
        <f t="shared" si="61"/>
        <v>349.23506143398839</v>
      </c>
      <c r="J969" s="5">
        <f t="shared" si="63"/>
        <v>0</v>
      </c>
    </row>
    <row r="970" spans="1:10" x14ac:dyDescent="0.2">
      <c r="A970" s="5">
        <v>79</v>
      </c>
      <c r="B970" s="5" t="s">
        <v>383</v>
      </c>
      <c r="C970" s="5">
        <v>60</v>
      </c>
      <c r="D970" s="5">
        <f t="shared" si="60"/>
        <v>523.26449507501752</v>
      </c>
      <c r="E970" s="5">
        <f t="shared" si="62"/>
        <v>3</v>
      </c>
      <c r="F970" s="5">
        <v>77.75</v>
      </c>
      <c r="G970" s="5" t="s">
        <v>247</v>
      </c>
      <c r="H970" s="5">
        <v>50</v>
      </c>
      <c r="I970" s="5">
        <f t="shared" si="61"/>
        <v>293.66975814369101</v>
      </c>
      <c r="J970" s="5">
        <f t="shared" si="63"/>
        <v>3</v>
      </c>
    </row>
    <row r="971" spans="1:10" x14ac:dyDescent="0.2">
      <c r="A971" s="5">
        <v>80</v>
      </c>
      <c r="B971" s="5" t="s">
        <v>247</v>
      </c>
      <c r="C971" s="5">
        <v>50</v>
      </c>
      <c r="D971" s="5">
        <f t="shared" si="60"/>
        <v>293.66975814369101</v>
      </c>
      <c r="E971" s="5">
        <f t="shared" si="62"/>
        <v>10</v>
      </c>
      <c r="F971" s="5">
        <v>78.5</v>
      </c>
      <c r="G971" s="5" t="s">
        <v>250</v>
      </c>
      <c r="H971" s="5">
        <v>55</v>
      </c>
      <c r="I971" s="5">
        <f t="shared" si="61"/>
        <v>392.00377257605692</v>
      </c>
      <c r="J971" s="5">
        <f t="shared" si="63"/>
        <v>5</v>
      </c>
    </row>
    <row r="972" spans="1:10" x14ac:dyDescent="0.2">
      <c r="A972" s="5">
        <v>80.5</v>
      </c>
      <c r="B972" s="5" t="s">
        <v>202</v>
      </c>
      <c r="C972" s="5">
        <v>53</v>
      </c>
      <c r="D972" s="5">
        <f t="shared" si="60"/>
        <v>349.23506143398839</v>
      </c>
      <c r="E972" s="5">
        <f t="shared" si="62"/>
        <v>3</v>
      </c>
      <c r="F972" s="5">
        <v>79.5</v>
      </c>
      <c r="G972" s="5" t="s">
        <v>247</v>
      </c>
      <c r="H972" s="5">
        <v>50</v>
      </c>
      <c r="I972" s="5">
        <f t="shared" si="61"/>
        <v>293.66975814369101</v>
      </c>
      <c r="J972" s="5">
        <f t="shared" si="63"/>
        <v>5</v>
      </c>
    </row>
    <row r="973" spans="1:10" x14ac:dyDescent="0.2">
      <c r="A973" s="5">
        <v>81</v>
      </c>
      <c r="B973" s="5" t="s">
        <v>423</v>
      </c>
      <c r="C973" s="5">
        <v>52</v>
      </c>
      <c r="D973" s="5">
        <f t="shared" si="60"/>
        <v>329.63372180082422</v>
      </c>
      <c r="E973" s="5">
        <f t="shared" si="62"/>
        <v>1</v>
      </c>
      <c r="F973" s="5">
        <v>80.25</v>
      </c>
      <c r="G973" s="5" t="s">
        <v>385</v>
      </c>
      <c r="H973" s="5">
        <v>47</v>
      </c>
      <c r="I973" s="5">
        <f t="shared" si="61"/>
        <v>246.94521361646048</v>
      </c>
      <c r="J973" s="5">
        <f t="shared" si="63"/>
        <v>3</v>
      </c>
    </row>
    <row r="974" spans="1:10" x14ac:dyDescent="0.2">
      <c r="A974" s="5">
        <v>82</v>
      </c>
      <c r="B974" s="5" t="s">
        <v>423</v>
      </c>
      <c r="C974" s="5">
        <v>52</v>
      </c>
      <c r="D974" s="5">
        <f t="shared" si="60"/>
        <v>329.63372180082422</v>
      </c>
      <c r="E974" s="5">
        <f t="shared" si="62"/>
        <v>0</v>
      </c>
      <c r="F974" s="5">
        <v>80.75</v>
      </c>
      <c r="G974" s="5" t="s">
        <v>247</v>
      </c>
      <c r="H974" s="5">
        <v>50</v>
      </c>
      <c r="I974" s="5">
        <f t="shared" si="61"/>
        <v>293.66975814369101</v>
      </c>
      <c r="J974" s="5">
        <f t="shared" si="63"/>
        <v>3</v>
      </c>
    </row>
    <row r="975" spans="1:10" x14ac:dyDescent="0.2">
      <c r="A975" s="5">
        <v>83</v>
      </c>
      <c r="B975" s="5" t="s">
        <v>424</v>
      </c>
      <c r="C975" s="5">
        <v>52</v>
      </c>
      <c r="D975" s="5">
        <f t="shared" si="60"/>
        <v>329.63372180082422</v>
      </c>
      <c r="E975" s="5">
        <f t="shared" si="62"/>
        <v>0</v>
      </c>
      <c r="F975" s="5">
        <v>81.5</v>
      </c>
      <c r="G975" s="5" t="s">
        <v>38</v>
      </c>
      <c r="H975" s="5">
        <v>52</v>
      </c>
      <c r="I975" s="5">
        <f t="shared" si="61"/>
        <v>329.63372180082422</v>
      </c>
      <c r="J975" s="5">
        <f t="shared" si="63"/>
        <v>2</v>
      </c>
    </row>
    <row r="976" spans="1:10" x14ac:dyDescent="0.2">
      <c r="A976" s="5">
        <v>84</v>
      </c>
      <c r="B976" s="5" t="s">
        <v>202</v>
      </c>
      <c r="C976" s="5">
        <v>53</v>
      </c>
      <c r="D976" s="5">
        <f t="shared" si="60"/>
        <v>349.23506143398839</v>
      </c>
      <c r="E976" s="5">
        <f t="shared" si="62"/>
        <v>1</v>
      </c>
      <c r="F976" s="5">
        <v>82</v>
      </c>
      <c r="G976" s="5" t="s">
        <v>386</v>
      </c>
      <c r="H976" s="5">
        <v>48</v>
      </c>
      <c r="I976" s="5">
        <f t="shared" si="61"/>
        <v>261.62956379894968</v>
      </c>
      <c r="J976" s="5">
        <f t="shared" si="63"/>
        <v>4</v>
      </c>
    </row>
    <row r="977" spans="1:10" x14ac:dyDescent="0.2">
      <c r="A977" s="5">
        <v>84.5</v>
      </c>
      <c r="B977" s="5" t="s">
        <v>250</v>
      </c>
      <c r="C977" s="5">
        <v>55</v>
      </c>
      <c r="D977" s="5">
        <f t="shared" si="60"/>
        <v>392.00377257605692</v>
      </c>
      <c r="E977" s="5">
        <f t="shared" si="62"/>
        <v>2</v>
      </c>
      <c r="F977" s="5">
        <v>83</v>
      </c>
      <c r="G977" s="5" t="s">
        <v>38</v>
      </c>
      <c r="H977" s="5">
        <v>52</v>
      </c>
      <c r="I977" s="5">
        <f t="shared" si="61"/>
        <v>329.63372180082422</v>
      </c>
      <c r="J977" s="5">
        <f t="shared" si="63"/>
        <v>4</v>
      </c>
    </row>
    <row r="978" spans="1:10" x14ac:dyDescent="0.2">
      <c r="A978" s="5">
        <v>85</v>
      </c>
      <c r="B978" s="5" t="s">
        <v>250</v>
      </c>
      <c r="C978" s="5">
        <v>55</v>
      </c>
      <c r="D978" s="5">
        <f t="shared" si="60"/>
        <v>392.00377257605692</v>
      </c>
      <c r="E978" s="5">
        <f t="shared" si="62"/>
        <v>0</v>
      </c>
      <c r="F978" s="5">
        <v>84</v>
      </c>
      <c r="G978" s="5" t="s">
        <v>271</v>
      </c>
      <c r="H978" s="5">
        <v>45</v>
      </c>
      <c r="I978" s="5">
        <f t="shared" si="61"/>
        <v>220.00279814001337</v>
      </c>
      <c r="J978" s="5">
        <f t="shared" si="63"/>
        <v>7</v>
      </c>
    </row>
    <row r="979" spans="1:10" x14ac:dyDescent="0.2">
      <c r="A979" s="5">
        <v>86</v>
      </c>
      <c r="B979" s="5" t="s">
        <v>202</v>
      </c>
      <c r="C979" s="5">
        <v>53</v>
      </c>
      <c r="D979" s="5">
        <f t="shared" si="60"/>
        <v>349.23506143398839</v>
      </c>
      <c r="E979" s="5">
        <f t="shared" si="62"/>
        <v>2</v>
      </c>
      <c r="F979" s="5">
        <v>84.5</v>
      </c>
      <c r="G979" s="5" t="s">
        <v>272</v>
      </c>
      <c r="H979" s="5">
        <v>47</v>
      </c>
      <c r="I979" s="5">
        <f t="shared" si="61"/>
        <v>246.94521361646048</v>
      </c>
      <c r="J979" s="5">
        <f t="shared" si="63"/>
        <v>2</v>
      </c>
    </row>
    <row r="980" spans="1:10" x14ac:dyDescent="0.2">
      <c r="A980" s="5">
        <v>86.5</v>
      </c>
      <c r="B980" s="5" t="s">
        <v>250</v>
      </c>
      <c r="C980" s="5">
        <v>55</v>
      </c>
      <c r="D980" s="5">
        <f t="shared" si="60"/>
        <v>392.00377257605692</v>
      </c>
      <c r="E980" s="5">
        <f t="shared" si="62"/>
        <v>2</v>
      </c>
      <c r="F980" s="5">
        <v>85</v>
      </c>
      <c r="G980" s="5" t="s">
        <v>274</v>
      </c>
      <c r="H980" s="5">
        <v>59</v>
      </c>
      <c r="I980" s="5">
        <f t="shared" si="61"/>
        <v>493.89549345236594</v>
      </c>
      <c r="J980" s="5">
        <f t="shared" si="63"/>
        <v>12</v>
      </c>
    </row>
    <row r="981" spans="1:10" x14ac:dyDescent="0.2">
      <c r="A981" s="5">
        <v>87</v>
      </c>
      <c r="B981" s="5" t="s">
        <v>250</v>
      </c>
      <c r="C981" s="5">
        <v>55</v>
      </c>
      <c r="D981" s="5">
        <f t="shared" si="60"/>
        <v>392.00377257605692</v>
      </c>
      <c r="E981" s="5">
        <f t="shared" si="62"/>
        <v>0</v>
      </c>
      <c r="F981" s="5">
        <v>86</v>
      </c>
      <c r="G981" s="5" t="s">
        <v>271</v>
      </c>
      <c r="H981" s="5">
        <v>45</v>
      </c>
      <c r="I981" s="5">
        <f t="shared" si="61"/>
        <v>220.00279814001337</v>
      </c>
      <c r="J981" s="5">
        <f t="shared" si="63"/>
        <v>14</v>
      </c>
    </row>
    <row r="982" spans="1:10" x14ac:dyDescent="0.2">
      <c r="A982" s="5">
        <v>88</v>
      </c>
      <c r="B982" s="5" t="s">
        <v>202</v>
      </c>
      <c r="C982" s="5">
        <v>53</v>
      </c>
      <c r="D982" s="5">
        <f t="shared" si="60"/>
        <v>349.23506143398839</v>
      </c>
      <c r="E982" s="5">
        <f t="shared" si="62"/>
        <v>2</v>
      </c>
      <c r="F982" s="5">
        <v>86.5</v>
      </c>
      <c r="G982" s="5" t="s">
        <v>272</v>
      </c>
      <c r="H982" s="5">
        <v>47</v>
      </c>
      <c r="I982" s="5">
        <f t="shared" si="61"/>
        <v>246.94521361646048</v>
      </c>
      <c r="J982" s="5">
        <f t="shared" si="63"/>
        <v>2</v>
      </c>
    </row>
    <row r="983" spans="1:10" x14ac:dyDescent="0.2">
      <c r="A983" s="5">
        <v>88.5</v>
      </c>
      <c r="B983" s="5" t="s">
        <v>250</v>
      </c>
      <c r="C983" s="5">
        <v>55</v>
      </c>
      <c r="D983" s="5">
        <f t="shared" si="60"/>
        <v>392.00377257605692</v>
      </c>
      <c r="E983" s="5">
        <f t="shared" si="62"/>
        <v>2</v>
      </c>
      <c r="F983" s="5">
        <v>87</v>
      </c>
      <c r="G983" s="5" t="s">
        <v>274</v>
      </c>
      <c r="H983" s="5">
        <v>59</v>
      </c>
      <c r="I983" s="5">
        <f t="shared" si="61"/>
        <v>493.89549345236594</v>
      </c>
      <c r="J983" s="5">
        <f t="shared" si="63"/>
        <v>12</v>
      </c>
    </row>
    <row r="984" spans="1:10" x14ac:dyDescent="0.2">
      <c r="A984" s="5">
        <v>89</v>
      </c>
      <c r="B984" s="5" t="s">
        <v>250</v>
      </c>
      <c r="C984" s="5">
        <v>55</v>
      </c>
      <c r="D984" s="5">
        <f t="shared" si="60"/>
        <v>392.00377257605692</v>
      </c>
      <c r="E984" s="5">
        <f t="shared" si="62"/>
        <v>0</v>
      </c>
      <c r="F984" s="5">
        <v>88</v>
      </c>
      <c r="G984" s="5" t="s">
        <v>271</v>
      </c>
      <c r="H984" s="5">
        <v>45</v>
      </c>
      <c r="I984" s="5">
        <f t="shared" si="61"/>
        <v>220.00279814001337</v>
      </c>
      <c r="J984" s="5">
        <f t="shared" si="63"/>
        <v>14</v>
      </c>
    </row>
    <row r="985" spans="1:10" x14ac:dyDescent="0.2">
      <c r="A985" s="5">
        <v>90</v>
      </c>
      <c r="B985" s="5" t="s">
        <v>202</v>
      </c>
      <c r="C985" s="5">
        <v>53</v>
      </c>
      <c r="D985" s="5">
        <f t="shared" si="60"/>
        <v>349.23506143398839</v>
      </c>
      <c r="E985" s="5">
        <f t="shared" si="62"/>
        <v>2</v>
      </c>
      <c r="F985" s="5">
        <v>88.5</v>
      </c>
      <c r="G985" s="5" t="s">
        <v>272</v>
      </c>
      <c r="H985" s="5">
        <v>47</v>
      </c>
      <c r="I985" s="5">
        <f t="shared" si="61"/>
        <v>246.94521361646048</v>
      </c>
      <c r="J985" s="5">
        <f t="shared" si="63"/>
        <v>2</v>
      </c>
    </row>
    <row r="986" spans="1:10" x14ac:dyDescent="0.2">
      <c r="A986" s="5">
        <v>90.5</v>
      </c>
      <c r="B986" s="5" t="s">
        <v>250</v>
      </c>
      <c r="C986" s="5">
        <v>55</v>
      </c>
      <c r="D986" s="5">
        <f t="shared" si="60"/>
        <v>392.00377257605692</v>
      </c>
      <c r="E986" s="5">
        <f t="shared" si="62"/>
        <v>2</v>
      </c>
      <c r="F986" s="5">
        <v>89</v>
      </c>
      <c r="G986" s="5" t="s">
        <v>274</v>
      </c>
      <c r="H986" s="5">
        <v>59</v>
      </c>
      <c r="I986" s="5">
        <f t="shared" si="61"/>
        <v>493.89549345236594</v>
      </c>
      <c r="J986" s="5">
        <f t="shared" si="63"/>
        <v>12</v>
      </c>
    </row>
    <row r="987" spans="1:10" x14ac:dyDescent="0.2">
      <c r="A987" s="5">
        <v>91</v>
      </c>
      <c r="B987" s="5" t="s">
        <v>250</v>
      </c>
      <c r="C987" s="5">
        <v>55</v>
      </c>
      <c r="D987" s="5">
        <f t="shared" si="60"/>
        <v>392.00377257605692</v>
      </c>
      <c r="E987" s="5">
        <f t="shared" si="62"/>
        <v>0</v>
      </c>
      <c r="F987" s="5">
        <v>90</v>
      </c>
      <c r="G987" s="5" t="s">
        <v>271</v>
      </c>
      <c r="H987" s="5">
        <v>45</v>
      </c>
      <c r="I987" s="5">
        <f t="shared" si="61"/>
        <v>220.00279814001337</v>
      </c>
      <c r="J987" s="5">
        <f t="shared" si="63"/>
        <v>14</v>
      </c>
    </row>
    <row r="988" spans="1:10" x14ac:dyDescent="0.2">
      <c r="A988" s="5">
        <v>92</v>
      </c>
      <c r="B988" s="5" t="s">
        <v>247</v>
      </c>
      <c r="C988" s="5">
        <v>50</v>
      </c>
      <c r="D988" s="5">
        <f t="shared" si="60"/>
        <v>293.66975814369101</v>
      </c>
      <c r="E988" s="5">
        <f t="shared" si="62"/>
        <v>5</v>
      </c>
      <c r="F988" s="5">
        <v>90.5</v>
      </c>
      <c r="G988" s="5" t="s">
        <v>272</v>
      </c>
      <c r="H988" s="5">
        <v>47</v>
      </c>
      <c r="I988" s="5">
        <f t="shared" si="61"/>
        <v>246.94521361646048</v>
      </c>
      <c r="J988" s="5">
        <f t="shared" si="63"/>
        <v>2</v>
      </c>
    </row>
    <row r="989" spans="1:10" x14ac:dyDescent="0.2">
      <c r="A989" s="5">
        <v>92.5</v>
      </c>
      <c r="B989" s="5" t="s">
        <v>202</v>
      </c>
      <c r="C989" s="5">
        <v>53</v>
      </c>
      <c r="D989" s="5">
        <f t="shared" si="60"/>
        <v>349.23506143398839</v>
      </c>
      <c r="E989" s="5">
        <f t="shared" si="62"/>
        <v>3</v>
      </c>
      <c r="F989" s="5">
        <v>91</v>
      </c>
      <c r="G989" s="5" t="s">
        <v>274</v>
      </c>
      <c r="H989" s="5">
        <v>59</v>
      </c>
      <c r="I989" s="5">
        <f t="shared" si="61"/>
        <v>493.89549345236594</v>
      </c>
      <c r="J989" s="5">
        <f t="shared" si="63"/>
        <v>12</v>
      </c>
    </row>
    <row r="990" spans="1:10" x14ac:dyDescent="0.2">
      <c r="A990" s="5">
        <v>93</v>
      </c>
      <c r="B990" s="5" t="s">
        <v>428</v>
      </c>
      <c r="C990" s="5">
        <v>50</v>
      </c>
      <c r="D990" s="5">
        <f t="shared" si="60"/>
        <v>293.66975814369101</v>
      </c>
      <c r="E990" s="5">
        <f t="shared" si="62"/>
        <v>3</v>
      </c>
      <c r="F990" s="5">
        <v>92</v>
      </c>
      <c r="G990" s="5" t="s">
        <v>55</v>
      </c>
      <c r="H990" s="5">
        <v>40</v>
      </c>
      <c r="I990" s="5">
        <f t="shared" si="61"/>
        <v>164.8151702626221</v>
      </c>
      <c r="J990" s="5">
        <f t="shared" si="63"/>
        <v>19</v>
      </c>
    </row>
    <row r="991" spans="1:10" x14ac:dyDescent="0.2">
      <c r="A991" s="5">
        <v>93.5</v>
      </c>
      <c r="B991" s="5" t="s">
        <v>250</v>
      </c>
      <c r="C991" s="5">
        <v>55</v>
      </c>
      <c r="D991" s="5">
        <f t="shared" si="60"/>
        <v>392.00377257605692</v>
      </c>
      <c r="E991" s="5">
        <f t="shared" si="62"/>
        <v>5</v>
      </c>
      <c r="F991" s="5">
        <v>92.5</v>
      </c>
      <c r="G991" s="5" t="s">
        <v>57</v>
      </c>
      <c r="H991" s="5">
        <v>43</v>
      </c>
      <c r="I991" s="5">
        <f t="shared" si="61"/>
        <v>195.99987576438383</v>
      </c>
      <c r="J991" s="5">
        <f t="shared" si="63"/>
        <v>3</v>
      </c>
    </row>
    <row r="992" spans="1:10" x14ac:dyDescent="0.2">
      <c r="A992" s="5">
        <v>94</v>
      </c>
      <c r="B992" s="5" t="s">
        <v>429</v>
      </c>
      <c r="C992" s="5">
        <v>50</v>
      </c>
      <c r="D992" s="5">
        <f t="shared" si="60"/>
        <v>293.66975814369101</v>
      </c>
      <c r="E992" s="5">
        <f t="shared" si="62"/>
        <v>5</v>
      </c>
      <c r="F992" s="5">
        <v>93</v>
      </c>
      <c r="G992" s="5" t="s">
        <v>58</v>
      </c>
      <c r="H992" s="5">
        <v>40</v>
      </c>
      <c r="I992" s="5">
        <f t="shared" si="61"/>
        <v>164.8151702626221</v>
      </c>
      <c r="J992" s="5">
        <f t="shared" si="63"/>
        <v>3</v>
      </c>
    </row>
    <row r="993" spans="1:24" x14ac:dyDescent="0.2">
      <c r="A993" s="5">
        <v>94.5</v>
      </c>
      <c r="B993" s="5" t="s">
        <v>248</v>
      </c>
      <c r="C993" s="5">
        <v>57</v>
      </c>
      <c r="D993" s="5">
        <f t="shared" si="60"/>
        <v>440.01010976071973</v>
      </c>
      <c r="E993" s="5">
        <f t="shared" si="62"/>
        <v>7</v>
      </c>
      <c r="F993" s="5">
        <v>93.5</v>
      </c>
      <c r="G993" s="5" t="s">
        <v>54</v>
      </c>
      <c r="H993" s="5">
        <v>45</v>
      </c>
      <c r="I993" s="5">
        <f t="shared" si="61"/>
        <v>220.00279814001337</v>
      </c>
      <c r="J993" s="5">
        <f t="shared" si="63"/>
        <v>5</v>
      </c>
    </row>
    <row r="994" spans="1:24" x14ac:dyDescent="0.2">
      <c r="A994" s="5">
        <v>95</v>
      </c>
      <c r="B994" s="5" t="s">
        <v>247</v>
      </c>
      <c r="C994" s="5">
        <v>50</v>
      </c>
      <c r="D994" s="5">
        <f t="shared" si="60"/>
        <v>293.66975814369101</v>
      </c>
      <c r="E994" s="5">
        <f t="shared" si="62"/>
        <v>7</v>
      </c>
      <c r="F994" s="5">
        <v>94</v>
      </c>
      <c r="G994" s="5" t="s">
        <v>59</v>
      </c>
      <c r="H994" s="5">
        <v>40</v>
      </c>
      <c r="I994" s="5">
        <f t="shared" si="61"/>
        <v>164.8151702626221</v>
      </c>
      <c r="J994" s="5">
        <f t="shared" si="63"/>
        <v>5</v>
      </c>
    </row>
    <row r="995" spans="1:24" x14ac:dyDescent="0.2">
      <c r="A995" s="5">
        <v>95.5</v>
      </c>
      <c r="B995" s="5" t="s">
        <v>249</v>
      </c>
      <c r="C995" s="5">
        <v>59</v>
      </c>
      <c r="D995" s="5">
        <f t="shared" si="60"/>
        <v>493.89549345236594</v>
      </c>
      <c r="E995" s="5">
        <f t="shared" si="62"/>
        <v>9</v>
      </c>
      <c r="F995" s="5">
        <v>94.5</v>
      </c>
      <c r="G995" s="5" t="s">
        <v>272</v>
      </c>
      <c r="H995" s="5">
        <v>47</v>
      </c>
      <c r="I995" s="5">
        <f t="shared" si="61"/>
        <v>246.94521361646048</v>
      </c>
      <c r="J995" s="5">
        <f t="shared" si="63"/>
        <v>7</v>
      </c>
    </row>
    <row r="996" spans="1:24" x14ac:dyDescent="0.2">
      <c r="A996" s="5">
        <v>96</v>
      </c>
      <c r="B996" s="5" t="s">
        <v>285</v>
      </c>
      <c r="C996" s="5">
        <v>62</v>
      </c>
      <c r="D996" s="5">
        <f t="shared" si="60"/>
        <v>587.34554108704231</v>
      </c>
      <c r="E996" s="5">
        <f t="shared" si="62"/>
        <v>3</v>
      </c>
      <c r="F996" s="5">
        <v>95</v>
      </c>
      <c r="G996" s="5" t="s">
        <v>59</v>
      </c>
      <c r="H996" s="5">
        <v>40</v>
      </c>
      <c r="I996" s="5">
        <f t="shared" si="61"/>
        <v>164.8151702626221</v>
      </c>
      <c r="J996" s="5">
        <f t="shared" si="63"/>
        <v>7</v>
      </c>
    </row>
    <row r="997" spans="1:24" x14ac:dyDescent="0.2">
      <c r="A997" s="5">
        <v>97</v>
      </c>
      <c r="B997" s="5" t="s">
        <v>285</v>
      </c>
      <c r="C997" s="5">
        <v>62</v>
      </c>
      <c r="D997" s="5">
        <f t="shared" si="60"/>
        <v>587.34554108704231</v>
      </c>
      <c r="E997" s="5">
        <f t="shared" si="62"/>
        <v>0</v>
      </c>
      <c r="F997" s="5">
        <v>95.5</v>
      </c>
      <c r="G997" s="5" t="s">
        <v>272</v>
      </c>
      <c r="H997" s="5">
        <v>47</v>
      </c>
      <c r="I997" s="5">
        <f t="shared" si="61"/>
        <v>246.94521361646048</v>
      </c>
      <c r="J997" s="5">
        <f t="shared" si="63"/>
        <v>7</v>
      </c>
    </row>
    <row r="998" spans="1:24" x14ac:dyDescent="0.2">
      <c r="A998" s="5">
        <v>98</v>
      </c>
      <c r="B998" s="5" t="s">
        <v>285</v>
      </c>
      <c r="C998" s="5">
        <v>62</v>
      </c>
      <c r="D998" s="5">
        <f t="shared" ref="D998:D1061" si="64">16.35117682*1.059464^C998</f>
        <v>587.34554108704231</v>
      </c>
      <c r="E998" s="5">
        <f t="shared" si="62"/>
        <v>0</v>
      </c>
      <c r="F998" s="5">
        <v>96</v>
      </c>
      <c r="G998" s="5" t="s">
        <v>59</v>
      </c>
      <c r="H998" s="5">
        <v>40</v>
      </c>
      <c r="I998" s="5">
        <f t="shared" ref="I998:I1061" si="65">16.35117682*1.059464^H998</f>
        <v>164.8151702626221</v>
      </c>
      <c r="J998" s="5">
        <f t="shared" si="63"/>
        <v>7</v>
      </c>
    </row>
    <row r="999" spans="1:24" x14ac:dyDescent="0.2">
      <c r="A999" s="5">
        <v>99</v>
      </c>
      <c r="B999" s="5" t="s">
        <v>285</v>
      </c>
      <c r="C999" s="5">
        <v>62</v>
      </c>
      <c r="D999" s="5">
        <f t="shared" si="64"/>
        <v>587.34554108704231</v>
      </c>
      <c r="E999" s="5">
        <f t="shared" ref="E999:E1062" si="66">ABS( C999-C998)</f>
        <v>0</v>
      </c>
      <c r="F999" s="5">
        <v>96.5</v>
      </c>
      <c r="G999" s="5" t="s">
        <v>57</v>
      </c>
      <c r="H999" s="5">
        <v>43</v>
      </c>
      <c r="I999" s="5">
        <f t="shared" si="65"/>
        <v>195.99987576438383</v>
      </c>
      <c r="J999" s="5">
        <f t="shared" ref="J999:J1062" si="67">ABS( H999-H998)</f>
        <v>3</v>
      </c>
    </row>
    <row r="1000" spans="1:24" x14ac:dyDescent="0.2">
      <c r="A1000" s="5">
        <v>100</v>
      </c>
      <c r="B1000" s="5" t="s">
        <v>247</v>
      </c>
      <c r="C1000" s="5">
        <v>50</v>
      </c>
      <c r="D1000" s="5">
        <f t="shared" si="64"/>
        <v>293.66975814369101</v>
      </c>
      <c r="E1000" s="5">
        <f t="shared" si="66"/>
        <v>12</v>
      </c>
      <c r="F1000" s="5">
        <v>97</v>
      </c>
      <c r="G1000" s="5" t="s">
        <v>57</v>
      </c>
      <c r="H1000" s="5">
        <v>43</v>
      </c>
      <c r="I1000" s="5">
        <f t="shared" si="65"/>
        <v>195.99987576438383</v>
      </c>
      <c r="J1000" s="5">
        <f t="shared" si="67"/>
        <v>0</v>
      </c>
    </row>
    <row r="1001" spans="1:24" x14ac:dyDescent="0.2">
      <c r="A1001" s="5">
        <v>100.5</v>
      </c>
      <c r="B1001" s="5" t="s">
        <v>202</v>
      </c>
      <c r="C1001" s="5">
        <v>53</v>
      </c>
      <c r="D1001" s="5">
        <f t="shared" si="64"/>
        <v>349.23506143398839</v>
      </c>
      <c r="E1001" s="5">
        <f t="shared" si="66"/>
        <v>3</v>
      </c>
      <c r="F1001" s="5">
        <v>98</v>
      </c>
      <c r="G1001" s="5" t="s">
        <v>57</v>
      </c>
      <c r="H1001" s="5">
        <v>43</v>
      </c>
      <c r="I1001" s="5">
        <f t="shared" si="65"/>
        <v>195.99987576438383</v>
      </c>
      <c r="J1001" s="5">
        <f t="shared" si="67"/>
        <v>0</v>
      </c>
    </row>
    <row r="1002" spans="1:24" x14ac:dyDescent="0.2">
      <c r="A1002" s="5">
        <v>101</v>
      </c>
      <c r="B1002" s="5" t="s">
        <v>428</v>
      </c>
      <c r="C1002" s="5">
        <v>50</v>
      </c>
      <c r="D1002" s="5">
        <f t="shared" si="64"/>
        <v>293.66975814369101</v>
      </c>
      <c r="E1002" s="5">
        <f t="shared" si="66"/>
        <v>3</v>
      </c>
      <c r="F1002" s="5">
        <v>99</v>
      </c>
      <c r="G1002" s="5" t="s">
        <v>57</v>
      </c>
      <c r="H1002" s="5">
        <v>43</v>
      </c>
      <c r="I1002" s="5">
        <f t="shared" si="65"/>
        <v>195.99987576438383</v>
      </c>
      <c r="J1002" s="5">
        <f t="shared" si="67"/>
        <v>0</v>
      </c>
    </row>
    <row r="1003" spans="1:24" x14ac:dyDescent="0.2">
      <c r="A1003" s="5">
        <v>101.5</v>
      </c>
      <c r="B1003" s="5" t="s">
        <v>250</v>
      </c>
      <c r="C1003" s="5">
        <v>55</v>
      </c>
      <c r="D1003" s="5">
        <f t="shared" si="64"/>
        <v>392.00377257605692</v>
      </c>
      <c r="E1003" s="5">
        <f t="shared" si="66"/>
        <v>5</v>
      </c>
      <c r="F1003" s="5">
        <v>100</v>
      </c>
      <c r="G1003" s="5" t="s">
        <v>55</v>
      </c>
      <c r="H1003" s="5">
        <v>40</v>
      </c>
      <c r="I1003" s="5">
        <f t="shared" si="65"/>
        <v>164.8151702626221</v>
      </c>
      <c r="J1003" s="5">
        <f t="shared" si="67"/>
        <v>3</v>
      </c>
      <c r="Q1003" s="5" t="s">
        <v>101</v>
      </c>
      <c r="S1003" s="5" t="s">
        <v>103</v>
      </c>
      <c r="W1003" s="5" t="s">
        <v>346</v>
      </c>
    </row>
    <row r="1004" spans="1:24" x14ac:dyDescent="0.2">
      <c r="A1004" s="5">
        <v>102</v>
      </c>
      <c r="B1004" s="5" t="s">
        <v>429</v>
      </c>
      <c r="C1004" s="5">
        <v>50</v>
      </c>
      <c r="D1004" s="5">
        <f t="shared" si="64"/>
        <v>293.66975814369101</v>
      </c>
      <c r="E1004" s="5">
        <f t="shared" si="66"/>
        <v>5</v>
      </c>
      <c r="F1004" s="5">
        <v>100.5</v>
      </c>
      <c r="G1004" s="5" t="s">
        <v>57</v>
      </c>
      <c r="H1004" s="5">
        <v>43</v>
      </c>
      <c r="I1004" s="5">
        <f t="shared" si="65"/>
        <v>195.99987576438383</v>
      </c>
      <c r="J1004" s="5">
        <f t="shared" si="67"/>
        <v>3</v>
      </c>
      <c r="Q1004">
        <v>0</v>
      </c>
      <c r="R1004">
        <v>3257</v>
      </c>
      <c r="S1004" s="5" t="s">
        <v>343</v>
      </c>
      <c r="T1004">
        <v>0</v>
      </c>
      <c r="U1004">
        <f>-897.3*(T1004)+2925.2</f>
        <v>2925.2</v>
      </c>
      <c r="W1004">
        <v>0</v>
      </c>
      <c r="X1004">
        <f>AVERAGE(R1004,R1010)</f>
        <v>3732.5</v>
      </c>
    </row>
    <row r="1005" spans="1:24" ht="14.25" x14ac:dyDescent="0.2">
      <c r="A1005" s="5">
        <v>102.5</v>
      </c>
      <c r="B1005" s="5" t="s">
        <v>248</v>
      </c>
      <c r="C1005" s="5">
        <v>57</v>
      </c>
      <c r="D1005" s="5">
        <f t="shared" si="64"/>
        <v>440.01010976071973</v>
      </c>
      <c r="E1005" s="5">
        <f t="shared" si="66"/>
        <v>7</v>
      </c>
      <c r="F1005" s="5">
        <v>101</v>
      </c>
      <c r="G1005" s="5" t="s">
        <v>58</v>
      </c>
      <c r="H1005" s="5">
        <v>40</v>
      </c>
      <c r="I1005" s="5">
        <f t="shared" si="65"/>
        <v>164.8151702626221</v>
      </c>
      <c r="J1005" s="5">
        <f t="shared" si="67"/>
        <v>3</v>
      </c>
      <c r="Q1005">
        <v>1</v>
      </c>
      <c r="R1005">
        <v>1651</v>
      </c>
      <c r="S1005" s="5" t="s">
        <v>105</v>
      </c>
      <c r="T1005">
        <v>1</v>
      </c>
      <c r="U1005" s="5">
        <f>-897.3*(T1005)+2925.2</f>
        <v>2027.8999999999999</v>
      </c>
      <c r="W1005">
        <v>1</v>
      </c>
      <c r="X1005" s="5">
        <f>AVERAGE(R1005,R1011)</f>
        <v>1925.5</v>
      </c>
    </row>
    <row r="1006" spans="1:24" x14ac:dyDescent="0.2">
      <c r="A1006" s="5">
        <v>103</v>
      </c>
      <c r="B1006" s="5" t="s">
        <v>247</v>
      </c>
      <c r="C1006" s="5">
        <v>50</v>
      </c>
      <c r="D1006" s="5">
        <f t="shared" si="64"/>
        <v>293.66975814369101</v>
      </c>
      <c r="E1006" s="5">
        <f t="shared" si="66"/>
        <v>7</v>
      </c>
      <c r="F1006" s="5">
        <v>101.5</v>
      </c>
      <c r="G1006" s="5" t="s">
        <v>54</v>
      </c>
      <c r="H1006" s="5">
        <v>45</v>
      </c>
      <c r="I1006" s="5">
        <f t="shared" si="65"/>
        <v>220.00279814001337</v>
      </c>
      <c r="J1006" s="5">
        <f t="shared" si="67"/>
        <v>5</v>
      </c>
      <c r="Q1006">
        <v>2</v>
      </c>
      <c r="R1006">
        <v>889</v>
      </c>
      <c r="T1006">
        <v>2</v>
      </c>
      <c r="U1006" s="5">
        <f>-897.3*(T1006)+2925.2</f>
        <v>1130.5999999999999</v>
      </c>
      <c r="W1006">
        <v>2</v>
      </c>
      <c r="X1006" s="5">
        <f>AVERAGE(R1006,R1012)</f>
        <v>861.5</v>
      </c>
    </row>
    <row r="1007" spans="1:24" x14ac:dyDescent="0.2">
      <c r="A1007" s="5">
        <v>103.5</v>
      </c>
      <c r="B1007" s="5" t="s">
        <v>249</v>
      </c>
      <c r="C1007" s="5">
        <v>59</v>
      </c>
      <c r="D1007" s="5">
        <f t="shared" si="64"/>
        <v>493.89549345236594</v>
      </c>
      <c r="E1007" s="5">
        <f t="shared" si="66"/>
        <v>9</v>
      </c>
      <c r="F1007" s="5">
        <v>102</v>
      </c>
      <c r="G1007" s="5" t="s">
        <v>59</v>
      </c>
      <c r="H1007" s="5">
        <v>40</v>
      </c>
      <c r="I1007" s="5">
        <f t="shared" si="65"/>
        <v>164.8151702626221</v>
      </c>
      <c r="J1007" s="5">
        <f t="shared" si="67"/>
        <v>5</v>
      </c>
      <c r="Q1007">
        <v>3</v>
      </c>
      <c r="R1007">
        <v>520</v>
      </c>
      <c r="T1007">
        <v>3</v>
      </c>
      <c r="U1007" s="5">
        <f>-897.3*(T1007)+2925.2</f>
        <v>233.30000000000018</v>
      </c>
      <c r="W1007">
        <v>3</v>
      </c>
      <c r="X1007" s="5">
        <f>AVERAGE(R1007,R1013)</f>
        <v>517.5</v>
      </c>
    </row>
    <row r="1008" spans="1:24" x14ac:dyDescent="0.2">
      <c r="A1008" s="5">
        <v>104</v>
      </c>
      <c r="B1008" s="5" t="s">
        <v>285</v>
      </c>
      <c r="C1008" s="5">
        <v>62</v>
      </c>
      <c r="D1008" s="5">
        <f t="shared" si="64"/>
        <v>587.34554108704231</v>
      </c>
      <c r="E1008" s="5">
        <f t="shared" si="66"/>
        <v>3</v>
      </c>
      <c r="F1008" s="5">
        <v>102.5</v>
      </c>
      <c r="G1008" s="5" t="s">
        <v>272</v>
      </c>
      <c r="H1008" s="5">
        <v>47</v>
      </c>
      <c r="I1008" s="5">
        <f t="shared" si="65"/>
        <v>246.94521361646048</v>
      </c>
      <c r="J1008" s="5">
        <f t="shared" si="67"/>
        <v>7</v>
      </c>
    </row>
    <row r="1009" spans="1:24" x14ac:dyDescent="0.2">
      <c r="A1009" s="5">
        <v>105</v>
      </c>
      <c r="B1009" s="5" t="s">
        <v>285</v>
      </c>
      <c r="C1009" s="5">
        <v>62</v>
      </c>
      <c r="D1009" s="5">
        <f t="shared" si="64"/>
        <v>587.34554108704231</v>
      </c>
      <c r="E1009" s="5">
        <f t="shared" si="66"/>
        <v>0</v>
      </c>
      <c r="F1009" s="5">
        <v>103</v>
      </c>
      <c r="G1009" s="5" t="s">
        <v>59</v>
      </c>
      <c r="H1009" s="5">
        <v>40</v>
      </c>
      <c r="I1009" s="5">
        <f t="shared" si="65"/>
        <v>164.8151702626221</v>
      </c>
      <c r="J1009" s="5">
        <f t="shared" si="67"/>
        <v>7</v>
      </c>
      <c r="Q1009" s="5" t="s">
        <v>102</v>
      </c>
      <c r="S1009" s="5" t="s">
        <v>104</v>
      </c>
      <c r="V1009" s="5" t="s">
        <v>451</v>
      </c>
    </row>
    <row r="1010" spans="1:24" x14ac:dyDescent="0.2">
      <c r="A1010" s="5">
        <v>106</v>
      </c>
      <c r="B1010" s="5" t="s">
        <v>285</v>
      </c>
      <c r="C1010" s="5">
        <v>62</v>
      </c>
      <c r="D1010" s="5">
        <f t="shared" si="64"/>
        <v>587.34554108704231</v>
      </c>
      <c r="E1010" s="5">
        <f t="shared" si="66"/>
        <v>0</v>
      </c>
      <c r="F1010" s="5">
        <v>103.5</v>
      </c>
      <c r="G1010" s="5" t="s">
        <v>272</v>
      </c>
      <c r="H1010" s="5">
        <v>47</v>
      </c>
      <c r="I1010" s="5">
        <f t="shared" si="65"/>
        <v>246.94521361646048</v>
      </c>
      <c r="J1010" s="5">
        <f t="shared" si="67"/>
        <v>7</v>
      </c>
      <c r="Q1010">
        <v>0</v>
      </c>
      <c r="R1010">
        <v>4208</v>
      </c>
      <c r="S1010" s="5" t="s">
        <v>345</v>
      </c>
      <c r="T1010">
        <v>0</v>
      </c>
      <c r="U1010">
        <f>-1244.5*(T1010)+3806</f>
        <v>3806</v>
      </c>
      <c r="V1010" s="5" t="s">
        <v>452</v>
      </c>
      <c r="W1010">
        <v>0</v>
      </c>
      <c r="X1010">
        <f>-1070.9*(W1010)+3365.6</f>
        <v>3365.6</v>
      </c>
    </row>
    <row r="1011" spans="1:24" ht="14.25" x14ac:dyDescent="0.2">
      <c r="A1011" s="5">
        <v>107</v>
      </c>
      <c r="B1011" s="5" t="s">
        <v>285</v>
      </c>
      <c r="C1011" s="5">
        <v>62</v>
      </c>
      <c r="D1011" s="5">
        <f t="shared" si="64"/>
        <v>587.34554108704231</v>
      </c>
      <c r="E1011" s="5">
        <f t="shared" si="66"/>
        <v>0</v>
      </c>
      <c r="F1011" s="5">
        <v>104</v>
      </c>
      <c r="G1011" s="5" t="s">
        <v>59</v>
      </c>
      <c r="H1011" s="5">
        <v>40</v>
      </c>
      <c r="I1011" s="5">
        <f t="shared" si="65"/>
        <v>164.8151702626221</v>
      </c>
      <c r="J1011" s="5">
        <f t="shared" si="67"/>
        <v>7</v>
      </c>
      <c r="Q1011">
        <v>1</v>
      </c>
      <c r="R1011">
        <v>2200</v>
      </c>
      <c r="S1011" s="5" t="s">
        <v>344</v>
      </c>
      <c r="T1011">
        <v>1</v>
      </c>
      <c r="U1011" s="5">
        <f>-1244.5*(T1011)+3806</f>
        <v>2561.5</v>
      </c>
      <c r="V1011" s="5" t="s">
        <v>453</v>
      </c>
      <c r="W1011">
        <v>1</v>
      </c>
      <c r="X1011" s="5">
        <f>-1070.9*(W1011)+3365.6</f>
        <v>2294.6999999999998</v>
      </c>
    </row>
    <row r="1012" spans="1:24" x14ac:dyDescent="0.2">
      <c r="A1012" s="5">
        <v>108</v>
      </c>
      <c r="B1012" s="5" t="s">
        <v>247</v>
      </c>
      <c r="C1012" s="5">
        <v>50</v>
      </c>
      <c r="D1012" s="5">
        <f t="shared" si="64"/>
        <v>293.66975814369101</v>
      </c>
      <c r="E1012" s="5">
        <f t="shared" si="66"/>
        <v>12</v>
      </c>
      <c r="F1012" s="5">
        <v>104.5</v>
      </c>
      <c r="G1012" s="5" t="s">
        <v>57</v>
      </c>
      <c r="H1012" s="5">
        <v>43</v>
      </c>
      <c r="I1012" s="5">
        <f t="shared" si="65"/>
        <v>195.99987576438383</v>
      </c>
      <c r="J1012" s="5">
        <f t="shared" si="67"/>
        <v>3</v>
      </c>
      <c r="Q1012">
        <v>2</v>
      </c>
      <c r="R1012">
        <v>834</v>
      </c>
      <c r="T1012">
        <v>2</v>
      </c>
      <c r="U1012" s="5">
        <f>-1244.5*(T1012)+3806</f>
        <v>1317</v>
      </c>
      <c r="W1012">
        <v>2</v>
      </c>
      <c r="X1012" s="5">
        <f>-1070.9*(W1012)+3365.6</f>
        <v>1223.7999999999997</v>
      </c>
    </row>
    <row r="1013" spans="1:24" x14ac:dyDescent="0.2">
      <c r="A1013" s="5">
        <v>108.5</v>
      </c>
      <c r="B1013" s="5" t="s">
        <v>202</v>
      </c>
      <c r="C1013" s="5">
        <v>53</v>
      </c>
      <c r="D1013" s="5">
        <f t="shared" si="64"/>
        <v>349.23506143398839</v>
      </c>
      <c r="E1013" s="5">
        <f t="shared" si="66"/>
        <v>3</v>
      </c>
      <c r="F1013" s="5">
        <v>105</v>
      </c>
      <c r="G1013" s="5" t="s">
        <v>57</v>
      </c>
      <c r="H1013" s="5">
        <v>43</v>
      </c>
      <c r="I1013" s="5">
        <f t="shared" si="65"/>
        <v>195.99987576438383</v>
      </c>
      <c r="J1013" s="5">
        <f t="shared" si="67"/>
        <v>0</v>
      </c>
      <c r="Q1013">
        <v>3</v>
      </c>
      <c r="R1013">
        <v>515</v>
      </c>
      <c r="T1013">
        <v>3</v>
      </c>
      <c r="U1013" s="5">
        <f>-1244.5*(T1013)+3806</f>
        <v>72.5</v>
      </c>
      <c r="W1013">
        <v>3</v>
      </c>
      <c r="X1013" s="5">
        <f>-1070.9*(W1013)+3365.6</f>
        <v>152.89999999999964</v>
      </c>
    </row>
    <row r="1014" spans="1:24" x14ac:dyDescent="0.2">
      <c r="A1014" s="5">
        <v>109</v>
      </c>
      <c r="B1014" s="5" t="s">
        <v>428</v>
      </c>
      <c r="C1014" s="5">
        <v>50</v>
      </c>
      <c r="D1014" s="5">
        <f t="shared" si="64"/>
        <v>293.66975814369101</v>
      </c>
      <c r="E1014" s="5">
        <f t="shared" si="66"/>
        <v>3</v>
      </c>
      <c r="F1014" s="5">
        <v>106</v>
      </c>
      <c r="G1014" s="5" t="s">
        <v>57</v>
      </c>
      <c r="H1014" s="5">
        <v>43</v>
      </c>
      <c r="I1014" s="5">
        <f t="shared" si="65"/>
        <v>195.99987576438383</v>
      </c>
      <c r="J1014" s="5">
        <f t="shared" si="67"/>
        <v>0</v>
      </c>
    </row>
    <row r="1015" spans="1:24" x14ac:dyDescent="0.2">
      <c r="A1015" s="5">
        <v>109.5</v>
      </c>
      <c r="B1015" s="5" t="s">
        <v>250</v>
      </c>
      <c r="C1015" s="5">
        <v>55</v>
      </c>
      <c r="D1015" s="5">
        <f t="shared" si="64"/>
        <v>392.00377257605692</v>
      </c>
      <c r="E1015" s="5">
        <f t="shared" si="66"/>
        <v>5</v>
      </c>
      <c r="F1015" s="5">
        <v>107</v>
      </c>
      <c r="G1015" s="5" t="s">
        <v>57</v>
      </c>
      <c r="H1015" s="5">
        <v>43</v>
      </c>
      <c r="I1015" s="5">
        <f t="shared" si="65"/>
        <v>195.99987576438383</v>
      </c>
      <c r="J1015" s="5">
        <f t="shared" si="67"/>
        <v>0</v>
      </c>
    </row>
    <row r="1016" spans="1:24" x14ac:dyDescent="0.2">
      <c r="A1016" s="5">
        <v>110</v>
      </c>
      <c r="B1016" s="5" t="s">
        <v>429</v>
      </c>
      <c r="C1016" s="5">
        <v>50</v>
      </c>
      <c r="D1016" s="5">
        <f t="shared" si="64"/>
        <v>293.66975814369101</v>
      </c>
      <c r="E1016" s="5">
        <f t="shared" si="66"/>
        <v>5</v>
      </c>
      <c r="F1016" s="5">
        <v>108</v>
      </c>
      <c r="G1016" s="5" t="s">
        <v>55</v>
      </c>
      <c r="H1016" s="5">
        <v>40</v>
      </c>
      <c r="I1016" s="5">
        <f t="shared" si="65"/>
        <v>164.8151702626221</v>
      </c>
      <c r="J1016" s="5">
        <f t="shared" si="67"/>
        <v>3</v>
      </c>
    </row>
    <row r="1017" spans="1:24" x14ac:dyDescent="0.2">
      <c r="A1017" s="5">
        <v>110.5</v>
      </c>
      <c r="B1017" s="5" t="s">
        <v>248</v>
      </c>
      <c r="C1017" s="5">
        <v>57</v>
      </c>
      <c r="D1017" s="5">
        <f t="shared" si="64"/>
        <v>440.01010976071973</v>
      </c>
      <c r="E1017" s="5">
        <f t="shared" si="66"/>
        <v>7</v>
      </c>
      <c r="F1017" s="5">
        <v>108.5</v>
      </c>
      <c r="G1017" s="5" t="s">
        <v>57</v>
      </c>
      <c r="H1017" s="5">
        <v>43</v>
      </c>
      <c r="I1017" s="5">
        <f t="shared" si="65"/>
        <v>195.99987576438383</v>
      </c>
      <c r="J1017" s="5">
        <f t="shared" si="67"/>
        <v>3</v>
      </c>
    </row>
    <row r="1018" spans="1:24" x14ac:dyDescent="0.2">
      <c r="A1018" s="5">
        <v>111</v>
      </c>
      <c r="B1018" s="5" t="s">
        <v>247</v>
      </c>
      <c r="C1018" s="5">
        <v>50</v>
      </c>
      <c r="D1018" s="5">
        <f t="shared" si="64"/>
        <v>293.66975814369101</v>
      </c>
      <c r="E1018" s="5">
        <f t="shared" si="66"/>
        <v>7</v>
      </c>
      <c r="F1018" s="5">
        <v>109</v>
      </c>
      <c r="G1018" s="5" t="s">
        <v>58</v>
      </c>
      <c r="H1018" s="5">
        <v>40</v>
      </c>
      <c r="I1018" s="5">
        <f t="shared" si="65"/>
        <v>164.8151702626221</v>
      </c>
      <c r="J1018" s="5">
        <f t="shared" si="67"/>
        <v>3</v>
      </c>
    </row>
    <row r="1019" spans="1:24" x14ac:dyDescent="0.2">
      <c r="A1019" s="5">
        <v>111.5</v>
      </c>
      <c r="B1019" s="5" t="s">
        <v>249</v>
      </c>
      <c r="C1019" s="5">
        <v>59</v>
      </c>
      <c r="D1019" s="5">
        <f t="shared" si="64"/>
        <v>493.89549345236594</v>
      </c>
      <c r="E1019" s="5">
        <f t="shared" si="66"/>
        <v>9</v>
      </c>
      <c r="F1019" s="5">
        <v>109.5</v>
      </c>
      <c r="G1019" s="5" t="s">
        <v>54</v>
      </c>
      <c r="H1019" s="5">
        <v>45</v>
      </c>
      <c r="I1019" s="5">
        <f t="shared" si="65"/>
        <v>220.00279814001337</v>
      </c>
      <c r="J1019" s="5">
        <f t="shared" si="67"/>
        <v>5</v>
      </c>
    </row>
    <row r="1020" spans="1:24" x14ac:dyDescent="0.2">
      <c r="A1020" s="5">
        <v>112</v>
      </c>
      <c r="B1020" s="5" t="s">
        <v>285</v>
      </c>
      <c r="C1020" s="5">
        <v>62</v>
      </c>
      <c r="D1020" s="5">
        <f t="shared" si="64"/>
        <v>587.34554108704231</v>
      </c>
      <c r="E1020" s="5">
        <f t="shared" si="66"/>
        <v>3</v>
      </c>
      <c r="F1020" s="5">
        <v>110</v>
      </c>
      <c r="G1020" s="5" t="s">
        <v>59</v>
      </c>
      <c r="H1020" s="5">
        <v>40</v>
      </c>
      <c r="I1020" s="5">
        <f t="shared" si="65"/>
        <v>164.8151702626221</v>
      </c>
      <c r="J1020" s="5">
        <f t="shared" si="67"/>
        <v>5</v>
      </c>
    </row>
    <row r="1021" spans="1:24" x14ac:dyDescent="0.2">
      <c r="A1021" s="5">
        <v>113</v>
      </c>
      <c r="B1021" s="5" t="s">
        <v>285</v>
      </c>
      <c r="C1021" s="5">
        <v>62</v>
      </c>
      <c r="D1021" s="5">
        <f t="shared" si="64"/>
        <v>587.34554108704231</v>
      </c>
      <c r="E1021" s="5">
        <f t="shared" si="66"/>
        <v>0</v>
      </c>
      <c r="F1021" s="5">
        <v>110.5</v>
      </c>
      <c r="G1021" s="5" t="s">
        <v>272</v>
      </c>
      <c r="H1021" s="5">
        <v>47</v>
      </c>
      <c r="I1021" s="5">
        <f t="shared" si="65"/>
        <v>246.94521361646048</v>
      </c>
      <c r="J1021" s="5">
        <f t="shared" si="67"/>
        <v>7</v>
      </c>
    </row>
    <row r="1022" spans="1:24" x14ac:dyDescent="0.2">
      <c r="A1022" s="5">
        <v>114</v>
      </c>
      <c r="B1022" s="5" t="s">
        <v>285</v>
      </c>
      <c r="C1022" s="5">
        <v>62</v>
      </c>
      <c r="D1022" s="5">
        <f t="shared" si="64"/>
        <v>587.34554108704231</v>
      </c>
      <c r="E1022" s="5">
        <f t="shared" si="66"/>
        <v>0</v>
      </c>
      <c r="F1022" s="5">
        <v>111</v>
      </c>
      <c r="G1022" s="5" t="s">
        <v>59</v>
      </c>
      <c r="H1022" s="5">
        <v>40</v>
      </c>
      <c r="I1022" s="5">
        <f t="shared" si="65"/>
        <v>164.8151702626221</v>
      </c>
      <c r="J1022" s="5">
        <f t="shared" si="67"/>
        <v>7</v>
      </c>
    </row>
    <row r="1023" spans="1:24" x14ac:dyDescent="0.2">
      <c r="A1023" s="5">
        <v>115</v>
      </c>
      <c r="B1023" s="5" t="s">
        <v>285</v>
      </c>
      <c r="C1023" s="5">
        <v>62</v>
      </c>
      <c r="D1023" s="5">
        <f t="shared" si="64"/>
        <v>587.34554108704231</v>
      </c>
      <c r="E1023" s="5">
        <f t="shared" si="66"/>
        <v>0</v>
      </c>
      <c r="F1023" s="5">
        <v>111.5</v>
      </c>
      <c r="G1023" s="5" t="s">
        <v>272</v>
      </c>
      <c r="H1023" s="5">
        <v>47</v>
      </c>
      <c r="I1023" s="5">
        <f t="shared" si="65"/>
        <v>246.94521361646048</v>
      </c>
      <c r="J1023" s="5">
        <f t="shared" si="67"/>
        <v>7</v>
      </c>
    </row>
    <row r="1024" spans="1:24" x14ac:dyDescent="0.2">
      <c r="A1024" s="5">
        <v>116</v>
      </c>
      <c r="B1024" s="5" t="s">
        <v>247</v>
      </c>
      <c r="C1024" s="5">
        <v>50</v>
      </c>
      <c r="D1024" s="5">
        <f t="shared" si="64"/>
        <v>293.66975814369101</v>
      </c>
      <c r="E1024" s="5">
        <f t="shared" si="66"/>
        <v>12</v>
      </c>
      <c r="F1024" s="5">
        <v>112</v>
      </c>
      <c r="G1024" s="5" t="s">
        <v>59</v>
      </c>
      <c r="H1024" s="5">
        <v>40</v>
      </c>
      <c r="I1024" s="5">
        <f t="shared" si="65"/>
        <v>164.8151702626221</v>
      </c>
      <c r="J1024" s="5">
        <f t="shared" si="67"/>
        <v>7</v>
      </c>
    </row>
    <row r="1025" spans="1:10" x14ac:dyDescent="0.2">
      <c r="A1025" s="5">
        <v>116.5</v>
      </c>
      <c r="B1025" s="5" t="s">
        <v>202</v>
      </c>
      <c r="C1025" s="5">
        <v>53</v>
      </c>
      <c r="D1025" s="5">
        <f t="shared" si="64"/>
        <v>349.23506143398839</v>
      </c>
      <c r="E1025" s="5">
        <f t="shared" si="66"/>
        <v>3</v>
      </c>
      <c r="F1025" s="5">
        <v>112.5</v>
      </c>
      <c r="G1025" s="5" t="s">
        <v>57</v>
      </c>
      <c r="H1025" s="5">
        <v>43</v>
      </c>
      <c r="I1025" s="5">
        <f t="shared" si="65"/>
        <v>195.99987576438383</v>
      </c>
      <c r="J1025" s="5">
        <f t="shared" si="67"/>
        <v>3</v>
      </c>
    </row>
    <row r="1026" spans="1:10" x14ac:dyDescent="0.2">
      <c r="A1026" s="5">
        <v>117</v>
      </c>
      <c r="B1026" s="5" t="s">
        <v>428</v>
      </c>
      <c r="C1026" s="5">
        <v>50</v>
      </c>
      <c r="D1026" s="5">
        <f t="shared" si="64"/>
        <v>293.66975814369101</v>
      </c>
      <c r="E1026" s="5">
        <f t="shared" si="66"/>
        <v>3</v>
      </c>
      <c r="F1026" s="5">
        <v>113</v>
      </c>
      <c r="G1026" s="5" t="s">
        <v>57</v>
      </c>
      <c r="H1026" s="5">
        <v>43</v>
      </c>
      <c r="I1026" s="5">
        <f t="shared" si="65"/>
        <v>195.99987576438383</v>
      </c>
      <c r="J1026" s="5">
        <f t="shared" si="67"/>
        <v>0</v>
      </c>
    </row>
    <row r="1027" spans="1:10" x14ac:dyDescent="0.2">
      <c r="A1027" s="5">
        <v>117.5</v>
      </c>
      <c r="B1027" s="5" t="s">
        <v>250</v>
      </c>
      <c r="C1027" s="5">
        <v>55</v>
      </c>
      <c r="D1027" s="5">
        <f t="shared" si="64"/>
        <v>392.00377257605692</v>
      </c>
      <c r="E1027" s="5">
        <f t="shared" si="66"/>
        <v>5</v>
      </c>
      <c r="F1027" s="5">
        <v>114</v>
      </c>
      <c r="G1027" s="5" t="s">
        <v>57</v>
      </c>
      <c r="H1027" s="5">
        <v>43</v>
      </c>
      <c r="I1027" s="5">
        <f t="shared" si="65"/>
        <v>195.99987576438383</v>
      </c>
      <c r="J1027" s="5">
        <f t="shared" si="67"/>
        <v>0</v>
      </c>
    </row>
    <row r="1028" spans="1:10" x14ac:dyDescent="0.2">
      <c r="A1028" s="5">
        <v>118</v>
      </c>
      <c r="B1028" s="5" t="s">
        <v>429</v>
      </c>
      <c r="C1028" s="5">
        <v>50</v>
      </c>
      <c r="D1028" s="5">
        <f t="shared" si="64"/>
        <v>293.66975814369101</v>
      </c>
      <c r="E1028" s="5">
        <f t="shared" si="66"/>
        <v>5</v>
      </c>
      <c r="F1028" s="5">
        <v>115</v>
      </c>
      <c r="G1028" s="5" t="s">
        <v>57</v>
      </c>
      <c r="H1028" s="5">
        <v>43</v>
      </c>
      <c r="I1028" s="5">
        <f t="shared" si="65"/>
        <v>195.99987576438383</v>
      </c>
      <c r="J1028" s="5">
        <f t="shared" si="67"/>
        <v>0</v>
      </c>
    </row>
    <row r="1029" spans="1:10" x14ac:dyDescent="0.2">
      <c r="A1029" s="5">
        <v>118.5</v>
      </c>
      <c r="B1029" s="5" t="s">
        <v>248</v>
      </c>
      <c r="C1029" s="5">
        <v>57</v>
      </c>
      <c r="D1029" s="5">
        <f t="shared" si="64"/>
        <v>440.01010976071973</v>
      </c>
      <c r="E1029" s="5">
        <f t="shared" si="66"/>
        <v>7</v>
      </c>
      <c r="F1029" s="5">
        <v>116</v>
      </c>
      <c r="G1029" s="5" t="s">
        <v>55</v>
      </c>
      <c r="H1029" s="5">
        <v>40</v>
      </c>
      <c r="I1029" s="5">
        <f t="shared" si="65"/>
        <v>164.8151702626221</v>
      </c>
      <c r="J1029" s="5">
        <f t="shared" si="67"/>
        <v>3</v>
      </c>
    </row>
    <row r="1030" spans="1:10" x14ac:dyDescent="0.2">
      <c r="A1030" s="5">
        <v>119</v>
      </c>
      <c r="B1030" s="5" t="s">
        <v>247</v>
      </c>
      <c r="C1030" s="5">
        <v>50</v>
      </c>
      <c r="D1030" s="5">
        <f t="shared" si="64"/>
        <v>293.66975814369101</v>
      </c>
      <c r="E1030" s="5">
        <f t="shared" si="66"/>
        <v>7</v>
      </c>
      <c r="F1030" s="5">
        <v>116.5</v>
      </c>
      <c r="G1030" s="5" t="s">
        <v>57</v>
      </c>
      <c r="H1030" s="5">
        <v>43</v>
      </c>
      <c r="I1030" s="5">
        <f t="shared" si="65"/>
        <v>195.99987576438383</v>
      </c>
      <c r="J1030" s="5">
        <f t="shared" si="67"/>
        <v>3</v>
      </c>
    </row>
    <row r="1031" spans="1:10" x14ac:dyDescent="0.2">
      <c r="A1031" s="5">
        <v>119.5</v>
      </c>
      <c r="B1031" s="5" t="s">
        <v>249</v>
      </c>
      <c r="C1031" s="5">
        <v>59</v>
      </c>
      <c r="D1031" s="5">
        <f t="shared" si="64"/>
        <v>493.89549345236594</v>
      </c>
      <c r="E1031" s="5">
        <f t="shared" si="66"/>
        <v>9</v>
      </c>
      <c r="F1031" s="5">
        <v>117</v>
      </c>
      <c r="G1031" s="5" t="s">
        <v>58</v>
      </c>
      <c r="H1031" s="5">
        <v>40</v>
      </c>
      <c r="I1031" s="5">
        <f t="shared" si="65"/>
        <v>164.8151702626221</v>
      </c>
      <c r="J1031" s="5">
        <f t="shared" si="67"/>
        <v>3</v>
      </c>
    </row>
    <row r="1032" spans="1:10" x14ac:dyDescent="0.2">
      <c r="A1032" s="5">
        <v>120</v>
      </c>
      <c r="B1032" s="5" t="s">
        <v>285</v>
      </c>
      <c r="C1032" s="5">
        <v>62</v>
      </c>
      <c r="D1032" s="5">
        <f t="shared" si="64"/>
        <v>587.34554108704231</v>
      </c>
      <c r="E1032" s="5">
        <f t="shared" si="66"/>
        <v>3</v>
      </c>
      <c r="F1032" s="5">
        <v>117.5</v>
      </c>
      <c r="G1032" s="5" t="s">
        <v>54</v>
      </c>
      <c r="H1032" s="5">
        <v>45</v>
      </c>
      <c r="I1032" s="5">
        <f t="shared" si="65"/>
        <v>220.00279814001337</v>
      </c>
      <c r="J1032" s="5">
        <f t="shared" si="67"/>
        <v>5</v>
      </c>
    </row>
    <row r="1033" spans="1:10" x14ac:dyDescent="0.2">
      <c r="A1033" s="5">
        <v>121</v>
      </c>
      <c r="B1033" s="5" t="s">
        <v>285</v>
      </c>
      <c r="C1033" s="5">
        <v>62</v>
      </c>
      <c r="D1033" s="5">
        <f t="shared" si="64"/>
        <v>587.34554108704231</v>
      </c>
      <c r="E1033" s="5">
        <f t="shared" si="66"/>
        <v>0</v>
      </c>
      <c r="F1033" s="5">
        <v>118</v>
      </c>
      <c r="G1033" s="5" t="s">
        <v>59</v>
      </c>
      <c r="H1033" s="5">
        <v>40</v>
      </c>
      <c r="I1033" s="5">
        <f t="shared" si="65"/>
        <v>164.8151702626221</v>
      </c>
      <c r="J1033" s="5">
        <f t="shared" si="67"/>
        <v>5</v>
      </c>
    </row>
    <row r="1034" spans="1:10" x14ac:dyDescent="0.2">
      <c r="A1034" s="5">
        <v>122</v>
      </c>
      <c r="B1034" s="5" t="s">
        <v>285</v>
      </c>
      <c r="C1034" s="5">
        <v>62</v>
      </c>
      <c r="D1034" s="5">
        <f t="shared" si="64"/>
        <v>587.34554108704231</v>
      </c>
      <c r="E1034" s="5">
        <f t="shared" si="66"/>
        <v>0</v>
      </c>
      <c r="F1034" s="5">
        <v>118.5</v>
      </c>
      <c r="G1034" s="5" t="s">
        <v>272</v>
      </c>
      <c r="H1034" s="5">
        <v>47</v>
      </c>
      <c r="I1034" s="5">
        <f t="shared" si="65"/>
        <v>246.94521361646048</v>
      </c>
      <c r="J1034" s="5">
        <f t="shared" si="67"/>
        <v>7</v>
      </c>
    </row>
    <row r="1035" spans="1:10" x14ac:dyDescent="0.2">
      <c r="A1035" s="5">
        <v>123</v>
      </c>
      <c r="B1035" s="5" t="s">
        <v>285</v>
      </c>
      <c r="C1035" s="5">
        <v>62</v>
      </c>
      <c r="D1035" s="5">
        <f t="shared" si="64"/>
        <v>587.34554108704231</v>
      </c>
      <c r="E1035" s="5">
        <f t="shared" si="66"/>
        <v>0</v>
      </c>
      <c r="F1035" s="5">
        <v>119</v>
      </c>
      <c r="G1035" s="5" t="s">
        <v>59</v>
      </c>
      <c r="H1035" s="5">
        <v>40</v>
      </c>
      <c r="I1035" s="5">
        <f t="shared" si="65"/>
        <v>164.8151702626221</v>
      </c>
      <c r="J1035" s="5">
        <f t="shared" si="67"/>
        <v>7</v>
      </c>
    </row>
    <row r="1036" spans="1:10" x14ac:dyDescent="0.2">
      <c r="A1036" s="5">
        <v>124</v>
      </c>
      <c r="B1036" s="5" t="s">
        <v>247</v>
      </c>
      <c r="C1036" s="5">
        <v>50</v>
      </c>
      <c r="D1036" s="5">
        <f t="shared" si="64"/>
        <v>293.66975814369101</v>
      </c>
      <c r="E1036" s="5">
        <f t="shared" si="66"/>
        <v>12</v>
      </c>
      <c r="F1036" s="5">
        <v>119.5</v>
      </c>
      <c r="G1036" s="5" t="s">
        <v>272</v>
      </c>
      <c r="H1036" s="5">
        <v>47</v>
      </c>
      <c r="I1036" s="5">
        <f t="shared" si="65"/>
        <v>246.94521361646048</v>
      </c>
      <c r="J1036" s="5">
        <f t="shared" si="67"/>
        <v>7</v>
      </c>
    </row>
    <row r="1037" spans="1:10" x14ac:dyDescent="0.2">
      <c r="A1037" s="5">
        <v>124.5</v>
      </c>
      <c r="B1037" s="5" t="s">
        <v>249</v>
      </c>
      <c r="C1037" s="5">
        <v>59</v>
      </c>
      <c r="D1037" s="5">
        <f t="shared" si="64"/>
        <v>493.89549345236594</v>
      </c>
      <c r="E1037" s="5">
        <f t="shared" si="66"/>
        <v>9</v>
      </c>
      <c r="F1037" s="5">
        <v>120</v>
      </c>
      <c r="G1037" s="5" t="s">
        <v>59</v>
      </c>
      <c r="H1037" s="5">
        <v>40</v>
      </c>
      <c r="I1037" s="5">
        <f t="shared" si="65"/>
        <v>164.8151702626221</v>
      </c>
      <c r="J1037" s="5">
        <f t="shared" si="67"/>
        <v>7</v>
      </c>
    </row>
    <row r="1038" spans="1:10" x14ac:dyDescent="0.2">
      <c r="A1038" s="5">
        <v>125</v>
      </c>
      <c r="B1038" s="5" t="s">
        <v>249</v>
      </c>
      <c r="C1038" s="5">
        <v>59</v>
      </c>
      <c r="D1038" s="5">
        <f t="shared" si="64"/>
        <v>493.89549345236594</v>
      </c>
      <c r="E1038" s="5">
        <f t="shared" si="66"/>
        <v>0</v>
      </c>
      <c r="F1038" s="5">
        <v>120.5</v>
      </c>
      <c r="G1038" s="5" t="s">
        <v>57</v>
      </c>
      <c r="H1038" s="5">
        <v>43</v>
      </c>
      <c r="I1038" s="5">
        <f t="shared" si="65"/>
        <v>195.99987576438383</v>
      </c>
      <c r="J1038" s="5">
        <f t="shared" si="67"/>
        <v>3</v>
      </c>
    </row>
    <row r="1039" spans="1:10" x14ac:dyDescent="0.2">
      <c r="A1039" s="5">
        <v>125.75</v>
      </c>
      <c r="B1039" s="5" t="s">
        <v>247</v>
      </c>
      <c r="C1039" s="5">
        <v>50</v>
      </c>
      <c r="D1039" s="5">
        <f t="shared" si="64"/>
        <v>293.66975814369101</v>
      </c>
      <c r="E1039" s="5">
        <f t="shared" si="66"/>
        <v>9</v>
      </c>
      <c r="F1039" s="5">
        <v>121</v>
      </c>
      <c r="G1039" s="5" t="s">
        <v>57</v>
      </c>
      <c r="H1039" s="5">
        <v>43</v>
      </c>
      <c r="I1039" s="5">
        <f t="shared" si="65"/>
        <v>195.99987576438383</v>
      </c>
      <c r="J1039" s="5">
        <f t="shared" si="67"/>
        <v>0</v>
      </c>
    </row>
    <row r="1040" spans="1:10" x14ac:dyDescent="0.2">
      <c r="A1040" s="5">
        <v>126.5</v>
      </c>
      <c r="B1040" s="5" t="s">
        <v>250</v>
      </c>
      <c r="C1040" s="5">
        <v>55</v>
      </c>
      <c r="D1040" s="5">
        <f t="shared" si="64"/>
        <v>392.00377257605692</v>
      </c>
      <c r="E1040" s="5">
        <f t="shared" si="66"/>
        <v>5</v>
      </c>
      <c r="F1040" s="5">
        <v>122</v>
      </c>
      <c r="G1040" s="5" t="s">
        <v>57</v>
      </c>
      <c r="H1040" s="5">
        <v>43</v>
      </c>
      <c r="I1040" s="5">
        <f t="shared" si="65"/>
        <v>195.99987576438383</v>
      </c>
      <c r="J1040" s="5">
        <f t="shared" si="67"/>
        <v>0</v>
      </c>
    </row>
    <row r="1041" spans="1:10" x14ac:dyDescent="0.2">
      <c r="A1041" s="5">
        <v>127.5</v>
      </c>
      <c r="B1041" s="5" t="s">
        <v>250</v>
      </c>
      <c r="C1041" s="5">
        <v>55</v>
      </c>
      <c r="D1041" s="5">
        <f t="shared" si="64"/>
        <v>392.00377257605692</v>
      </c>
      <c r="E1041" s="5">
        <f t="shared" si="66"/>
        <v>0</v>
      </c>
      <c r="F1041" s="5">
        <v>123</v>
      </c>
      <c r="G1041" s="5" t="s">
        <v>57</v>
      </c>
      <c r="H1041" s="5">
        <v>43</v>
      </c>
      <c r="I1041" s="5">
        <f t="shared" si="65"/>
        <v>195.99987576438383</v>
      </c>
      <c r="J1041" s="5">
        <f t="shared" si="67"/>
        <v>0</v>
      </c>
    </row>
    <row r="1042" spans="1:10" x14ac:dyDescent="0.2">
      <c r="A1042" s="5">
        <v>128.25</v>
      </c>
      <c r="B1042" s="5" t="s">
        <v>248</v>
      </c>
      <c r="C1042" s="5">
        <v>57</v>
      </c>
      <c r="D1042" s="5">
        <f t="shared" si="64"/>
        <v>440.01010976071973</v>
      </c>
      <c r="E1042" s="5">
        <f t="shared" si="66"/>
        <v>2</v>
      </c>
      <c r="F1042" s="5">
        <v>124</v>
      </c>
      <c r="G1042" s="5" t="s">
        <v>337</v>
      </c>
      <c r="H1042" s="5">
        <v>45</v>
      </c>
      <c r="I1042" s="5">
        <f t="shared" si="65"/>
        <v>220.00279814001337</v>
      </c>
      <c r="J1042" s="5">
        <f t="shared" si="67"/>
        <v>2</v>
      </c>
    </row>
    <row r="1043" spans="1:10" x14ac:dyDescent="0.2">
      <c r="A1043" s="5">
        <v>128.75</v>
      </c>
      <c r="B1043" s="5" t="s">
        <v>250</v>
      </c>
      <c r="C1043" s="5">
        <v>55</v>
      </c>
      <c r="D1043" s="5">
        <f t="shared" si="64"/>
        <v>392.00377257605692</v>
      </c>
      <c r="E1043" s="5">
        <f t="shared" si="66"/>
        <v>2</v>
      </c>
      <c r="F1043" s="5">
        <v>124.5</v>
      </c>
      <c r="G1043" s="5" t="s">
        <v>338</v>
      </c>
      <c r="H1043" s="5">
        <v>55</v>
      </c>
      <c r="I1043" s="5">
        <f t="shared" si="65"/>
        <v>392.00377257605692</v>
      </c>
      <c r="J1043" s="5">
        <f t="shared" si="67"/>
        <v>10</v>
      </c>
    </row>
    <row r="1044" spans="1:10" x14ac:dyDescent="0.2">
      <c r="A1044" s="5">
        <v>129.5</v>
      </c>
      <c r="B1044" s="5" t="s">
        <v>250</v>
      </c>
      <c r="C1044" s="5">
        <v>55</v>
      </c>
      <c r="D1044" s="5">
        <f t="shared" si="64"/>
        <v>392.00377257605692</v>
      </c>
      <c r="E1044" s="5">
        <f t="shared" si="66"/>
        <v>0</v>
      </c>
      <c r="F1044" s="5">
        <v>125</v>
      </c>
      <c r="G1044" s="5" t="s">
        <v>250</v>
      </c>
      <c r="H1044" s="5">
        <v>55</v>
      </c>
      <c r="I1044" s="5">
        <f t="shared" si="65"/>
        <v>392.00377257605692</v>
      </c>
      <c r="J1044" s="5">
        <f t="shared" si="67"/>
        <v>0</v>
      </c>
    </row>
    <row r="1045" spans="1:10" x14ac:dyDescent="0.2">
      <c r="A1045" s="5">
        <v>130</v>
      </c>
      <c r="B1045" s="5" t="s">
        <v>249</v>
      </c>
      <c r="C1045" s="5">
        <v>59</v>
      </c>
      <c r="D1045" s="5">
        <f t="shared" si="64"/>
        <v>493.89549345236594</v>
      </c>
      <c r="E1045" s="5">
        <f t="shared" si="66"/>
        <v>4</v>
      </c>
      <c r="F1045" s="5">
        <v>125.75</v>
      </c>
      <c r="G1045" s="5" t="s">
        <v>340</v>
      </c>
      <c r="H1045" s="5">
        <v>50</v>
      </c>
      <c r="I1045" s="5">
        <f t="shared" si="65"/>
        <v>293.66975814369101</v>
      </c>
      <c r="J1045" s="5">
        <f t="shared" si="67"/>
        <v>5</v>
      </c>
    </row>
    <row r="1046" spans="1:10" x14ac:dyDescent="0.2">
      <c r="A1046" s="5">
        <v>131</v>
      </c>
      <c r="B1046" s="5" t="s">
        <v>285</v>
      </c>
      <c r="C1046" s="5">
        <v>62</v>
      </c>
      <c r="D1046" s="5">
        <f t="shared" si="64"/>
        <v>587.34554108704231</v>
      </c>
      <c r="E1046" s="5">
        <f t="shared" si="66"/>
        <v>3</v>
      </c>
      <c r="F1046" s="5">
        <v>126.5</v>
      </c>
      <c r="G1046" s="5" t="s">
        <v>250</v>
      </c>
      <c r="H1046" s="5">
        <v>55</v>
      </c>
      <c r="I1046" s="5">
        <f t="shared" si="65"/>
        <v>392.00377257605692</v>
      </c>
      <c r="J1046" s="5">
        <f t="shared" si="67"/>
        <v>5</v>
      </c>
    </row>
    <row r="1047" spans="1:10" x14ac:dyDescent="0.2">
      <c r="A1047" s="5">
        <v>132</v>
      </c>
      <c r="B1047" s="5" t="s">
        <v>375</v>
      </c>
      <c r="C1047" s="5">
        <v>50</v>
      </c>
      <c r="D1047" s="5">
        <f t="shared" si="64"/>
        <v>293.66975814369101</v>
      </c>
      <c r="E1047" s="5">
        <f t="shared" si="66"/>
        <v>12</v>
      </c>
      <c r="F1047" s="5">
        <v>127.5</v>
      </c>
      <c r="G1047" s="5" t="s">
        <v>247</v>
      </c>
      <c r="H1047" s="5">
        <v>50</v>
      </c>
      <c r="I1047" s="5">
        <f t="shared" si="65"/>
        <v>293.66975814369101</v>
      </c>
      <c r="J1047" s="5">
        <f t="shared" si="67"/>
        <v>5</v>
      </c>
    </row>
    <row r="1048" spans="1:10" x14ac:dyDescent="0.2">
      <c r="A1048" s="5">
        <v>132.5</v>
      </c>
      <c r="B1048" s="5" t="s">
        <v>381</v>
      </c>
      <c r="C1048" s="5">
        <v>57</v>
      </c>
      <c r="D1048" s="5">
        <f t="shared" si="64"/>
        <v>440.01010976071973</v>
      </c>
      <c r="E1048" s="5">
        <f t="shared" si="66"/>
        <v>7</v>
      </c>
      <c r="F1048" s="5">
        <v>128.25</v>
      </c>
      <c r="G1048" s="5" t="s">
        <v>202</v>
      </c>
      <c r="H1048" s="5">
        <v>53</v>
      </c>
      <c r="I1048" s="5">
        <f t="shared" si="65"/>
        <v>349.23506143398839</v>
      </c>
      <c r="J1048" s="5">
        <f t="shared" si="67"/>
        <v>3</v>
      </c>
    </row>
    <row r="1049" spans="1:10" x14ac:dyDescent="0.2">
      <c r="A1049" s="5">
        <v>133</v>
      </c>
      <c r="B1049" s="5" t="s">
        <v>248</v>
      </c>
      <c r="C1049" s="5">
        <v>57</v>
      </c>
      <c r="D1049" s="5">
        <f t="shared" si="64"/>
        <v>440.01010976071973</v>
      </c>
      <c r="E1049" s="5">
        <f t="shared" si="66"/>
        <v>0</v>
      </c>
      <c r="F1049" s="5">
        <v>128.75</v>
      </c>
      <c r="G1049" s="5" t="s">
        <v>247</v>
      </c>
      <c r="H1049" s="5">
        <v>50</v>
      </c>
      <c r="I1049" s="5">
        <f t="shared" si="65"/>
        <v>293.66975814369101</v>
      </c>
      <c r="J1049" s="5">
        <f t="shared" si="67"/>
        <v>3</v>
      </c>
    </row>
    <row r="1050" spans="1:10" x14ac:dyDescent="0.2">
      <c r="A1050" s="5">
        <v>133.75</v>
      </c>
      <c r="B1050" s="5" t="s">
        <v>247</v>
      </c>
      <c r="C1050" s="5">
        <v>50</v>
      </c>
      <c r="D1050" s="5">
        <f t="shared" si="64"/>
        <v>293.66975814369101</v>
      </c>
      <c r="E1050" s="5">
        <f t="shared" si="66"/>
        <v>7</v>
      </c>
      <c r="F1050" s="5">
        <v>129.5</v>
      </c>
      <c r="G1050" s="5" t="s">
        <v>341</v>
      </c>
      <c r="H1050" s="5">
        <v>59</v>
      </c>
      <c r="I1050" s="5">
        <f t="shared" si="65"/>
        <v>493.89549345236594</v>
      </c>
      <c r="J1050" s="5">
        <f t="shared" si="67"/>
        <v>9</v>
      </c>
    </row>
    <row r="1051" spans="1:10" x14ac:dyDescent="0.2">
      <c r="A1051" s="5">
        <v>134.5</v>
      </c>
      <c r="B1051" s="5" t="s">
        <v>250</v>
      </c>
      <c r="C1051" s="5">
        <v>55</v>
      </c>
      <c r="D1051" s="5">
        <f t="shared" si="64"/>
        <v>392.00377257605692</v>
      </c>
      <c r="E1051" s="5">
        <f t="shared" si="66"/>
        <v>5</v>
      </c>
      <c r="F1051" s="5">
        <v>130</v>
      </c>
      <c r="G1051" s="5" t="s">
        <v>250</v>
      </c>
      <c r="H1051" s="5">
        <v>55</v>
      </c>
      <c r="I1051" s="5">
        <f t="shared" si="65"/>
        <v>392.00377257605692</v>
      </c>
      <c r="J1051" s="5">
        <f t="shared" si="67"/>
        <v>4</v>
      </c>
    </row>
    <row r="1052" spans="1:10" x14ac:dyDescent="0.2">
      <c r="A1052" s="5">
        <v>135.5</v>
      </c>
      <c r="B1052" s="5" t="s">
        <v>250</v>
      </c>
      <c r="C1052" s="5">
        <v>55</v>
      </c>
      <c r="D1052" s="5">
        <f t="shared" si="64"/>
        <v>392.00377257605692</v>
      </c>
      <c r="E1052" s="5">
        <f t="shared" si="66"/>
        <v>0</v>
      </c>
      <c r="F1052" s="5">
        <v>131</v>
      </c>
      <c r="G1052" s="5" t="s">
        <v>249</v>
      </c>
      <c r="H1052" s="5">
        <v>59</v>
      </c>
      <c r="I1052" s="5">
        <f t="shared" si="65"/>
        <v>493.89549345236594</v>
      </c>
      <c r="J1052" s="5">
        <f t="shared" si="67"/>
        <v>4</v>
      </c>
    </row>
    <row r="1053" spans="1:10" x14ac:dyDescent="0.2">
      <c r="A1053" s="5">
        <v>136.25</v>
      </c>
      <c r="B1053" s="5" t="s">
        <v>423</v>
      </c>
      <c r="C1053" s="5">
        <v>52</v>
      </c>
      <c r="D1053" s="5">
        <f t="shared" si="64"/>
        <v>329.63372180082422</v>
      </c>
      <c r="E1053" s="5">
        <f t="shared" si="66"/>
        <v>3</v>
      </c>
      <c r="F1053" s="5">
        <v>132</v>
      </c>
      <c r="G1053" s="5" t="s">
        <v>337</v>
      </c>
      <c r="H1053" s="5">
        <v>45</v>
      </c>
      <c r="I1053" s="5">
        <f t="shared" si="65"/>
        <v>220.00279814001337</v>
      </c>
      <c r="J1053" s="5">
        <f t="shared" si="67"/>
        <v>14</v>
      </c>
    </row>
    <row r="1054" spans="1:10" x14ac:dyDescent="0.2">
      <c r="A1054" s="5">
        <v>136.75</v>
      </c>
      <c r="B1054" s="5" t="s">
        <v>250</v>
      </c>
      <c r="C1054" s="5">
        <v>55</v>
      </c>
      <c r="D1054" s="5">
        <f t="shared" si="64"/>
        <v>392.00377257605692</v>
      </c>
      <c r="E1054" s="5">
        <f t="shared" si="66"/>
        <v>3</v>
      </c>
      <c r="F1054" s="5">
        <v>132.5</v>
      </c>
      <c r="G1054" s="5" t="s">
        <v>202</v>
      </c>
      <c r="H1054" s="5">
        <v>53</v>
      </c>
      <c r="I1054" s="5">
        <f t="shared" si="65"/>
        <v>349.23506143398839</v>
      </c>
      <c r="J1054" s="5">
        <f t="shared" si="67"/>
        <v>8</v>
      </c>
    </row>
    <row r="1055" spans="1:10" x14ac:dyDescent="0.2">
      <c r="A1055" s="5">
        <v>137.5</v>
      </c>
      <c r="B1055" s="5" t="s">
        <v>250</v>
      </c>
      <c r="C1055" s="5">
        <v>55</v>
      </c>
      <c r="D1055" s="5">
        <f t="shared" si="64"/>
        <v>392.00377257605692</v>
      </c>
      <c r="E1055" s="5">
        <f t="shared" si="66"/>
        <v>0</v>
      </c>
      <c r="F1055" s="5">
        <v>133</v>
      </c>
      <c r="G1055" s="5" t="s">
        <v>202</v>
      </c>
      <c r="H1055" s="5">
        <v>53</v>
      </c>
      <c r="I1055" s="5">
        <f t="shared" si="65"/>
        <v>349.23506143398839</v>
      </c>
      <c r="J1055" s="5">
        <f t="shared" si="67"/>
        <v>0</v>
      </c>
    </row>
    <row r="1056" spans="1:10" x14ac:dyDescent="0.2">
      <c r="A1056" s="5">
        <v>138.5</v>
      </c>
      <c r="B1056" s="5" t="s">
        <v>250</v>
      </c>
      <c r="C1056" s="5">
        <v>55</v>
      </c>
      <c r="D1056" s="5">
        <f t="shared" si="64"/>
        <v>392.00377257605692</v>
      </c>
      <c r="E1056" s="5">
        <f t="shared" si="66"/>
        <v>0</v>
      </c>
      <c r="F1056" s="5">
        <v>133.75</v>
      </c>
      <c r="G1056" s="5" t="s">
        <v>247</v>
      </c>
      <c r="H1056" s="5">
        <v>50</v>
      </c>
      <c r="I1056" s="5">
        <f t="shared" si="65"/>
        <v>293.66975814369101</v>
      </c>
      <c r="J1056" s="5">
        <f t="shared" si="67"/>
        <v>3</v>
      </c>
    </row>
    <row r="1057" spans="1:10" x14ac:dyDescent="0.2">
      <c r="A1057" s="5">
        <v>139.5</v>
      </c>
      <c r="B1057" s="5" t="s">
        <v>250</v>
      </c>
      <c r="C1057" s="5">
        <v>55</v>
      </c>
      <c r="D1057" s="5">
        <f t="shared" si="64"/>
        <v>392.00377257605692</v>
      </c>
      <c r="E1057" s="5">
        <f t="shared" si="66"/>
        <v>0</v>
      </c>
      <c r="F1057" s="5">
        <v>134.5</v>
      </c>
      <c r="G1057" s="5" t="s">
        <v>250</v>
      </c>
      <c r="H1057" s="5">
        <v>55</v>
      </c>
      <c r="I1057" s="5">
        <f t="shared" si="65"/>
        <v>392.00377257605692</v>
      </c>
      <c r="J1057" s="5">
        <f t="shared" si="67"/>
        <v>5</v>
      </c>
    </row>
    <row r="1058" spans="1:10" x14ac:dyDescent="0.2">
      <c r="A1058" s="5">
        <v>140.25</v>
      </c>
      <c r="B1058" s="5" t="s">
        <v>248</v>
      </c>
      <c r="C1058" s="5">
        <v>57</v>
      </c>
      <c r="D1058" s="5">
        <f t="shared" si="64"/>
        <v>440.01010976071973</v>
      </c>
      <c r="E1058" s="5">
        <f t="shared" si="66"/>
        <v>2</v>
      </c>
      <c r="F1058" s="5">
        <v>135.5</v>
      </c>
      <c r="G1058" s="5" t="s">
        <v>247</v>
      </c>
      <c r="H1058" s="5">
        <v>50</v>
      </c>
      <c r="I1058" s="5">
        <f t="shared" si="65"/>
        <v>293.66975814369101</v>
      </c>
      <c r="J1058" s="5">
        <f t="shared" si="67"/>
        <v>5</v>
      </c>
    </row>
    <row r="1059" spans="1:10" x14ac:dyDescent="0.2">
      <c r="A1059" s="5">
        <v>140.75</v>
      </c>
      <c r="B1059" s="5" t="s">
        <v>250</v>
      </c>
      <c r="C1059" s="5">
        <v>55</v>
      </c>
      <c r="D1059" s="5">
        <f t="shared" si="64"/>
        <v>392.00377257605692</v>
      </c>
      <c r="E1059" s="5">
        <f t="shared" si="66"/>
        <v>2</v>
      </c>
      <c r="F1059" s="5">
        <v>136.25</v>
      </c>
      <c r="G1059" s="5" t="s">
        <v>385</v>
      </c>
      <c r="H1059" s="5">
        <v>47</v>
      </c>
      <c r="I1059" s="5">
        <f t="shared" si="65"/>
        <v>246.94521361646048</v>
      </c>
      <c r="J1059" s="5">
        <f t="shared" si="67"/>
        <v>3</v>
      </c>
    </row>
    <row r="1060" spans="1:10" x14ac:dyDescent="0.2">
      <c r="A1060" s="5">
        <v>141.5</v>
      </c>
      <c r="B1060" s="5" t="s">
        <v>250</v>
      </c>
      <c r="C1060" s="5">
        <v>55</v>
      </c>
      <c r="D1060" s="5">
        <f t="shared" si="64"/>
        <v>392.00377257605692</v>
      </c>
      <c r="E1060" s="5">
        <f t="shared" si="66"/>
        <v>0</v>
      </c>
      <c r="F1060" s="5">
        <v>136.75</v>
      </c>
      <c r="G1060" s="5" t="s">
        <v>247</v>
      </c>
      <c r="H1060" s="5">
        <v>50</v>
      </c>
      <c r="I1060" s="5">
        <f t="shared" si="65"/>
        <v>293.66975814369101</v>
      </c>
      <c r="J1060" s="5">
        <f t="shared" si="67"/>
        <v>3</v>
      </c>
    </row>
    <row r="1061" spans="1:10" x14ac:dyDescent="0.2">
      <c r="A1061" s="5">
        <v>142</v>
      </c>
      <c r="B1061" s="5" t="s">
        <v>249</v>
      </c>
      <c r="C1061" s="5">
        <v>59</v>
      </c>
      <c r="D1061" s="5">
        <f t="shared" si="64"/>
        <v>493.89549345236594</v>
      </c>
      <c r="E1061" s="5">
        <f t="shared" si="66"/>
        <v>4</v>
      </c>
      <c r="F1061" s="5">
        <v>137.5</v>
      </c>
      <c r="G1061" s="5" t="s">
        <v>38</v>
      </c>
      <c r="H1061" s="5">
        <v>52</v>
      </c>
      <c r="I1061" s="5">
        <f t="shared" si="65"/>
        <v>329.63372180082422</v>
      </c>
      <c r="J1061" s="5">
        <f t="shared" si="67"/>
        <v>2</v>
      </c>
    </row>
    <row r="1062" spans="1:10" x14ac:dyDescent="0.2">
      <c r="A1062" s="5">
        <v>143</v>
      </c>
      <c r="B1062" s="5" t="s">
        <v>285</v>
      </c>
      <c r="C1062" s="5">
        <v>62</v>
      </c>
      <c r="D1062" s="5">
        <f t="shared" ref="D1062:D1125" si="68">16.35117682*1.059464^C1062</f>
        <v>587.34554108704231</v>
      </c>
      <c r="E1062" s="5">
        <f t="shared" si="66"/>
        <v>3</v>
      </c>
      <c r="F1062" s="5">
        <v>138</v>
      </c>
      <c r="G1062" s="5" t="s">
        <v>386</v>
      </c>
      <c r="H1062" s="5">
        <v>48</v>
      </c>
      <c r="I1062" s="5">
        <f t="shared" ref="I1062:I1125" si="69">16.35117682*1.059464^H1062</f>
        <v>261.62956379894968</v>
      </c>
      <c r="J1062" s="5">
        <f t="shared" si="67"/>
        <v>4</v>
      </c>
    </row>
    <row r="1063" spans="1:10" x14ac:dyDescent="0.2">
      <c r="A1063" s="5">
        <v>144</v>
      </c>
      <c r="B1063" s="5" t="s">
        <v>288</v>
      </c>
      <c r="C1063" s="5">
        <v>50</v>
      </c>
      <c r="D1063" s="5">
        <f t="shared" si="68"/>
        <v>293.66975814369101</v>
      </c>
      <c r="E1063" s="5">
        <f t="shared" ref="E1063:E1126" si="70">ABS( C1063-C1062)</f>
        <v>12</v>
      </c>
      <c r="F1063" s="5">
        <v>139</v>
      </c>
      <c r="G1063" s="5" t="s">
        <v>38</v>
      </c>
      <c r="H1063" s="5">
        <v>52</v>
      </c>
      <c r="I1063" s="5">
        <f t="shared" si="69"/>
        <v>329.63372180082422</v>
      </c>
      <c r="J1063" s="5">
        <f t="shared" ref="J1063:J1126" si="71">ABS( H1063-H1062)</f>
        <v>4</v>
      </c>
    </row>
    <row r="1064" spans="1:10" x14ac:dyDescent="0.2">
      <c r="A1064" s="5">
        <v>144.5</v>
      </c>
      <c r="B1064" s="5" t="s">
        <v>249</v>
      </c>
      <c r="C1064" s="5">
        <v>59</v>
      </c>
      <c r="D1064" s="5">
        <f t="shared" si="68"/>
        <v>493.89549345236594</v>
      </c>
      <c r="E1064" s="5">
        <f t="shared" si="70"/>
        <v>9</v>
      </c>
      <c r="F1064" s="5">
        <v>140</v>
      </c>
      <c r="G1064" s="5" t="s">
        <v>337</v>
      </c>
      <c r="H1064" s="5">
        <v>45</v>
      </c>
      <c r="I1064" s="5">
        <f t="shared" si="69"/>
        <v>220.00279814001337</v>
      </c>
      <c r="J1064" s="5">
        <f t="shared" si="71"/>
        <v>7</v>
      </c>
    </row>
    <row r="1065" spans="1:10" x14ac:dyDescent="0.2">
      <c r="A1065" s="5">
        <v>145</v>
      </c>
      <c r="B1065" s="5" t="s">
        <v>249</v>
      </c>
      <c r="C1065" s="5">
        <v>59</v>
      </c>
      <c r="D1065" s="5">
        <f t="shared" si="68"/>
        <v>493.89549345236594</v>
      </c>
      <c r="E1065" s="5">
        <f t="shared" si="70"/>
        <v>0</v>
      </c>
      <c r="F1065" s="5">
        <v>140.5</v>
      </c>
      <c r="G1065" s="5" t="s">
        <v>338</v>
      </c>
      <c r="H1065" s="5">
        <v>55</v>
      </c>
      <c r="I1065" s="5">
        <f t="shared" si="69"/>
        <v>392.00377257605692</v>
      </c>
      <c r="J1065" s="5">
        <f t="shared" si="71"/>
        <v>10</v>
      </c>
    </row>
    <row r="1066" spans="1:10" x14ac:dyDescent="0.2">
      <c r="A1066" s="5">
        <v>145.75</v>
      </c>
      <c r="B1066" s="5" t="s">
        <v>373</v>
      </c>
      <c r="C1066" s="5">
        <v>50</v>
      </c>
      <c r="D1066" s="5">
        <f t="shared" si="68"/>
        <v>293.66975814369101</v>
      </c>
      <c r="E1066" s="5">
        <f t="shared" si="70"/>
        <v>9</v>
      </c>
      <c r="F1066" s="5">
        <v>141</v>
      </c>
      <c r="G1066" s="5" t="s">
        <v>250</v>
      </c>
      <c r="H1066" s="5">
        <v>55</v>
      </c>
      <c r="I1066" s="5">
        <f t="shared" si="69"/>
        <v>392.00377257605692</v>
      </c>
      <c r="J1066" s="5">
        <f t="shared" si="71"/>
        <v>0</v>
      </c>
    </row>
    <row r="1067" spans="1:10" x14ac:dyDescent="0.2">
      <c r="A1067" s="5">
        <v>146.5</v>
      </c>
      <c r="B1067" s="5" t="s">
        <v>250</v>
      </c>
      <c r="C1067" s="5">
        <v>55</v>
      </c>
      <c r="D1067" s="5">
        <f t="shared" si="68"/>
        <v>392.00377257605692</v>
      </c>
      <c r="E1067" s="5">
        <f t="shared" si="70"/>
        <v>5</v>
      </c>
      <c r="F1067" s="5">
        <v>141.75</v>
      </c>
      <c r="G1067" s="5" t="s">
        <v>340</v>
      </c>
      <c r="H1067" s="5">
        <v>50</v>
      </c>
      <c r="I1067" s="5">
        <f t="shared" si="69"/>
        <v>293.66975814369101</v>
      </c>
      <c r="J1067" s="5">
        <f t="shared" si="71"/>
        <v>5</v>
      </c>
    </row>
    <row r="1068" spans="1:10" x14ac:dyDescent="0.2">
      <c r="A1068" s="5">
        <v>147.5</v>
      </c>
      <c r="B1068" s="5" t="s">
        <v>250</v>
      </c>
      <c r="C1068" s="5">
        <v>55</v>
      </c>
      <c r="D1068" s="5">
        <f t="shared" si="68"/>
        <v>392.00377257605692</v>
      </c>
      <c r="E1068" s="5">
        <f t="shared" si="70"/>
        <v>0</v>
      </c>
      <c r="F1068" s="5">
        <v>142.5</v>
      </c>
      <c r="G1068" s="5" t="s">
        <v>250</v>
      </c>
      <c r="H1068" s="5">
        <v>55</v>
      </c>
      <c r="I1068" s="5">
        <f t="shared" si="69"/>
        <v>392.00377257605692</v>
      </c>
      <c r="J1068" s="5">
        <f t="shared" si="71"/>
        <v>5</v>
      </c>
    </row>
    <row r="1069" spans="1:10" x14ac:dyDescent="0.2">
      <c r="A1069" s="5">
        <v>148.25</v>
      </c>
      <c r="B1069" s="5" t="s">
        <v>374</v>
      </c>
      <c r="C1069" s="5">
        <v>55</v>
      </c>
      <c r="D1069" s="5">
        <f t="shared" si="68"/>
        <v>392.00377257605692</v>
      </c>
      <c r="E1069" s="5">
        <f t="shared" si="70"/>
        <v>0</v>
      </c>
      <c r="F1069" s="5">
        <v>143.5</v>
      </c>
      <c r="G1069" s="5" t="s">
        <v>247</v>
      </c>
      <c r="H1069" s="5">
        <v>50</v>
      </c>
      <c r="I1069" s="5">
        <f t="shared" si="69"/>
        <v>293.66975814369101</v>
      </c>
      <c r="J1069" s="5">
        <f t="shared" si="71"/>
        <v>5</v>
      </c>
    </row>
    <row r="1070" spans="1:10" x14ac:dyDescent="0.2">
      <c r="A1070" s="5">
        <v>148.75</v>
      </c>
      <c r="B1070" s="5" t="s">
        <v>374</v>
      </c>
      <c r="C1070" s="5">
        <v>55</v>
      </c>
      <c r="D1070" s="5">
        <f t="shared" si="68"/>
        <v>392.00377257605692</v>
      </c>
      <c r="E1070" s="5">
        <f t="shared" si="70"/>
        <v>0</v>
      </c>
      <c r="F1070" s="5">
        <v>144.25</v>
      </c>
      <c r="G1070" s="5" t="s">
        <v>202</v>
      </c>
      <c r="H1070" s="5">
        <v>53</v>
      </c>
      <c r="I1070" s="5">
        <f t="shared" si="69"/>
        <v>349.23506143398839</v>
      </c>
      <c r="J1070" s="5">
        <f t="shared" si="71"/>
        <v>3</v>
      </c>
    </row>
    <row r="1071" spans="1:10" x14ac:dyDescent="0.2">
      <c r="A1071" s="5">
        <v>149.5</v>
      </c>
      <c r="B1071" s="5" t="s">
        <v>382</v>
      </c>
      <c r="C1071" s="5">
        <v>55</v>
      </c>
      <c r="D1071" s="5">
        <f t="shared" si="68"/>
        <v>392.00377257605692</v>
      </c>
      <c r="E1071" s="5">
        <f t="shared" si="70"/>
        <v>0</v>
      </c>
      <c r="F1071" s="5">
        <v>144.75</v>
      </c>
      <c r="G1071" s="5" t="s">
        <v>247</v>
      </c>
      <c r="H1071" s="5">
        <v>50</v>
      </c>
      <c r="I1071" s="5">
        <f t="shared" si="69"/>
        <v>293.66975814369101</v>
      </c>
      <c r="J1071" s="5">
        <f t="shared" si="71"/>
        <v>3</v>
      </c>
    </row>
    <row r="1072" spans="1:10" x14ac:dyDescent="0.2">
      <c r="A1072" s="5">
        <v>150</v>
      </c>
      <c r="B1072" s="5" t="s">
        <v>248</v>
      </c>
      <c r="C1072" s="5">
        <v>57</v>
      </c>
      <c r="D1072" s="5">
        <f t="shared" si="68"/>
        <v>440.01010976071973</v>
      </c>
      <c r="E1072" s="5">
        <f t="shared" si="70"/>
        <v>2</v>
      </c>
      <c r="F1072" s="5">
        <v>145.5</v>
      </c>
      <c r="G1072" s="5" t="s">
        <v>341</v>
      </c>
      <c r="H1072" s="5">
        <v>59</v>
      </c>
      <c r="I1072" s="5">
        <f t="shared" si="69"/>
        <v>493.89549345236594</v>
      </c>
      <c r="J1072" s="5">
        <f t="shared" si="71"/>
        <v>9</v>
      </c>
    </row>
    <row r="1073" spans="1:10" x14ac:dyDescent="0.2">
      <c r="A1073" s="5">
        <v>151</v>
      </c>
      <c r="B1073" s="5" t="s">
        <v>383</v>
      </c>
      <c r="C1073" s="5">
        <v>60</v>
      </c>
      <c r="D1073" s="5">
        <f t="shared" si="68"/>
        <v>523.26449507501752</v>
      </c>
      <c r="E1073" s="5">
        <f t="shared" si="70"/>
        <v>3</v>
      </c>
      <c r="F1073" s="5">
        <v>146</v>
      </c>
      <c r="G1073" s="5" t="s">
        <v>250</v>
      </c>
      <c r="H1073" s="5">
        <v>55</v>
      </c>
      <c r="I1073" s="5">
        <f t="shared" si="69"/>
        <v>392.00377257605692</v>
      </c>
      <c r="J1073" s="5">
        <f t="shared" si="71"/>
        <v>4</v>
      </c>
    </row>
    <row r="1074" spans="1:10" x14ac:dyDescent="0.2">
      <c r="A1074" s="5">
        <v>152</v>
      </c>
      <c r="B1074" s="5" t="s">
        <v>247</v>
      </c>
      <c r="C1074" s="5">
        <v>50</v>
      </c>
      <c r="D1074" s="5">
        <f t="shared" si="68"/>
        <v>293.66975814369101</v>
      </c>
      <c r="E1074" s="5">
        <f t="shared" si="70"/>
        <v>10</v>
      </c>
      <c r="F1074" s="5">
        <v>147</v>
      </c>
      <c r="G1074" s="5" t="s">
        <v>249</v>
      </c>
      <c r="H1074" s="5">
        <v>59</v>
      </c>
      <c r="I1074" s="5">
        <f t="shared" si="69"/>
        <v>493.89549345236594</v>
      </c>
      <c r="J1074" s="5">
        <f t="shared" si="71"/>
        <v>4</v>
      </c>
    </row>
    <row r="1075" spans="1:10" x14ac:dyDescent="0.2">
      <c r="A1075" s="5">
        <v>152.5</v>
      </c>
      <c r="B1075" s="5" t="s">
        <v>202</v>
      </c>
      <c r="C1075" s="5">
        <v>53</v>
      </c>
      <c r="D1075" s="5">
        <f t="shared" si="68"/>
        <v>349.23506143398839</v>
      </c>
      <c r="E1075" s="5">
        <f t="shared" si="70"/>
        <v>3</v>
      </c>
      <c r="F1075" s="5">
        <v>148</v>
      </c>
      <c r="G1075" s="5" t="s">
        <v>337</v>
      </c>
      <c r="H1075" s="5">
        <v>45</v>
      </c>
      <c r="I1075" s="5">
        <f t="shared" si="69"/>
        <v>220.00279814001337</v>
      </c>
      <c r="J1075" s="5">
        <f t="shared" si="71"/>
        <v>14</v>
      </c>
    </row>
    <row r="1076" spans="1:10" x14ac:dyDescent="0.2">
      <c r="A1076" s="5">
        <v>153</v>
      </c>
      <c r="B1076" s="5" t="s">
        <v>423</v>
      </c>
      <c r="C1076" s="5">
        <v>52</v>
      </c>
      <c r="D1076" s="5">
        <f t="shared" si="68"/>
        <v>329.63372180082422</v>
      </c>
      <c r="E1076" s="5">
        <f t="shared" si="70"/>
        <v>1</v>
      </c>
      <c r="F1076" s="5">
        <v>148.5</v>
      </c>
      <c r="G1076" s="5" t="s">
        <v>202</v>
      </c>
      <c r="H1076" s="5">
        <v>53</v>
      </c>
      <c r="I1076" s="5">
        <f t="shared" si="69"/>
        <v>349.23506143398839</v>
      </c>
      <c r="J1076" s="5">
        <f t="shared" si="71"/>
        <v>8</v>
      </c>
    </row>
    <row r="1077" spans="1:10" x14ac:dyDescent="0.2">
      <c r="A1077" s="5">
        <v>154</v>
      </c>
      <c r="B1077" s="5" t="s">
        <v>423</v>
      </c>
      <c r="C1077" s="5">
        <v>52</v>
      </c>
      <c r="D1077" s="5">
        <f t="shared" si="68"/>
        <v>329.63372180082422</v>
      </c>
      <c r="E1077" s="5">
        <f t="shared" si="70"/>
        <v>0</v>
      </c>
      <c r="F1077" s="5">
        <v>149</v>
      </c>
      <c r="G1077" s="5" t="s">
        <v>202</v>
      </c>
      <c r="H1077" s="5">
        <v>53</v>
      </c>
      <c r="I1077" s="5">
        <f t="shared" si="69"/>
        <v>349.23506143398839</v>
      </c>
      <c r="J1077" s="5">
        <f t="shared" si="71"/>
        <v>0</v>
      </c>
    </row>
    <row r="1078" spans="1:10" x14ac:dyDescent="0.2">
      <c r="A1078" s="5">
        <v>155</v>
      </c>
      <c r="B1078" s="5" t="s">
        <v>424</v>
      </c>
      <c r="C1078" s="5">
        <v>52</v>
      </c>
      <c r="D1078" s="5">
        <f t="shared" si="68"/>
        <v>329.63372180082422</v>
      </c>
      <c r="E1078" s="5">
        <f t="shared" si="70"/>
        <v>0</v>
      </c>
      <c r="F1078" s="5">
        <v>149.75</v>
      </c>
      <c r="G1078" s="5" t="s">
        <v>247</v>
      </c>
      <c r="H1078" s="5">
        <v>50</v>
      </c>
      <c r="I1078" s="5">
        <f t="shared" si="69"/>
        <v>293.66975814369101</v>
      </c>
      <c r="J1078" s="5">
        <f t="shared" si="71"/>
        <v>3</v>
      </c>
    </row>
    <row r="1079" spans="1:10" x14ac:dyDescent="0.2">
      <c r="A1079" s="5">
        <v>156</v>
      </c>
      <c r="B1079" s="5" t="s">
        <v>247</v>
      </c>
      <c r="C1079" s="5">
        <v>50</v>
      </c>
      <c r="D1079" s="5">
        <f t="shared" si="68"/>
        <v>293.66975814369101</v>
      </c>
      <c r="E1079" s="5">
        <f t="shared" si="70"/>
        <v>2</v>
      </c>
      <c r="F1079" s="5">
        <v>150.5</v>
      </c>
      <c r="G1079" s="5" t="s">
        <v>250</v>
      </c>
      <c r="H1079" s="5">
        <v>55</v>
      </c>
      <c r="I1079" s="5">
        <f t="shared" si="69"/>
        <v>392.00377257605692</v>
      </c>
      <c r="J1079" s="5">
        <f t="shared" si="71"/>
        <v>5</v>
      </c>
    </row>
    <row r="1080" spans="1:10" x14ac:dyDescent="0.2">
      <c r="A1080" s="5">
        <v>156.5</v>
      </c>
      <c r="B1080" s="5" t="s">
        <v>249</v>
      </c>
      <c r="C1080" s="5">
        <v>59</v>
      </c>
      <c r="D1080" s="5">
        <f t="shared" si="68"/>
        <v>493.89549345236594</v>
      </c>
      <c r="E1080" s="5">
        <f t="shared" si="70"/>
        <v>9</v>
      </c>
      <c r="F1080" s="5">
        <v>151.5</v>
      </c>
      <c r="G1080" s="5" t="s">
        <v>247</v>
      </c>
      <c r="H1080" s="5">
        <v>50</v>
      </c>
      <c r="I1080" s="5">
        <f t="shared" si="69"/>
        <v>293.66975814369101</v>
      </c>
      <c r="J1080" s="5">
        <f t="shared" si="71"/>
        <v>5</v>
      </c>
    </row>
    <row r="1081" spans="1:10" x14ac:dyDescent="0.2">
      <c r="A1081" s="5">
        <v>157</v>
      </c>
      <c r="B1081" s="5" t="s">
        <v>249</v>
      </c>
      <c r="C1081" s="5">
        <v>59</v>
      </c>
      <c r="D1081" s="5">
        <f t="shared" si="68"/>
        <v>493.89549345236594</v>
      </c>
      <c r="E1081" s="5">
        <f t="shared" si="70"/>
        <v>0</v>
      </c>
      <c r="F1081" s="5">
        <v>152.25</v>
      </c>
      <c r="G1081" s="5" t="s">
        <v>385</v>
      </c>
      <c r="H1081" s="5">
        <v>47</v>
      </c>
      <c r="I1081" s="5">
        <f t="shared" si="69"/>
        <v>246.94521361646048</v>
      </c>
      <c r="J1081" s="5">
        <f t="shared" si="71"/>
        <v>3</v>
      </c>
    </row>
    <row r="1082" spans="1:10" x14ac:dyDescent="0.2">
      <c r="A1082" s="5">
        <v>157.75</v>
      </c>
      <c r="B1082" s="5" t="s">
        <v>247</v>
      </c>
      <c r="C1082" s="5">
        <v>50</v>
      </c>
      <c r="D1082" s="5">
        <f t="shared" si="68"/>
        <v>293.66975814369101</v>
      </c>
      <c r="E1082" s="5">
        <f t="shared" si="70"/>
        <v>9</v>
      </c>
      <c r="F1082" s="5">
        <v>152.75</v>
      </c>
      <c r="G1082" s="5" t="s">
        <v>247</v>
      </c>
      <c r="H1082" s="5">
        <v>50</v>
      </c>
      <c r="I1082" s="5">
        <f t="shared" si="69"/>
        <v>293.66975814369101</v>
      </c>
      <c r="J1082" s="5">
        <f t="shared" si="71"/>
        <v>3</v>
      </c>
    </row>
    <row r="1083" spans="1:10" x14ac:dyDescent="0.2">
      <c r="A1083" s="5">
        <v>158.5</v>
      </c>
      <c r="B1083" s="5" t="s">
        <v>250</v>
      </c>
      <c r="C1083" s="5">
        <v>55</v>
      </c>
      <c r="D1083" s="5">
        <f t="shared" si="68"/>
        <v>392.00377257605692</v>
      </c>
      <c r="E1083" s="5">
        <f t="shared" si="70"/>
        <v>5</v>
      </c>
      <c r="F1083" s="5">
        <v>153.5</v>
      </c>
      <c r="G1083" s="5" t="s">
        <v>38</v>
      </c>
      <c r="H1083" s="5">
        <v>52</v>
      </c>
      <c r="I1083" s="5">
        <f t="shared" si="69"/>
        <v>329.63372180082422</v>
      </c>
      <c r="J1083" s="5">
        <f t="shared" si="71"/>
        <v>2</v>
      </c>
    </row>
    <row r="1084" spans="1:10" x14ac:dyDescent="0.2">
      <c r="A1084" s="5">
        <v>159.5</v>
      </c>
      <c r="B1084" s="5" t="s">
        <v>250</v>
      </c>
      <c r="C1084" s="5">
        <v>55</v>
      </c>
      <c r="D1084" s="5">
        <f t="shared" si="68"/>
        <v>392.00377257605692</v>
      </c>
      <c r="E1084" s="5">
        <f t="shared" si="70"/>
        <v>0</v>
      </c>
      <c r="F1084" s="5">
        <v>154</v>
      </c>
      <c r="G1084" s="5" t="s">
        <v>386</v>
      </c>
      <c r="H1084" s="5">
        <v>48</v>
      </c>
      <c r="I1084" s="5">
        <f t="shared" si="69"/>
        <v>261.62956379894968</v>
      </c>
      <c r="J1084" s="5">
        <f t="shared" si="71"/>
        <v>4</v>
      </c>
    </row>
    <row r="1085" spans="1:10" x14ac:dyDescent="0.2">
      <c r="A1085" s="5">
        <v>160.25</v>
      </c>
      <c r="B1085" s="5" t="s">
        <v>248</v>
      </c>
      <c r="C1085" s="5">
        <v>57</v>
      </c>
      <c r="D1085" s="5">
        <f t="shared" si="68"/>
        <v>440.01010976071973</v>
      </c>
      <c r="E1085" s="5">
        <f t="shared" si="70"/>
        <v>2</v>
      </c>
      <c r="F1085" s="5">
        <v>155</v>
      </c>
      <c r="G1085" s="5" t="s">
        <v>38</v>
      </c>
      <c r="H1085" s="5">
        <v>52</v>
      </c>
      <c r="I1085" s="5">
        <f t="shared" si="69"/>
        <v>329.63372180082422</v>
      </c>
      <c r="J1085" s="5">
        <f t="shared" si="71"/>
        <v>4</v>
      </c>
    </row>
    <row r="1086" spans="1:10" x14ac:dyDescent="0.2">
      <c r="A1086" s="5">
        <v>160.75</v>
      </c>
      <c r="B1086" s="5" t="s">
        <v>250</v>
      </c>
      <c r="C1086" s="5">
        <v>55</v>
      </c>
      <c r="D1086" s="5">
        <f t="shared" si="68"/>
        <v>392.00377257605692</v>
      </c>
      <c r="E1086" s="5">
        <f t="shared" si="70"/>
        <v>2</v>
      </c>
      <c r="F1086" s="5">
        <v>156</v>
      </c>
      <c r="G1086" s="5" t="s">
        <v>337</v>
      </c>
      <c r="H1086" s="5">
        <v>45</v>
      </c>
      <c r="I1086" s="5">
        <f t="shared" si="69"/>
        <v>220.00279814001337</v>
      </c>
      <c r="J1086" s="5">
        <f t="shared" si="71"/>
        <v>7</v>
      </c>
    </row>
    <row r="1087" spans="1:10" x14ac:dyDescent="0.2">
      <c r="A1087" s="5">
        <v>161.5</v>
      </c>
      <c r="B1087" s="5" t="s">
        <v>250</v>
      </c>
      <c r="C1087" s="5">
        <v>55</v>
      </c>
      <c r="D1087" s="5">
        <f t="shared" si="68"/>
        <v>392.00377257605692</v>
      </c>
      <c r="E1087" s="5">
        <f t="shared" si="70"/>
        <v>0</v>
      </c>
      <c r="F1087" s="5">
        <v>156.5</v>
      </c>
      <c r="G1087" s="5" t="s">
        <v>338</v>
      </c>
      <c r="H1087" s="5">
        <v>55</v>
      </c>
      <c r="I1087" s="5">
        <f t="shared" si="69"/>
        <v>392.00377257605692</v>
      </c>
      <c r="J1087" s="5">
        <f t="shared" si="71"/>
        <v>10</v>
      </c>
    </row>
    <row r="1088" spans="1:10" x14ac:dyDescent="0.2">
      <c r="A1088" s="5">
        <v>162</v>
      </c>
      <c r="B1088" s="5" t="s">
        <v>249</v>
      </c>
      <c r="C1088" s="5">
        <v>59</v>
      </c>
      <c r="D1088" s="5">
        <f t="shared" si="68"/>
        <v>493.89549345236594</v>
      </c>
      <c r="E1088" s="5">
        <f t="shared" si="70"/>
        <v>4</v>
      </c>
      <c r="F1088" s="5">
        <v>157</v>
      </c>
      <c r="G1088" s="5" t="s">
        <v>250</v>
      </c>
      <c r="H1088" s="5">
        <v>55</v>
      </c>
      <c r="I1088" s="5">
        <f t="shared" si="69"/>
        <v>392.00377257605692</v>
      </c>
      <c r="J1088" s="5">
        <f t="shared" si="71"/>
        <v>0</v>
      </c>
    </row>
    <row r="1089" spans="1:10" x14ac:dyDescent="0.2">
      <c r="A1089" s="5">
        <v>163</v>
      </c>
      <c r="B1089" s="5" t="s">
        <v>285</v>
      </c>
      <c r="C1089" s="5">
        <v>62</v>
      </c>
      <c r="D1089" s="5">
        <f t="shared" si="68"/>
        <v>587.34554108704231</v>
      </c>
      <c r="E1089" s="5">
        <f t="shared" si="70"/>
        <v>3</v>
      </c>
      <c r="F1089" s="5">
        <v>157.75</v>
      </c>
      <c r="G1089" s="5" t="s">
        <v>340</v>
      </c>
      <c r="H1089" s="5">
        <v>50</v>
      </c>
      <c r="I1089" s="5">
        <f t="shared" si="69"/>
        <v>293.66975814369101</v>
      </c>
      <c r="J1089" s="5">
        <f t="shared" si="71"/>
        <v>5</v>
      </c>
    </row>
    <row r="1090" spans="1:10" x14ac:dyDescent="0.2">
      <c r="A1090" s="5">
        <v>164</v>
      </c>
      <c r="B1090" s="5" t="s">
        <v>375</v>
      </c>
      <c r="C1090" s="5">
        <v>50</v>
      </c>
      <c r="D1090" s="5">
        <f t="shared" si="68"/>
        <v>293.66975814369101</v>
      </c>
      <c r="E1090" s="5">
        <f t="shared" si="70"/>
        <v>12</v>
      </c>
      <c r="F1090" s="5">
        <v>158.5</v>
      </c>
      <c r="G1090" s="5" t="s">
        <v>250</v>
      </c>
      <c r="H1090" s="5">
        <v>55</v>
      </c>
      <c r="I1090" s="5">
        <f t="shared" si="69"/>
        <v>392.00377257605692</v>
      </c>
      <c r="J1090" s="5">
        <f t="shared" si="71"/>
        <v>5</v>
      </c>
    </row>
    <row r="1091" spans="1:10" x14ac:dyDescent="0.2">
      <c r="A1091" s="5">
        <v>164.5</v>
      </c>
      <c r="B1091" s="5" t="s">
        <v>381</v>
      </c>
      <c r="C1091" s="5">
        <v>57</v>
      </c>
      <c r="D1091" s="5">
        <f t="shared" si="68"/>
        <v>440.01010976071973</v>
      </c>
      <c r="E1091" s="5">
        <f t="shared" si="70"/>
        <v>7</v>
      </c>
      <c r="F1091" s="5">
        <v>159.5</v>
      </c>
      <c r="G1091" s="5" t="s">
        <v>247</v>
      </c>
      <c r="H1091" s="5">
        <v>50</v>
      </c>
      <c r="I1091" s="5">
        <f t="shared" si="69"/>
        <v>293.66975814369101</v>
      </c>
      <c r="J1091" s="5">
        <f t="shared" si="71"/>
        <v>5</v>
      </c>
    </row>
    <row r="1092" spans="1:10" x14ac:dyDescent="0.2">
      <c r="A1092" s="5">
        <v>165</v>
      </c>
      <c r="B1092" s="5" t="s">
        <v>248</v>
      </c>
      <c r="C1092" s="5">
        <v>57</v>
      </c>
      <c r="D1092" s="5">
        <f t="shared" si="68"/>
        <v>440.01010976071973</v>
      </c>
      <c r="E1092" s="5">
        <f t="shared" si="70"/>
        <v>0</v>
      </c>
      <c r="F1092" s="5">
        <v>160.25</v>
      </c>
      <c r="G1092" s="5" t="s">
        <v>202</v>
      </c>
      <c r="H1092" s="5">
        <v>53</v>
      </c>
      <c r="I1092" s="5">
        <f t="shared" si="69"/>
        <v>349.23506143398839</v>
      </c>
      <c r="J1092" s="5">
        <f t="shared" si="71"/>
        <v>3</v>
      </c>
    </row>
    <row r="1093" spans="1:10" x14ac:dyDescent="0.2">
      <c r="A1093" s="5">
        <v>165.75</v>
      </c>
      <c r="B1093" s="5" t="s">
        <v>247</v>
      </c>
      <c r="C1093" s="5">
        <v>50</v>
      </c>
      <c r="D1093" s="5">
        <f t="shared" si="68"/>
        <v>293.66975814369101</v>
      </c>
      <c r="E1093" s="5">
        <f t="shared" si="70"/>
        <v>7</v>
      </c>
      <c r="F1093" s="5">
        <v>160.75</v>
      </c>
      <c r="G1093" s="5" t="s">
        <v>247</v>
      </c>
      <c r="H1093" s="5">
        <v>50</v>
      </c>
      <c r="I1093" s="5">
        <f t="shared" si="69"/>
        <v>293.66975814369101</v>
      </c>
      <c r="J1093" s="5">
        <f t="shared" si="71"/>
        <v>3</v>
      </c>
    </row>
    <row r="1094" spans="1:10" x14ac:dyDescent="0.2">
      <c r="A1094" s="5">
        <v>166.5</v>
      </c>
      <c r="B1094" s="5" t="s">
        <v>250</v>
      </c>
      <c r="C1094" s="5">
        <v>55</v>
      </c>
      <c r="D1094" s="5">
        <f t="shared" si="68"/>
        <v>392.00377257605692</v>
      </c>
      <c r="E1094" s="5">
        <f t="shared" si="70"/>
        <v>5</v>
      </c>
      <c r="F1094" s="5">
        <v>161.5</v>
      </c>
      <c r="G1094" s="5" t="s">
        <v>341</v>
      </c>
      <c r="H1094" s="5">
        <v>59</v>
      </c>
      <c r="I1094" s="5">
        <f t="shared" si="69"/>
        <v>493.89549345236594</v>
      </c>
      <c r="J1094" s="5">
        <f t="shared" si="71"/>
        <v>9</v>
      </c>
    </row>
    <row r="1095" spans="1:10" x14ac:dyDescent="0.2">
      <c r="A1095" s="5">
        <v>167.5</v>
      </c>
      <c r="B1095" s="5" t="s">
        <v>250</v>
      </c>
      <c r="C1095" s="5">
        <v>55</v>
      </c>
      <c r="D1095" s="5">
        <f t="shared" si="68"/>
        <v>392.00377257605692</v>
      </c>
      <c r="E1095" s="5">
        <f t="shared" si="70"/>
        <v>0</v>
      </c>
      <c r="F1095" s="5">
        <v>162</v>
      </c>
      <c r="G1095" s="5" t="s">
        <v>250</v>
      </c>
      <c r="H1095" s="5">
        <v>55</v>
      </c>
      <c r="I1095" s="5">
        <f t="shared" si="69"/>
        <v>392.00377257605692</v>
      </c>
      <c r="J1095" s="5">
        <f t="shared" si="71"/>
        <v>4</v>
      </c>
    </row>
    <row r="1096" spans="1:10" x14ac:dyDescent="0.2">
      <c r="A1096" s="5">
        <v>168.25</v>
      </c>
      <c r="B1096" s="5" t="s">
        <v>423</v>
      </c>
      <c r="C1096" s="5">
        <v>52</v>
      </c>
      <c r="D1096" s="5">
        <f t="shared" si="68"/>
        <v>329.63372180082422</v>
      </c>
      <c r="E1096" s="5">
        <f t="shared" si="70"/>
        <v>3</v>
      </c>
      <c r="F1096" s="5">
        <v>163</v>
      </c>
      <c r="G1096" s="5" t="s">
        <v>249</v>
      </c>
      <c r="H1096" s="5">
        <v>59</v>
      </c>
      <c r="I1096" s="5">
        <f t="shared" si="69"/>
        <v>493.89549345236594</v>
      </c>
      <c r="J1096" s="5">
        <f t="shared" si="71"/>
        <v>4</v>
      </c>
    </row>
    <row r="1097" spans="1:10" x14ac:dyDescent="0.2">
      <c r="A1097" s="5">
        <v>168.75</v>
      </c>
      <c r="B1097" s="5" t="s">
        <v>250</v>
      </c>
      <c r="C1097" s="5">
        <v>55</v>
      </c>
      <c r="D1097" s="5">
        <f t="shared" si="68"/>
        <v>392.00377257605692</v>
      </c>
      <c r="E1097" s="5">
        <f t="shared" si="70"/>
        <v>3</v>
      </c>
      <c r="F1097" s="5">
        <v>164</v>
      </c>
      <c r="G1097" s="5" t="s">
        <v>337</v>
      </c>
      <c r="H1097" s="5">
        <v>45</v>
      </c>
      <c r="I1097" s="5">
        <f t="shared" si="69"/>
        <v>220.00279814001337</v>
      </c>
      <c r="J1097" s="5">
        <f t="shared" si="71"/>
        <v>14</v>
      </c>
    </row>
    <row r="1098" spans="1:10" x14ac:dyDescent="0.2">
      <c r="A1098" s="5">
        <v>169.5</v>
      </c>
      <c r="B1098" s="5" t="s">
        <v>250</v>
      </c>
      <c r="C1098" s="5">
        <v>55</v>
      </c>
      <c r="D1098" s="5">
        <f t="shared" si="68"/>
        <v>392.00377257605692</v>
      </c>
      <c r="E1098" s="5">
        <f t="shared" si="70"/>
        <v>0</v>
      </c>
      <c r="F1098" s="5">
        <v>164.5</v>
      </c>
      <c r="G1098" s="5" t="s">
        <v>202</v>
      </c>
      <c r="H1098" s="5">
        <v>53</v>
      </c>
      <c r="I1098" s="5">
        <f t="shared" si="69"/>
        <v>349.23506143398839</v>
      </c>
      <c r="J1098" s="5">
        <f t="shared" si="71"/>
        <v>8</v>
      </c>
    </row>
    <row r="1099" spans="1:10" x14ac:dyDescent="0.2">
      <c r="A1099" s="5">
        <v>170.5</v>
      </c>
      <c r="B1099" s="5" t="s">
        <v>250</v>
      </c>
      <c r="C1099" s="5">
        <v>55</v>
      </c>
      <c r="D1099" s="5">
        <f t="shared" si="68"/>
        <v>392.00377257605692</v>
      </c>
      <c r="E1099" s="5">
        <f t="shared" si="70"/>
        <v>0</v>
      </c>
      <c r="F1099" s="5">
        <v>165</v>
      </c>
      <c r="G1099" s="5" t="s">
        <v>202</v>
      </c>
      <c r="H1099" s="5">
        <v>53</v>
      </c>
      <c r="I1099" s="5">
        <f t="shared" si="69"/>
        <v>349.23506143398839</v>
      </c>
      <c r="J1099" s="5">
        <f t="shared" si="71"/>
        <v>0</v>
      </c>
    </row>
    <row r="1100" spans="1:10" x14ac:dyDescent="0.2">
      <c r="A1100" s="5">
        <v>171.5</v>
      </c>
      <c r="B1100" s="5" t="s">
        <v>250</v>
      </c>
      <c r="C1100" s="5">
        <v>55</v>
      </c>
      <c r="D1100" s="5">
        <f t="shared" si="68"/>
        <v>392.00377257605692</v>
      </c>
      <c r="E1100" s="5">
        <f t="shared" si="70"/>
        <v>0</v>
      </c>
      <c r="F1100" s="5">
        <v>165.75</v>
      </c>
      <c r="G1100" s="5" t="s">
        <v>247</v>
      </c>
      <c r="H1100" s="5">
        <v>50</v>
      </c>
      <c r="I1100" s="5">
        <f t="shared" si="69"/>
        <v>293.66975814369101</v>
      </c>
      <c r="J1100" s="5">
        <f t="shared" si="71"/>
        <v>3</v>
      </c>
    </row>
    <row r="1101" spans="1:10" x14ac:dyDescent="0.2">
      <c r="A1101" s="5">
        <v>172.25</v>
      </c>
      <c r="B1101" s="5" t="s">
        <v>248</v>
      </c>
      <c r="C1101" s="5">
        <v>57</v>
      </c>
      <c r="D1101" s="5">
        <f t="shared" si="68"/>
        <v>440.01010976071973</v>
      </c>
      <c r="E1101" s="5">
        <f t="shared" si="70"/>
        <v>2</v>
      </c>
      <c r="F1101" s="5">
        <v>166.5</v>
      </c>
      <c r="G1101" s="5" t="s">
        <v>250</v>
      </c>
      <c r="H1101" s="5">
        <v>55</v>
      </c>
      <c r="I1101" s="5">
        <f t="shared" si="69"/>
        <v>392.00377257605692</v>
      </c>
      <c r="J1101" s="5">
        <f t="shared" si="71"/>
        <v>5</v>
      </c>
    </row>
    <row r="1102" spans="1:10" x14ac:dyDescent="0.2">
      <c r="A1102" s="5">
        <v>172.75</v>
      </c>
      <c r="B1102" s="5" t="s">
        <v>250</v>
      </c>
      <c r="C1102" s="5">
        <v>55</v>
      </c>
      <c r="D1102" s="5">
        <f t="shared" si="68"/>
        <v>392.00377257605692</v>
      </c>
      <c r="E1102" s="5">
        <f t="shared" si="70"/>
        <v>2</v>
      </c>
      <c r="F1102" s="5">
        <v>167.5</v>
      </c>
      <c r="G1102" s="5" t="s">
        <v>247</v>
      </c>
      <c r="H1102" s="5">
        <v>50</v>
      </c>
      <c r="I1102" s="5">
        <f t="shared" si="69"/>
        <v>293.66975814369101</v>
      </c>
      <c r="J1102" s="5">
        <f t="shared" si="71"/>
        <v>5</v>
      </c>
    </row>
    <row r="1103" spans="1:10" x14ac:dyDescent="0.2">
      <c r="A1103" s="5">
        <v>173.5</v>
      </c>
      <c r="B1103" s="5" t="s">
        <v>250</v>
      </c>
      <c r="C1103" s="5">
        <v>55</v>
      </c>
      <c r="D1103" s="5">
        <f t="shared" si="68"/>
        <v>392.00377257605692</v>
      </c>
      <c r="E1103" s="5">
        <f t="shared" si="70"/>
        <v>0</v>
      </c>
      <c r="F1103" s="5">
        <v>168.25</v>
      </c>
      <c r="G1103" s="5" t="s">
        <v>385</v>
      </c>
      <c r="H1103" s="5">
        <v>47</v>
      </c>
      <c r="I1103" s="5">
        <f t="shared" si="69"/>
        <v>246.94521361646048</v>
      </c>
      <c r="J1103" s="5">
        <f t="shared" si="71"/>
        <v>3</v>
      </c>
    </row>
    <row r="1104" spans="1:10" x14ac:dyDescent="0.2">
      <c r="A1104" s="5">
        <v>174</v>
      </c>
      <c r="B1104" s="5" t="s">
        <v>249</v>
      </c>
      <c r="C1104" s="5">
        <v>59</v>
      </c>
      <c r="D1104" s="5">
        <f t="shared" si="68"/>
        <v>493.89549345236594</v>
      </c>
      <c r="E1104" s="5">
        <f t="shared" si="70"/>
        <v>4</v>
      </c>
      <c r="F1104" s="5">
        <v>168.75</v>
      </c>
      <c r="G1104" s="5" t="s">
        <v>247</v>
      </c>
      <c r="H1104" s="5">
        <v>50</v>
      </c>
      <c r="I1104" s="5">
        <f t="shared" si="69"/>
        <v>293.66975814369101</v>
      </c>
      <c r="J1104" s="5">
        <f t="shared" si="71"/>
        <v>3</v>
      </c>
    </row>
    <row r="1105" spans="1:10" x14ac:dyDescent="0.2">
      <c r="A1105" s="5">
        <v>175</v>
      </c>
      <c r="B1105" s="5" t="s">
        <v>285</v>
      </c>
      <c r="C1105" s="5">
        <v>62</v>
      </c>
      <c r="D1105" s="5">
        <f t="shared" si="68"/>
        <v>587.34554108704231</v>
      </c>
      <c r="E1105" s="5">
        <f t="shared" si="70"/>
        <v>3</v>
      </c>
      <c r="F1105" s="5">
        <v>169.5</v>
      </c>
      <c r="G1105" s="5" t="s">
        <v>38</v>
      </c>
      <c r="H1105" s="5">
        <v>52</v>
      </c>
      <c r="I1105" s="5">
        <f t="shared" si="69"/>
        <v>329.63372180082422</v>
      </c>
      <c r="J1105" s="5">
        <f t="shared" si="71"/>
        <v>2</v>
      </c>
    </row>
    <row r="1106" spans="1:10" x14ac:dyDescent="0.2">
      <c r="A1106" s="5">
        <v>176</v>
      </c>
      <c r="B1106" s="5" t="s">
        <v>288</v>
      </c>
      <c r="C1106" s="5">
        <v>50</v>
      </c>
      <c r="D1106" s="5">
        <f t="shared" si="68"/>
        <v>293.66975814369101</v>
      </c>
      <c r="E1106" s="5">
        <f t="shared" si="70"/>
        <v>12</v>
      </c>
      <c r="F1106" s="5">
        <v>170</v>
      </c>
      <c r="G1106" s="5" t="s">
        <v>386</v>
      </c>
      <c r="H1106" s="5">
        <v>48</v>
      </c>
      <c r="I1106" s="5">
        <f t="shared" si="69"/>
        <v>261.62956379894968</v>
      </c>
      <c r="J1106" s="5">
        <f t="shared" si="71"/>
        <v>4</v>
      </c>
    </row>
    <row r="1107" spans="1:10" x14ac:dyDescent="0.2">
      <c r="A1107" s="5">
        <v>176.5</v>
      </c>
      <c r="B1107" s="5" t="s">
        <v>249</v>
      </c>
      <c r="C1107" s="5">
        <v>59</v>
      </c>
      <c r="D1107" s="5">
        <f t="shared" si="68"/>
        <v>493.89549345236594</v>
      </c>
      <c r="E1107" s="5">
        <f t="shared" si="70"/>
        <v>9</v>
      </c>
      <c r="F1107" s="5">
        <v>171</v>
      </c>
      <c r="G1107" s="5" t="s">
        <v>38</v>
      </c>
      <c r="H1107" s="5">
        <v>52</v>
      </c>
      <c r="I1107" s="5">
        <f t="shared" si="69"/>
        <v>329.63372180082422</v>
      </c>
      <c r="J1107" s="5">
        <f t="shared" si="71"/>
        <v>4</v>
      </c>
    </row>
    <row r="1108" spans="1:10" x14ac:dyDescent="0.2">
      <c r="A1108" s="5">
        <v>177</v>
      </c>
      <c r="B1108" s="5" t="s">
        <v>249</v>
      </c>
      <c r="C1108" s="5">
        <v>59</v>
      </c>
      <c r="D1108" s="5">
        <f t="shared" si="68"/>
        <v>493.89549345236594</v>
      </c>
      <c r="E1108" s="5">
        <f t="shared" si="70"/>
        <v>0</v>
      </c>
      <c r="F1108" s="5">
        <v>172</v>
      </c>
      <c r="G1108" s="5" t="s">
        <v>337</v>
      </c>
      <c r="H1108" s="5">
        <v>45</v>
      </c>
      <c r="I1108" s="5">
        <f t="shared" si="69"/>
        <v>220.00279814001337</v>
      </c>
      <c r="J1108" s="5">
        <f t="shared" si="71"/>
        <v>7</v>
      </c>
    </row>
    <row r="1109" spans="1:10" x14ac:dyDescent="0.2">
      <c r="A1109" s="5">
        <v>177.75</v>
      </c>
      <c r="B1109" s="5" t="s">
        <v>373</v>
      </c>
      <c r="C1109" s="5">
        <v>50</v>
      </c>
      <c r="D1109" s="5">
        <f t="shared" si="68"/>
        <v>293.66975814369101</v>
      </c>
      <c r="E1109" s="5">
        <f t="shared" si="70"/>
        <v>9</v>
      </c>
      <c r="F1109" s="5">
        <v>172.5</v>
      </c>
      <c r="G1109" s="5" t="s">
        <v>338</v>
      </c>
      <c r="H1109" s="5">
        <v>55</v>
      </c>
      <c r="I1109" s="5">
        <f t="shared" si="69"/>
        <v>392.00377257605692</v>
      </c>
      <c r="J1109" s="5">
        <f t="shared" si="71"/>
        <v>10</v>
      </c>
    </row>
    <row r="1110" spans="1:10" x14ac:dyDescent="0.2">
      <c r="A1110" s="5">
        <v>178.5</v>
      </c>
      <c r="B1110" s="5" t="s">
        <v>250</v>
      </c>
      <c r="C1110" s="5">
        <v>55</v>
      </c>
      <c r="D1110" s="5">
        <f t="shared" si="68"/>
        <v>392.00377257605692</v>
      </c>
      <c r="E1110" s="5">
        <f t="shared" si="70"/>
        <v>5</v>
      </c>
      <c r="F1110" s="5">
        <v>173</v>
      </c>
      <c r="G1110" s="5" t="s">
        <v>250</v>
      </c>
      <c r="H1110" s="5">
        <v>55</v>
      </c>
      <c r="I1110" s="5">
        <f t="shared" si="69"/>
        <v>392.00377257605692</v>
      </c>
      <c r="J1110" s="5">
        <f t="shared" si="71"/>
        <v>0</v>
      </c>
    </row>
    <row r="1111" spans="1:10" x14ac:dyDescent="0.2">
      <c r="A1111" s="5">
        <v>179.5</v>
      </c>
      <c r="B1111" s="5" t="s">
        <v>250</v>
      </c>
      <c r="C1111" s="5">
        <v>55</v>
      </c>
      <c r="D1111" s="5">
        <f t="shared" si="68"/>
        <v>392.00377257605692</v>
      </c>
      <c r="E1111" s="5">
        <f t="shared" si="70"/>
        <v>0</v>
      </c>
      <c r="F1111" s="5">
        <v>173.75</v>
      </c>
      <c r="G1111" s="5" t="s">
        <v>340</v>
      </c>
      <c r="H1111" s="5">
        <v>50</v>
      </c>
      <c r="I1111" s="5">
        <f t="shared" si="69"/>
        <v>293.66975814369101</v>
      </c>
      <c r="J1111" s="5">
        <f t="shared" si="71"/>
        <v>5</v>
      </c>
    </row>
    <row r="1112" spans="1:10" x14ac:dyDescent="0.2">
      <c r="A1112" s="5">
        <v>180.25</v>
      </c>
      <c r="B1112" s="5" t="s">
        <v>374</v>
      </c>
      <c r="C1112" s="5">
        <v>55</v>
      </c>
      <c r="D1112" s="5">
        <f t="shared" si="68"/>
        <v>392.00377257605692</v>
      </c>
      <c r="E1112" s="5">
        <f t="shared" si="70"/>
        <v>0</v>
      </c>
      <c r="F1112" s="5">
        <v>174.5</v>
      </c>
      <c r="G1112" s="5" t="s">
        <v>250</v>
      </c>
      <c r="H1112" s="5">
        <v>55</v>
      </c>
      <c r="I1112" s="5">
        <f t="shared" si="69"/>
        <v>392.00377257605692</v>
      </c>
      <c r="J1112" s="5">
        <f t="shared" si="71"/>
        <v>5</v>
      </c>
    </row>
    <row r="1113" spans="1:10" x14ac:dyDescent="0.2">
      <c r="A1113" s="5">
        <v>180.75</v>
      </c>
      <c r="B1113" s="5" t="s">
        <v>374</v>
      </c>
      <c r="C1113" s="5">
        <v>55</v>
      </c>
      <c r="D1113" s="5">
        <f t="shared" si="68"/>
        <v>392.00377257605692</v>
      </c>
      <c r="E1113" s="5">
        <f t="shared" si="70"/>
        <v>0</v>
      </c>
      <c r="F1113" s="5">
        <v>175.5</v>
      </c>
      <c r="G1113" s="5" t="s">
        <v>247</v>
      </c>
      <c r="H1113" s="5">
        <v>50</v>
      </c>
      <c r="I1113" s="5">
        <f t="shared" si="69"/>
        <v>293.66975814369101</v>
      </c>
      <c r="J1113" s="5">
        <f t="shared" si="71"/>
        <v>5</v>
      </c>
    </row>
    <row r="1114" spans="1:10" x14ac:dyDescent="0.2">
      <c r="A1114" s="5">
        <v>181.5</v>
      </c>
      <c r="B1114" s="5" t="s">
        <v>382</v>
      </c>
      <c r="C1114" s="5">
        <v>55</v>
      </c>
      <c r="D1114" s="5">
        <f t="shared" si="68"/>
        <v>392.00377257605692</v>
      </c>
      <c r="E1114" s="5">
        <f t="shared" si="70"/>
        <v>0</v>
      </c>
      <c r="F1114" s="5">
        <v>176.25</v>
      </c>
      <c r="G1114" s="5" t="s">
        <v>202</v>
      </c>
      <c r="H1114" s="5">
        <v>53</v>
      </c>
      <c r="I1114" s="5">
        <f t="shared" si="69"/>
        <v>349.23506143398839</v>
      </c>
      <c r="J1114" s="5">
        <f t="shared" si="71"/>
        <v>3</v>
      </c>
    </row>
    <row r="1115" spans="1:10" x14ac:dyDescent="0.2">
      <c r="A1115" s="5">
        <v>182</v>
      </c>
      <c r="B1115" s="5" t="s">
        <v>248</v>
      </c>
      <c r="C1115" s="5">
        <v>57</v>
      </c>
      <c r="D1115" s="5">
        <f t="shared" si="68"/>
        <v>440.01010976071973</v>
      </c>
      <c r="E1115" s="5">
        <f t="shared" si="70"/>
        <v>2</v>
      </c>
      <c r="F1115" s="5">
        <v>176.75</v>
      </c>
      <c r="G1115" s="5" t="s">
        <v>247</v>
      </c>
      <c r="H1115" s="5">
        <v>50</v>
      </c>
      <c r="I1115" s="5">
        <f t="shared" si="69"/>
        <v>293.66975814369101</v>
      </c>
      <c r="J1115" s="5">
        <f t="shared" si="71"/>
        <v>3</v>
      </c>
    </row>
    <row r="1116" spans="1:10" x14ac:dyDescent="0.2">
      <c r="A1116" s="5">
        <v>183</v>
      </c>
      <c r="B1116" s="5" t="s">
        <v>383</v>
      </c>
      <c r="C1116" s="5">
        <v>60</v>
      </c>
      <c r="D1116" s="5">
        <f t="shared" si="68"/>
        <v>523.26449507501752</v>
      </c>
      <c r="E1116" s="5">
        <f t="shared" si="70"/>
        <v>3</v>
      </c>
      <c r="F1116" s="5">
        <v>177.5</v>
      </c>
      <c r="G1116" s="5" t="s">
        <v>341</v>
      </c>
      <c r="H1116" s="5">
        <v>59</v>
      </c>
      <c r="I1116" s="5">
        <f t="shared" si="69"/>
        <v>493.89549345236594</v>
      </c>
      <c r="J1116" s="5">
        <f t="shared" si="71"/>
        <v>9</v>
      </c>
    </row>
    <row r="1117" spans="1:10" x14ac:dyDescent="0.2">
      <c r="A1117" s="5">
        <v>184</v>
      </c>
      <c r="B1117" s="5" t="s">
        <v>247</v>
      </c>
      <c r="C1117" s="5">
        <v>50</v>
      </c>
      <c r="D1117" s="5">
        <f t="shared" si="68"/>
        <v>293.66975814369101</v>
      </c>
      <c r="E1117" s="5">
        <f t="shared" si="70"/>
        <v>10</v>
      </c>
      <c r="F1117" s="5">
        <v>178</v>
      </c>
      <c r="G1117" s="5" t="s">
        <v>250</v>
      </c>
      <c r="H1117" s="5">
        <v>55</v>
      </c>
      <c r="I1117" s="5">
        <f t="shared" si="69"/>
        <v>392.00377257605692</v>
      </c>
      <c r="J1117" s="5">
        <f t="shared" si="71"/>
        <v>4</v>
      </c>
    </row>
    <row r="1118" spans="1:10" x14ac:dyDescent="0.2">
      <c r="A1118" s="5">
        <v>184.5</v>
      </c>
      <c r="B1118" s="5" t="s">
        <v>202</v>
      </c>
      <c r="C1118" s="5">
        <v>53</v>
      </c>
      <c r="D1118" s="5">
        <f t="shared" si="68"/>
        <v>349.23506143398839</v>
      </c>
      <c r="E1118" s="5">
        <f t="shared" si="70"/>
        <v>3</v>
      </c>
      <c r="F1118" s="5">
        <v>179</v>
      </c>
      <c r="G1118" s="5" t="s">
        <v>249</v>
      </c>
      <c r="H1118" s="5">
        <v>59</v>
      </c>
      <c r="I1118" s="5">
        <f t="shared" si="69"/>
        <v>493.89549345236594</v>
      </c>
      <c r="J1118" s="5">
        <f t="shared" si="71"/>
        <v>4</v>
      </c>
    </row>
    <row r="1119" spans="1:10" x14ac:dyDescent="0.2">
      <c r="A1119" s="5">
        <v>185</v>
      </c>
      <c r="B1119" s="5" t="s">
        <v>423</v>
      </c>
      <c r="C1119" s="5">
        <v>52</v>
      </c>
      <c r="D1119" s="5">
        <f t="shared" si="68"/>
        <v>329.63372180082422</v>
      </c>
      <c r="E1119" s="5">
        <f t="shared" si="70"/>
        <v>1</v>
      </c>
      <c r="F1119" s="5">
        <v>180</v>
      </c>
      <c r="G1119" s="5" t="s">
        <v>337</v>
      </c>
      <c r="H1119" s="5">
        <v>45</v>
      </c>
      <c r="I1119" s="5">
        <f t="shared" si="69"/>
        <v>220.00279814001337</v>
      </c>
      <c r="J1119" s="5">
        <f t="shared" si="71"/>
        <v>14</v>
      </c>
    </row>
    <row r="1120" spans="1:10" x14ac:dyDescent="0.2">
      <c r="A1120" s="5">
        <v>186</v>
      </c>
      <c r="B1120" s="5" t="s">
        <v>423</v>
      </c>
      <c r="C1120" s="5">
        <v>52</v>
      </c>
      <c r="D1120" s="5">
        <f t="shared" si="68"/>
        <v>329.63372180082422</v>
      </c>
      <c r="E1120" s="5">
        <f t="shared" si="70"/>
        <v>0</v>
      </c>
      <c r="F1120" s="5">
        <v>180.5</v>
      </c>
      <c r="G1120" s="5" t="s">
        <v>202</v>
      </c>
      <c r="H1120" s="5">
        <v>53</v>
      </c>
      <c r="I1120" s="5">
        <f t="shared" si="69"/>
        <v>349.23506143398839</v>
      </c>
      <c r="J1120" s="5">
        <f t="shared" si="71"/>
        <v>8</v>
      </c>
    </row>
    <row r="1121" spans="1:10" x14ac:dyDescent="0.2">
      <c r="A1121" s="5">
        <v>187</v>
      </c>
      <c r="B1121" s="5" t="s">
        <v>424</v>
      </c>
      <c r="C1121" s="5">
        <v>52</v>
      </c>
      <c r="D1121" s="5">
        <f t="shared" si="68"/>
        <v>329.63372180082422</v>
      </c>
      <c r="E1121" s="5">
        <f t="shared" si="70"/>
        <v>0</v>
      </c>
      <c r="F1121" s="5">
        <v>181</v>
      </c>
      <c r="G1121" s="5" t="s">
        <v>202</v>
      </c>
      <c r="H1121" s="5">
        <v>53</v>
      </c>
      <c r="I1121" s="5">
        <f t="shared" si="69"/>
        <v>349.23506143398839</v>
      </c>
      <c r="J1121" s="5">
        <f t="shared" si="71"/>
        <v>0</v>
      </c>
    </row>
    <row r="1122" spans="1:10" x14ac:dyDescent="0.2">
      <c r="A1122" s="5">
        <v>188</v>
      </c>
      <c r="B1122" s="5" t="s">
        <v>202</v>
      </c>
      <c r="C1122" s="5">
        <v>53</v>
      </c>
      <c r="D1122" s="5">
        <f t="shared" si="68"/>
        <v>349.23506143398839</v>
      </c>
      <c r="E1122" s="5">
        <f t="shared" si="70"/>
        <v>1</v>
      </c>
      <c r="F1122" s="5">
        <v>181.75</v>
      </c>
      <c r="G1122" s="5" t="s">
        <v>247</v>
      </c>
      <c r="H1122" s="5">
        <v>50</v>
      </c>
      <c r="I1122" s="5">
        <f t="shared" si="69"/>
        <v>293.66975814369101</v>
      </c>
      <c r="J1122" s="5">
        <f t="shared" si="71"/>
        <v>3</v>
      </c>
    </row>
    <row r="1123" spans="1:10" x14ac:dyDescent="0.2">
      <c r="A1123" s="5">
        <v>188.5</v>
      </c>
      <c r="B1123" s="5" t="s">
        <v>250</v>
      </c>
      <c r="C1123" s="5">
        <v>55</v>
      </c>
      <c r="D1123" s="5">
        <f t="shared" si="68"/>
        <v>392.00377257605692</v>
      </c>
      <c r="E1123" s="5">
        <f t="shared" si="70"/>
        <v>2</v>
      </c>
      <c r="F1123" s="5">
        <v>182.5</v>
      </c>
      <c r="G1123" s="5" t="s">
        <v>250</v>
      </c>
      <c r="H1123" s="5">
        <v>55</v>
      </c>
      <c r="I1123" s="5">
        <f t="shared" si="69"/>
        <v>392.00377257605692</v>
      </c>
      <c r="J1123" s="5">
        <f t="shared" si="71"/>
        <v>5</v>
      </c>
    </row>
    <row r="1124" spans="1:10" x14ac:dyDescent="0.2">
      <c r="A1124" s="5">
        <v>189</v>
      </c>
      <c r="B1124" s="5" t="s">
        <v>250</v>
      </c>
      <c r="C1124" s="5">
        <v>55</v>
      </c>
      <c r="D1124" s="5">
        <f t="shared" si="68"/>
        <v>392.00377257605692</v>
      </c>
      <c r="E1124" s="5">
        <f t="shared" si="70"/>
        <v>0</v>
      </c>
      <c r="F1124" s="5">
        <v>183.5</v>
      </c>
      <c r="G1124" s="5" t="s">
        <v>247</v>
      </c>
      <c r="H1124" s="5">
        <v>50</v>
      </c>
      <c r="I1124" s="5">
        <f t="shared" si="69"/>
        <v>293.66975814369101</v>
      </c>
      <c r="J1124" s="5">
        <f t="shared" si="71"/>
        <v>5</v>
      </c>
    </row>
    <row r="1125" spans="1:10" x14ac:dyDescent="0.2">
      <c r="A1125" s="5">
        <v>190</v>
      </c>
      <c r="B1125" s="5" t="s">
        <v>202</v>
      </c>
      <c r="C1125" s="5">
        <v>53</v>
      </c>
      <c r="D1125" s="5">
        <f t="shared" si="68"/>
        <v>349.23506143398839</v>
      </c>
      <c r="E1125" s="5">
        <f t="shared" si="70"/>
        <v>2</v>
      </c>
      <c r="F1125" s="5">
        <v>184.25</v>
      </c>
      <c r="G1125" s="5" t="s">
        <v>385</v>
      </c>
      <c r="H1125" s="5">
        <v>47</v>
      </c>
      <c r="I1125" s="5">
        <f t="shared" si="69"/>
        <v>246.94521361646048</v>
      </c>
      <c r="J1125" s="5">
        <f t="shared" si="71"/>
        <v>3</v>
      </c>
    </row>
    <row r="1126" spans="1:10" x14ac:dyDescent="0.2">
      <c r="A1126" s="5">
        <v>190.5</v>
      </c>
      <c r="B1126" s="5" t="s">
        <v>250</v>
      </c>
      <c r="C1126" s="5">
        <v>55</v>
      </c>
      <c r="D1126" s="5">
        <f t="shared" ref="D1126:D1189" si="72">16.35117682*1.059464^C1126</f>
        <v>392.00377257605692</v>
      </c>
      <c r="E1126" s="5">
        <f t="shared" si="70"/>
        <v>2</v>
      </c>
      <c r="F1126" s="5">
        <v>184.75</v>
      </c>
      <c r="G1126" s="5" t="s">
        <v>247</v>
      </c>
      <c r="H1126" s="5">
        <v>50</v>
      </c>
      <c r="I1126" s="5">
        <f t="shared" ref="I1126:I1189" si="73">16.35117682*1.059464^H1126</f>
        <v>293.66975814369101</v>
      </c>
      <c r="J1126" s="5">
        <f t="shared" si="71"/>
        <v>3</v>
      </c>
    </row>
    <row r="1127" spans="1:10" x14ac:dyDescent="0.2">
      <c r="A1127" s="5">
        <v>191</v>
      </c>
      <c r="B1127" s="5" t="s">
        <v>250</v>
      </c>
      <c r="C1127" s="5">
        <v>55</v>
      </c>
      <c r="D1127" s="5">
        <f t="shared" si="72"/>
        <v>392.00377257605692</v>
      </c>
      <c r="E1127" s="5">
        <f t="shared" ref="E1127:E1190" si="74">ABS( C1127-C1126)</f>
        <v>0</v>
      </c>
      <c r="F1127" s="5">
        <v>185.5</v>
      </c>
      <c r="G1127" s="5" t="s">
        <v>38</v>
      </c>
      <c r="H1127" s="5">
        <v>52</v>
      </c>
      <c r="I1127" s="5">
        <f t="shared" si="73"/>
        <v>329.63372180082422</v>
      </c>
      <c r="J1127" s="5">
        <f t="shared" ref="J1127:J1190" si="75">ABS( H1127-H1126)</f>
        <v>2</v>
      </c>
    </row>
    <row r="1128" spans="1:10" x14ac:dyDescent="0.2">
      <c r="A1128" s="5">
        <v>192</v>
      </c>
      <c r="B1128" s="5" t="s">
        <v>202</v>
      </c>
      <c r="C1128" s="5">
        <v>53</v>
      </c>
      <c r="D1128" s="5">
        <f t="shared" si="72"/>
        <v>349.23506143398839</v>
      </c>
      <c r="E1128" s="5">
        <f t="shared" si="74"/>
        <v>2</v>
      </c>
      <c r="F1128" s="5">
        <v>186</v>
      </c>
      <c r="G1128" s="5" t="s">
        <v>386</v>
      </c>
      <c r="H1128" s="5">
        <v>48</v>
      </c>
      <c r="I1128" s="5">
        <f t="shared" si="73"/>
        <v>261.62956379894968</v>
      </c>
      <c r="J1128" s="5">
        <f t="shared" si="75"/>
        <v>4</v>
      </c>
    </row>
    <row r="1129" spans="1:10" x14ac:dyDescent="0.2">
      <c r="A1129" s="5">
        <v>192.5</v>
      </c>
      <c r="B1129" s="5" t="s">
        <v>250</v>
      </c>
      <c r="C1129" s="5">
        <v>55</v>
      </c>
      <c r="D1129" s="5">
        <f t="shared" si="72"/>
        <v>392.00377257605692</v>
      </c>
      <c r="E1129" s="5">
        <f t="shared" si="74"/>
        <v>2</v>
      </c>
      <c r="F1129" s="5">
        <v>187</v>
      </c>
      <c r="G1129" s="5" t="s">
        <v>38</v>
      </c>
      <c r="H1129" s="5">
        <v>52</v>
      </c>
      <c r="I1129" s="5">
        <f t="shared" si="73"/>
        <v>329.63372180082422</v>
      </c>
      <c r="J1129" s="5">
        <f t="shared" si="75"/>
        <v>4</v>
      </c>
    </row>
    <row r="1130" spans="1:10" x14ac:dyDescent="0.2">
      <c r="A1130" s="5">
        <v>193</v>
      </c>
      <c r="B1130" s="5" t="s">
        <v>250</v>
      </c>
      <c r="C1130" s="5">
        <v>55</v>
      </c>
      <c r="D1130" s="5">
        <f t="shared" si="72"/>
        <v>392.00377257605692</v>
      </c>
      <c r="E1130" s="5">
        <f t="shared" si="74"/>
        <v>0</v>
      </c>
      <c r="F1130" s="5">
        <v>188</v>
      </c>
      <c r="G1130" s="5" t="s">
        <v>271</v>
      </c>
      <c r="H1130" s="5">
        <v>45</v>
      </c>
      <c r="I1130" s="5">
        <f t="shared" si="73"/>
        <v>220.00279814001337</v>
      </c>
      <c r="J1130" s="5">
        <f t="shared" si="75"/>
        <v>7</v>
      </c>
    </row>
    <row r="1131" spans="1:10" x14ac:dyDescent="0.2">
      <c r="A1131" s="5">
        <v>194</v>
      </c>
      <c r="B1131" s="5" t="s">
        <v>202</v>
      </c>
      <c r="C1131" s="5">
        <v>53</v>
      </c>
      <c r="D1131" s="5">
        <f t="shared" si="72"/>
        <v>349.23506143398839</v>
      </c>
      <c r="E1131" s="5">
        <f t="shared" si="74"/>
        <v>2</v>
      </c>
      <c r="F1131" s="5">
        <v>188.5</v>
      </c>
      <c r="G1131" s="5" t="s">
        <v>272</v>
      </c>
      <c r="H1131" s="5">
        <v>47</v>
      </c>
      <c r="I1131" s="5">
        <f t="shared" si="73"/>
        <v>246.94521361646048</v>
      </c>
      <c r="J1131" s="5">
        <f t="shared" si="75"/>
        <v>2</v>
      </c>
    </row>
    <row r="1132" spans="1:10" x14ac:dyDescent="0.2">
      <c r="A1132" s="5">
        <v>194.5</v>
      </c>
      <c r="B1132" s="5" t="s">
        <v>250</v>
      </c>
      <c r="C1132" s="5">
        <v>55</v>
      </c>
      <c r="D1132" s="5">
        <f t="shared" si="72"/>
        <v>392.00377257605692</v>
      </c>
      <c r="E1132" s="5">
        <f t="shared" si="74"/>
        <v>2</v>
      </c>
      <c r="F1132" s="5">
        <v>189</v>
      </c>
      <c r="G1132" s="5" t="s">
        <v>274</v>
      </c>
      <c r="H1132" s="5">
        <v>59</v>
      </c>
      <c r="I1132" s="5">
        <f t="shared" si="73"/>
        <v>493.89549345236594</v>
      </c>
      <c r="J1132" s="5">
        <f t="shared" si="75"/>
        <v>12</v>
      </c>
    </row>
    <row r="1133" spans="1:10" x14ac:dyDescent="0.2">
      <c r="A1133" s="5">
        <v>195</v>
      </c>
      <c r="B1133" s="5" t="s">
        <v>250</v>
      </c>
      <c r="C1133" s="5">
        <v>55</v>
      </c>
      <c r="D1133" s="5">
        <f t="shared" si="72"/>
        <v>392.00377257605692</v>
      </c>
      <c r="E1133" s="5">
        <f t="shared" si="74"/>
        <v>0</v>
      </c>
      <c r="F1133" s="5">
        <v>190</v>
      </c>
      <c r="G1133" s="5" t="s">
        <v>271</v>
      </c>
      <c r="H1133" s="5">
        <v>45</v>
      </c>
      <c r="I1133" s="5">
        <f t="shared" si="73"/>
        <v>220.00279814001337</v>
      </c>
      <c r="J1133" s="5">
        <f t="shared" si="75"/>
        <v>14</v>
      </c>
    </row>
    <row r="1134" spans="1:10" x14ac:dyDescent="0.2">
      <c r="A1134" s="5">
        <v>196</v>
      </c>
      <c r="B1134" s="5" t="s">
        <v>247</v>
      </c>
      <c r="C1134" s="5">
        <v>50</v>
      </c>
      <c r="D1134" s="5">
        <f t="shared" si="72"/>
        <v>293.66975814369101</v>
      </c>
      <c r="E1134" s="5">
        <f t="shared" si="74"/>
        <v>5</v>
      </c>
      <c r="F1134" s="5">
        <v>190.5</v>
      </c>
      <c r="G1134" s="5" t="s">
        <v>272</v>
      </c>
      <c r="H1134" s="5">
        <v>47</v>
      </c>
      <c r="I1134" s="5">
        <f t="shared" si="73"/>
        <v>246.94521361646048</v>
      </c>
      <c r="J1134" s="5">
        <f t="shared" si="75"/>
        <v>2</v>
      </c>
    </row>
    <row r="1135" spans="1:10" x14ac:dyDescent="0.2">
      <c r="A1135" s="5">
        <v>196.5</v>
      </c>
      <c r="B1135" s="5" t="s">
        <v>202</v>
      </c>
      <c r="C1135" s="5">
        <v>53</v>
      </c>
      <c r="D1135" s="5">
        <f t="shared" si="72"/>
        <v>349.23506143398839</v>
      </c>
      <c r="E1135" s="5">
        <f t="shared" si="74"/>
        <v>3</v>
      </c>
      <c r="F1135" s="5">
        <v>191</v>
      </c>
      <c r="G1135" s="5" t="s">
        <v>274</v>
      </c>
      <c r="H1135" s="5">
        <v>59</v>
      </c>
      <c r="I1135" s="5">
        <f t="shared" si="73"/>
        <v>493.89549345236594</v>
      </c>
      <c r="J1135" s="5">
        <f t="shared" si="75"/>
        <v>12</v>
      </c>
    </row>
    <row r="1136" spans="1:10" x14ac:dyDescent="0.2">
      <c r="A1136" s="5">
        <v>197</v>
      </c>
      <c r="B1136" s="5" t="s">
        <v>247</v>
      </c>
      <c r="C1136" s="5">
        <v>50</v>
      </c>
      <c r="D1136" s="5">
        <f t="shared" si="72"/>
        <v>293.66975814369101</v>
      </c>
      <c r="E1136" s="5">
        <f t="shared" si="74"/>
        <v>3</v>
      </c>
      <c r="F1136" s="5">
        <v>192</v>
      </c>
      <c r="G1136" s="5" t="s">
        <v>271</v>
      </c>
      <c r="H1136" s="5">
        <v>45</v>
      </c>
      <c r="I1136" s="5">
        <f t="shared" si="73"/>
        <v>220.00279814001337</v>
      </c>
      <c r="J1136" s="5">
        <f t="shared" si="75"/>
        <v>14</v>
      </c>
    </row>
    <row r="1137" spans="1:10" x14ac:dyDescent="0.2">
      <c r="A1137" s="5">
        <v>197.5</v>
      </c>
      <c r="B1137" s="5" t="s">
        <v>250</v>
      </c>
      <c r="C1137" s="5">
        <v>55</v>
      </c>
      <c r="D1137" s="5">
        <f t="shared" si="72"/>
        <v>392.00377257605692</v>
      </c>
      <c r="E1137" s="5">
        <f t="shared" si="74"/>
        <v>5</v>
      </c>
      <c r="F1137" s="5">
        <v>192.5</v>
      </c>
      <c r="G1137" s="5" t="s">
        <v>272</v>
      </c>
      <c r="H1137" s="5">
        <v>47</v>
      </c>
      <c r="I1137" s="5">
        <f t="shared" si="73"/>
        <v>246.94521361646048</v>
      </c>
      <c r="J1137" s="5">
        <f t="shared" si="75"/>
        <v>2</v>
      </c>
    </row>
    <row r="1138" spans="1:10" x14ac:dyDescent="0.2">
      <c r="A1138" s="5">
        <v>198</v>
      </c>
      <c r="B1138" s="5" t="s">
        <v>431</v>
      </c>
      <c r="C1138" s="5">
        <v>50</v>
      </c>
      <c r="D1138" s="5">
        <f t="shared" si="72"/>
        <v>293.66975814369101</v>
      </c>
      <c r="E1138" s="5">
        <f t="shared" si="74"/>
        <v>5</v>
      </c>
      <c r="F1138" s="5">
        <v>193</v>
      </c>
      <c r="G1138" s="5" t="s">
        <v>274</v>
      </c>
      <c r="H1138" s="5">
        <v>59</v>
      </c>
      <c r="I1138" s="5">
        <f t="shared" si="73"/>
        <v>493.89549345236594</v>
      </c>
      <c r="J1138" s="5">
        <f t="shared" si="75"/>
        <v>12</v>
      </c>
    </row>
    <row r="1139" spans="1:10" x14ac:dyDescent="0.2">
      <c r="A1139" s="5">
        <v>198.5</v>
      </c>
      <c r="B1139" s="5" t="s">
        <v>248</v>
      </c>
      <c r="C1139" s="5">
        <v>57</v>
      </c>
      <c r="D1139" s="5">
        <f t="shared" si="72"/>
        <v>440.01010976071973</v>
      </c>
      <c r="E1139" s="5">
        <f t="shared" si="74"/>
        <v>7</v>
      </c>
      <c r="F1139" s="5">
        <v>194</v>
      </c>
      <c r="G1139" s="5" t="s">
        <v>271</v>
      </c>
      <c r="H1139" s="5">
        <v>45</v>
      </c>
      <c r="I1139" s="5">
        <f t="shared" si="73"/>
        <v>220.00279814001337</v>
      </c>
      <c r="J1139" s="5">
        <f t="shared" si="75"/>
        <v>14</v>
      </c>
    </row>
    <row r="1140" spans="1:10" x14ac:dyDescent="0.2">
      <c r="A1140" s="5">
        <v>199</v>
      </c>
      <c r="B1140" s="5" t="s">
        <v>429</v>
      </c>
      <c r="C1140" s="5">
        <v>50</v>
      </c>
      <c r="D1140" s="5">
        <f t="shared" si="72"/>
        <v>293.66975814369101</v>
      </c>
      <c r="E1140" s="5">
        <f t="shared" si="74"/>
        <v>7</v>
      </c>
      <c r="F1140" s="5">
        <v>194.5</v>
      </c>
      <c r="G1140" s="5" t="s">
        <v>272</v>
      </c>
      <c r="H1140" s="5">
        <v>47</v>
      </c>
      <c r="I1140" s="5">
        <f t="shared" si="73"/>
        <v>246.94521361646048</v>
      </c>
      <c r="J1140" s="5">
        <f t="shared" si="75"/>
        <v>2</v>
      </c>
    </row>
    <row r="1141" spans="1:10" x14ac:dyDescent="0.2">
      <c r="A1141" s="5">
        <v>199.5</v>
      </c>
      <c r="B1141" s="5" t="s">
        <v>249</v>
      </c>
      <c r="C1141" s="5">
        <v>59</v>
      </c>
      <c r="D1141" s="5">
        <f t="shared" si="72"/>
        <v>493.89549345236594</v>
      </c>
      <c r="E1141" s="5">
        <f t="shared" si="74"/>
        <v>9</v>
      </c>
      <c r="F1141" s="5">
        <v>195</v>
      </c>
      <c r="G1141" s="5" t="s">
        <v>274</v>
      </c>
      <c r="H1141" s="5">
        <v>59</v>
      </c>
      <c r="I1141" s="5">
        <f t="shared" si="73"/>
        <v>493.89549345236594</v>
      </c>
      <c r="J1141" s="5">
        <f t="shared" si="75"/>
        <v>12</v>
      </c>
    </row>
    <row r="1142" spans="1:10" x14ac:dyDescent="0.2">
      <c r="A1142" s="5">
        <v>200</v>
      </c>
      <c r="B1142" s="5" t="s">
        <v>285</v>
      </c>
      <c r="C1142" s="5">
        <v>62</v>
      </c>
      <c r="D1142" s="5">
        <f t="shared" si="72"/>
        <v>587.34554108704231</v>
      </c>
      <c r="E1142" s="5">
        <f t="shared" si="74"/>
        <v>3</v>
      </c>
      <c r="F1142" s="5">
        <v>196</v>
      </c>
      <c r="G1142" s="5" t="s">
        <v>59</v>
      </c>
      <c r="H1142" s="5">
        <v>40</v>
      </c>
      <c r="I1142" s="5">
        <f t="shared" si="73"/>
        <v>164.8151702626221</v>
      </c>
      <c r="J1142" s="5">
        <f t="shared" si="75"/>
        <v>19</v>
      </c>
    </row>
    <row r="1143" spans="1:10" x14ac:dyDescent="0.2">
      <c r="A1143" s="5">
        <v>201</v>
      </c>
      <c r="B1143" s="5" t="s">
        <v>432</v>
      </c>
      <c r="C1143" s="5">
        <v>62</v>
      </c>
      <c r="D1143" s="5">
        <f t="shared" si="72"/>
        <v>587.34554108704231</v>
      </c>
      <c r="E1143" s="5">
        <f t="shared" si="74"/>
        <v>0</v>
      </c>
      <c r="F1143" s="5">
        <v>196.5</v>
      </c>
      <c r="G1143" s="5" t="s">
        <v>57</v>
      </c>
      <c r="H1143" s="5">
        <v>43</v>
      </c>
      <c r="I1143" s="5">
        <f t="shared" si="73"/>
        <v>195.99987576438383</v>
      </c>
      <c r="J1143" s="5">
        <f t="shared" si="75"/>
        <v>3</v>
      </c>
    </row>
    <row r="1144" spans="1:10" x14ac:dyDescent="0.2">
      <c r="A1144" s="5">
        <v>202</v>
      </c>
      <c r="B1144" s="5" t="s">
        <v>285</v>
      </c>
      <c r="C1144" s="5">
        <v>62</v>
      </c>
      <c r="D1144" s="5">
        <f t="shared" si="72"/>
        <v>587.34554108704231</v>
      </c>
      <c r="E1144" s="5">
        <f t="shared" si="74"/>
        <v>0</v>
      </c>
      <c r="F1144" s="5">
        <v>197</v>
      </c>
      <c r="G1144" s="5" t="s">
        <v>59</v>
      </c>
      <c r="H1144" s="5">
        <v>40</v>
      </c>
      <c r="I1144" s="5">
        <f t="shared" si="73"/>
        <v>164.8151702626221</v>
      </c>
      <c r="J1144" s="5">
        <f t="shared" si="75"/>
        <v>3</v>
      </c>
    </row>
    <row r="1145" spans="1:10" x14ac:dyDescent="0.2">
      <c r="A1145" s="5">
        <v>203</v>
      </c>
      <c r="B1145" s="5" t="s">
        <v>285</v>
      </c>
      <c r="C1145" s="5">
        <v>62</v>
      </c>
      <c r="D1145" s="5">
        <f t="shared" si="72"/>
        <v>587.34554108704231</v>
      </c>
      <c r="E1145" s="5">
        <f t="shared" si="74"/>
        <v>0</v>
      </c>
      <c r="F1145" s="5">
        <v>197.5</v>
      </c>
      <c r="G1145" s="5" t="s">
        <v>54</v>
      </c>
      <c r="H1145" s="5">
        <v>45</v>
      </c>
      <c r="I1145" s="5">
        <f t="shared" si="73"/>
        <v>220.00279814001337</v>
      </c>
      <c r="J1145" s="5">
        <f t="shared" si="75"/>
        <v>5</v>
      </c>
    </row>
    <row r="1146" spans="1:10" x14ac:dyDescent="0.2">
      <c r="A1146" s="5">
        <v>204</v>
      </c>
      <c r="B1146" s="5" t="s">
        <v>247</v>
      </c>
      <c r="C1146" s="5">
        <v>50</v>
      </c>
      <c r="D1146" s="5">
        <f t="shared" si="72"/>
        <v>293.66975814369101</v>
      </c>
      <c r="E1146" s="5">
        <f t="shared" si="74"/>
        <v>12</v>
      </c>
      <c r="F1146" s="5">
        <v>198</v>
      </c>
      <c r="G1146" s="5" t="s">
        <v>59</v>
      </c>
      <c r="H1146" s="5">
        <v>40</v>
      </c>
      <c r="I1146" s="5">
        <f t="shared" si="73"/>
        <v>164.8151702626221</v>
      </c>
      <c r="J1146" s="5">
        <f t="shared" si="75"/>
        <v>5</v>
      </c>
    </row>
    <row r="1147" spans="1:10" x14ac:dyDescent="0.2">
      <c r="A1147" s="5">
        <v>204.5</v>
      </c>
      <c r="B1147" s="5" t="s">
        <v>433</v>
      </c>
      <c r="C1147" s="5">
        <v>53</v>
      </c>
      <c r="D1147" s="5">
        <f t="shared" si="72"/>
        <v>349.23506143398839</v>
      </c>
      <c r="E1147" s="5">
        <f t="shared" si="74"/>
        <v>3</v>
      </c>
      <c r="F1147" s="5">
        <v>198.5</v>
      </c>
      <c r="G1147" s="5" t="s">
        <v>272</v>
      </c>
      <c r="H1147" s="5">
        <v>47</v>
      </c>
      <c r="I1147" s="5">
        <f t="shared" si="73"/>
        <v>246.94521361646048</v>
      </c>
      <c r="J1147" s="5">
        <f t="shared" si="75"/>
        <v>7</v>
      </c>
    </row>
    <row r="1148" spans="1:10" x14ac:dyDescent="0.2">
      <c r="A1148" s="5">
        <v>205</v>
      </c>
      <c r="B1148" s="5" t="s">
        <v>429</v>
      </c>
      <c r="C1148" s="5">
        <v>50</v>
      </c>
      <c r="D1148" s="5">
        <f t="shared" si="72"/>
        <v>293.66975814369101</v>
      </c>
      <c r="E1148" s="5">
        <f t="shared" si="74"/>
        <v>3</v>
      </c>
      <c r="F1148" s="5">
        <v>199</v>
      </c>
      <c r="G1148" s="5" t="s">
        <v>59</v>
      </c>
      <c r="H1148" s="5">
        <v>40</v>
      </c>
      <c r="I1148" s="5">
        <f t="shared" si="73"/>
        <v>164.8151702626221</v>
      </c>
      <c r="J1148" s="5">
        <f t="shared" si="75"/>
        <v>7</v>
      </c>
    </row>
    <row r="1149" spans="1:10" x14ac:dyDescent="0.2">
      <c r="A1149" s="5">
        <v>205.5</v>
      </c>
      <c r="B1149" s="5" t="s">
        <v>250</v>
      </c>
      <c r="C1149" s="5">
        <v>55</v>
      </c>
      <c r="D1149" s="5">
        <f t="shared" si="72"/>
        <v>392.00377257605692</v>
      </c>
      <c r="E1149" s="5">
        <f t="shared" si="74"/>
        <v>5</v>
      </c>
      <c r="F1149" s="5">
        <v>199.5</v>
      </c>
      <c r="G1149" s="5" t="s">
        <v>54</v>
      </c>
      <c r="H1149" s="5">
        <v>45</v>
      </c>
      <c r="I1149" s="5">
        <f t="shared" si="73"/>
        <v>220.00279814001337</v>
      </c>
      <c r="J1149" s="5">
        <f t="shared" si="75"/>
        <v>5</v>
      </c>
    </row>
    <row r="1150" spans="1:10" x14ac:dyDescent="0.2">
      <c r="A1150" s="5">
        <v>206</v>
      </c>
      <c r="B1150" s="5" t="s">
        <v>247</v>
      </c>
      <c r="C1150" s="5">
        <v>50</v>
      </c>
      <c r="D1150" s="5">
        <f t="shared" si="72"/>
        <v>293.66975814369101</v>
      </c>
      <c r="E1150" s="5">
        <f t="shared" si="74"/>
        <v>5</v>
      </c>
      <c r="F1150" s="5">
        <v>200</v>
      </c>
      <c r="G1150" s="5" t="s">
        <v>59</v>
      </c>
      <c r="H1150" s="5">
        <v>40</v>
      </c>
      <c r="I1150" s="5">
        <f t="shared" si="73"/>
        <v>164.8151702626221</v>
      </c>
      <c r="J1150" s="5">
        <f t="shared" si="75"/>
        <v>5</v>
      </c>
    </row>
    <row r="1151" spans="1:10" x14ac:dyDescent="0.2">
      <c r="A1151" s="5">
        <v>206.5</v>
      </c>
      <c r="B1151" s="5" t="s">
        <v>248</v>
      </c>
      <c r="C1151" s="5">
        <v>57</v>
      </c>
      <c r="D1151" s="5">
        <f t="shared" si="72"/>
        <v>440.01010976071973</v>
      </c>
      <c r="E1151" s="5">
        <f t="shared" si="74"/>
        <v>7</v>
      </c>
      <c r="F1151" s="5">
        <v>200.5</v>
      </c>
      <c r="G1151" s="5" t="s">
        <v>57</v>
      </c>
      <c r="H1151" s="5">
        <v>43</v>
      </c>
      <c r="I1151" s="5">
        <f t="shared" si="73"/>
        <v>195.99987576438383</v>
      </c>
      <c r="J1151" s="5">
        <f t="shared" si="75"/>
        <v>3</v>
      </c>
    </row>
    <row r="1152" spans="1:10" x14ac:dyDescent="0.2">
      <c r="A1152" s="5">
        <v>207</v>
      </c>
      <c r="B1152" s="5" t="s">
        <v>247</v>
      </c>
      <c r="C1152" s="5">
        <v>50</v>
      </c>
      <c r="D1152" s="5">
        <f t="shared" si="72"/>
        <v>293.66975814369101</v>
      </c>
      <c r="E1152" s="5">
        <f t="shared" si="74"/>
        <v>7</v>
      </c>
      <c r="F1152" s="5">
        <v>201</v>
      </c>
      <c r="G1152" s="5" t="s">
        <v>57</v>
      </c>
      <c r="H1152" s="5">
        <v>43</v>
      </c>
      <c r="I1152" s="5">
        <f t="shared" si="73"/>
        <v>195.99987576438383</v>
      </c>
      <c r="J1152" s="5">
        <f t="shared" si="75"/>
        <v>0</v>
      </c>
    </row>
    <row r="1153" spans="1:10" x14ac:dyDescent="0.2">
      <c r="A1153" s="5">
        <v>207.5</v>
      </c>
      <c r="B1153" s="5" t="s">
        <v>249</v>
      </c>
      <c r="C1153" s="5">
        <v>59</v>
      </c>
      <c r="D1153" s="5">
        <f t="shared" si="72"/>
        <v>493.89549345236594</v>
      </c>
      <c r="E1153" s="5">
        <f t="shared" si="74"/>
        <v>9</v>
      </c>
      <c r="F1153" s="5">
        <v>202</v>
      </c>
      <c r="G1153" s="5" t="s">
        <v>57</v>
      </c>
      <c r="H1153" s="5">
        <v>43</v>
      </c>
      <c r="I1153" s="5">
        <f t="shared" si="73"/>
        <v>195.99987576438383</v>
      </c>
      <c r="J1153" s="5">
        <f t="shared" si="75"/>
        <v>0</v>
      </c>
    </row>
    <row r="1154" spans="1:10" x14ac:dyDescent="0.2">
      <c r="A1154" s="5">
        <v>208</v>
      </c>
      <c r="B1154" s="5" t="s">
        <v>285</v>
      </c>
      <c r="C1154" s="5">
        <v>62</v>
      </c>
      <c r="D1154" s="5">
        <f t="shared" si="72"/>
        <v>587.34554108704231</v>
      </c>
      <c r="E1154" s="5">
        <f t="shared" si="74"/>
        <v>3</v>
      </c>
      <c r="F1154" s="5">
        <v>203</v>
      </c>
      <c r="G1154" s="5" t="s">
        <v>57</v>
      </c>
      <c r="H1154" s="5">
        <v>43</v>
      </c>
      <c r="I1154" s="5">
        <f t="shared" si="73"/>
        <v>195.99987576438383</v>
      </c>
      <c r="J1154" s="5">
        <f t="shared" si="75"/>
        <v>0</v>
      </c>
    </row>
    <row r="1155" spans="1:10" x14ac:dyDescent="0.2">
      <c r="A1155" s="5">
        <v>209</v>
      </c>
      <c r="B1155" s="5" t="s">
        <v>435</v>
      </c>
      <c r="C1155" s="5">
        <v>50</v>
      </c>
      <c r="D1155" s="5">
        <f t="shared" si="72"/>
        <v>293.66975814369101</v>
      </c>
      <c r="E1155" s="5">
        <f t="shared" si="74"/>
        <v>12</v>
      </c>
      <c r="F1155" s="5">
        <v>204</v>
      </c>
      <c r="G1155" s="5" t="s">
        <v>59</v>
      </c>
      <c r="H1155" s="5">
        <v>40</v>
      </c>
      <c r="I1155" s="5">
        <f t="shared" si="73"/>
        <v>164.8151702626221</v>
      </c>
      <c r="J1155" s="5">
        <f t="shared" si="75"/>
        <v>3</v>
      </c>
    </row>
    <row r="1156" spans="1:10" x14ac:dyDescent="0.2">
      <c r="A1156" s="5">
        <v>210</v>
      </c>
      <c r="B1156" s="5" t="s">
        <v>247</v>
      </c>
      <c r="C1156" s="5">
        <v>50</v>
      </c>
      <c r="D1156" s="5">
        <f t="shared" si="72"/>
        <v>293.66975814369101</v>
      </c>
      <c r="E1156" s="5">
        <f t="shared" si="74"/>
        <v>0</v>
      </c>
      <c r="F1156" s="5">
        <v>204.5</v>
      </c>
      <c r="G1156" s="5" t="s">
        <v>57</v>
      </c>
      <c r="H1156" s="5">
        <v>43</v>
      </c>
      <c r="I1156" s="5">
        <f t="shared" si="73"/>
        <v>195.99987576438383</v>
      </c>
      <c r="J1156" s="5">
        <f t="shared" si="75"/>
        <v>3</v>
      </c>
    </row>
    <row r="1157" spans="1:10" x14ac:dyDescent="0.2">
      <c r="A1157" s="5">
        <v>211</v>
      </c>
      <c r="B1157" s="5" t="s">
        <v>247</v>
      </c>
      <c r="C1157" s="5">
        <v>50</v>
      </c>
      <c r="D1157" s="5">
        <f t="shared" si="72"/>
        <v>293.66975814369101</v>
      </c>
      <c r="E1157" s="5">
        <f t="shared" si="74"/>
        <v>0</v>
      </c>
      <c r="F1157" s="5">
        <v>205</v>
      </c>
      <c r="G1157" s="5" t="s">
        <v>59</v>
      </c>
      <c r="H1157" s="5">
        <v>40</v>
      </c>
      <c r="I1157" s="5">
        <f t="shared" si="73"/>
        <v>164.8151702626221</v>
      </c>
      <c r="J1157" s="5">
        <f t="shared" si="75"/>
        <v>3</v>
      </c>
    </row>
    <row r="1158" spans="1:10" x14ac:dyDescent="0.2">
      <c r="A1158" s="5">
        <v>212</v>
      </c>
      <c r="B1158" s="5" t="s">
        <v>247</v>
      </c>
      <c r="C1158" s="5">
        <v>50</v>
      </c>
      <c r="D1158" s="5">
        <f t="shared" si="72"/>
        <v>293.66975814369101</v>
      </c>
      <c r="E1158" s="5">
        <f t="shared" si="74"/>
        <v>0</v>
      </c>
      <c r="F1158" s="5">
        <v>205.5</v>
      </c>
      <c r="G1158" s="5" t="s">
        <v>54</v>
      </c>
      <c r="H1158" s="5">
        <v>45</v>
      </c>
      <c r="I1158" s="5">
        <f t="shared" si="73"/>
        <v>220.00279814001337</v>
      </c>
      <c r="J1158" s="5">
        <f t="shared" si="75"/>
        <v>5</v>
      </c>
    </row>
    <row r="1159" spans="1:10" x14ac:dyDescent="0.2">
      <c r="A1159" s="5">
        <v>212.5</v>
      </c>
      <c r="B1159" s="5" t="s">
        <v>433</v>
      </c>
      <c r="C1159" s="5">
        <v>53</v>
      </c>
      <c r="D1159" s="5">
        <f t="shared" si="72"/>
        <v>349.23506143398839</v>
      </c>
      <c r="E1159" s="5">
        <f t="shared" si="74"/>
        <v>3</v>
      </c>
      <c r="F1159" s="5">
        <v>206</v>
      </c>
      <c r="G1159" s="5" t="s">
        <v>59</v>
      </c>
      <c r="H1159" s="5">
        <v>40</v>
      </c>
      <c r="I1159" s="5">
        <f t="shared" si="73"/>
        <v>164.8151702626221</v>
      </c>
      <c r="J1159" s="5">
        <f t="shared" si="75"/>
        <v>5</v>
      </c>
    </row>
    <row r="1160" spans="1:10" x14ac:dyDescent="0.2">
      <c r="A1160" s="5">
        <v>213</v>
      </c>
      <c r="B1160" s="5" t="s">
        <v>247</v>
      </c>
      <c r="C1160" s="5">
        <v>50</v>
      </c>
      <c r="D1160" s="5">
        <f t="shared" si="72"/>
        <v>293.66975814369101</v>
      </c>
      <c r="E1160" s="5">
        <f t="shared" si="74"/>
        <v>3</v>
      </c>
      <c r="F1160" s="5">
        <v>206.5</v>
      </c>
      <c r="G1160" s="5" t="s">
        <v>272</v>
      </c>
      <c r="H1160" s="5">
        <v>47</v>
      </c>
      <c r="I1160" s="5">
        <f t="shared" si="73"/>
        <v>246.94521361646048</v>
      </c>
      <c r="J1160" s="5">
        <f t="shared" si="75"/>
        <v>7</v>
      </c>
    </row>
    <row r="1161" spans="1:10" x14ac:dyDescent="0.2">
      <c r="A1161" s="5">
        <v>213.5</v>
      </c>
      <c r="B1161" s="5" t="s">
        <v>250</v>
      </c>
      <c r="C1161" s="5">
        <v>55</v>
      </c>
      <c r="D1161" s="5">
        <f t="shared" si="72"/>
        <v>392.00377257605692</v>
      </c>
      <c r="E1161" s="5">
        <f t="shared" si="74"/>
        <v>5</v>
      </c>
      <c r="F1161" s="5">
        <v>207</v>
      </c>
      <c r="G1161" s="5" t="s">
        <v>59</v>
      </c>
      <c r="H1161" s="5">
        <v>40</v>
      </c>
      <c r="I1161" s="5">
        <f t="shared" si="73"/>
        <v>164.8151702626221</v>
      </c>
      <c r="J1161" s="5">
        <f t="shared" si="75"/>
        <v>7</v>
      </c>
    </row>
    <row r="1162" spans="1:10" x14ac:dyDescent="0.2">
      <c r="A1162" s="5">
        <v>214</v>
      </c>
      <c r="B1162" s="5" t="s">
        <v>429</v>
      </c>
      <c r="C1162" s="5">
        <v>50</v>
      </c>
      <c r="D1162" s="5">
        <f t="shared" si="72"/>
        <v>293.66975814369101</v>
      </c>
      <c r="E1162" s="5">
        <f t="shared" si="74"/>
        <v>5</v>
      </c>
      <c r="F1162" s="5">
        <v>207.5</v>
      </c>
      <c r="G1162" s="5" t="s">
        <v>54</v>
      </c>
      <c r="H1162" s="5">
        <v>45</v>
      </c>
      <c r="I1162" s="5">
        <f t="shared" si="73"/>
        <v>220.00279814001337</v>
      </c>
      <c r="J1162" s="5">
        <f t="shared" si="75"/>
        <v>5</v>
      </c>
    </row>
    <row r="1163" spans="1:10" x14ac:dyDescent="0.2">
      <c r="A1163" s="5">
        <v>214.5</v>
      </c>
      <c r="B1163" s="5" t="s">
        <v>248</v>
      </c>
      <c r="C1163" s="5">
        <v>57</v>
      </c>
      <c r="D1163" s="5">
        <f t="shared" si="72"/>
        <v>440.01010976071973</v>
      </c>
      <c r="E1163" s="5">
        <f t="shared" si="74"/>
        <v>7</v>
      </c>
      <c r="F1163" s="5">
        <v>208</v>
      </c>
      <c r="G1163" s="5" t="s">
        <v>59</v>
      </c>
      <c r="H1163" s="5">
        <v>40</v>
      </c>
      <c r="I1163" s="5">
        <f t="shared" si="73"/>
        <v>164.8151702626221</v>
      </c>
      <c r="J1163" s="5">
        <f t="shared" si="75"/>
        <v>5</v>
      </c>
    </row>
    <row r="1164" spans="1:10" x14ac:dyDescent="0.2">
      <c r="A1164" s="5">
        <v>215</v>
      </c>
      <c r="B1164" s="5" t="s">
        <v>247</v>
      </c>
      <c r="C1164" s="5">
        <v>50</v>
      </c>
      <c r="D1164" s="5">
        <f t="shared" si="72"/>
        <v>293.66975814369101</v>
      </c>
      <c r="E1164" s="5">
        <f t="shared" si="74"/>
        <v>7</v>
      </c>
      <c r="F1164" s="5">
        <v>208.5</v>
      </c>
      <c r="G1164" s="5" t="s">
        <v>57</v>
      </c>
      <c r="H1164" s="5">
        <v>43</v>
      </c>
      <c r="I1164" s="5">
        <f t="shared" si="73"/>
        <v>195.99987576438383</v>
      </c>
      <c r="J1164" s="5">
        <f t="shared" si="75"/>
        <v>3</v>
      </c>
    </row>
    <row r="1165" spans="1:10" x14ac:dyDescent="0.2">
      <c r="A1165" s="5">
        <v>215.5</v>
      </c>
      <c r="B1165" s="5" t="s">
        <v>249</v>
      </c>
      <c r="C1165" s="5">
        <v>59</v>
      </c>
      <c r="D1165" s="5">
        <f t="shared" si="72"/>
        <v>493.89549345236594</v>
      </c>
      <c r="E1165" s="5">
        <f t="shared" si="74"/>
        <v>9</v>
      </c>
      <c r="F1165" s="5">
        <v>209</v>
      </c>
      <c r="G1165" s="5" t="s">
        <v>57</v>
      </c>
      <c r="H1165" s="5">
        <v>43</v>
      </c>
      <c r="I1165" s="5">
        <f t="shared" si="73"/>
        <v>195.99987576438383</v>
      </c>
      <c r="J1165" s="5">
        <f t="shared" si="75"/>
        <v>0</v>
      </c>
    </row>
    <row r="1166" spans="1:10" x14ac:dyDescent="0.2">
      <c r="A1166" s="5">
        <v>216</v>
      </c>
      <c r="B1166" s="5" t="s">
        <v>285</v>
      </c>
      <c r="C1166" s="5">
        <v>62</v>
      </c>
      <c r="D1166" s="5">
        <f t="shared" si="72"/>
        <v>587.34554108704231</v>
      </c>
      <c r="E1166" s="5">
        <f t="shared" si="74"/>
        <v>3</v>
      </c>
      <c r="F1166" s="5">
        <v>210</v>
      </c>
      <c r="G1166" s="5" t="s">
        <v>57</v>
      </c>
      <c r="H1166" s="5">
        <v>43</v>
      </c>
      <c r="I1166" s="5">
        <f t="shared" si="73"/>
        <v>195.99987576438383</v>
      </c>
      <c r="J1166" s="5">
        <f t="shared" si="75"/>
        <v>0</v>
      </c>
    </row>
    <row r="1167" spans="1:10" x14ac:dyDescent="0.2">
      <c r="A1167" s="5">
        <v>217</v>
      </c>
      <c r="B1167" s="5" t="s">
        <v>437</v>
      </c>
      <c r="C1167" s="5">
        <v>62</v>
      </c>
      <c r="D1167" s="5">
        <f t="shared" si="72"/>
        <v>587.34554108704231</v>
      </c>
      <c r="E1167" s="5">
        <f t="shared" si="74"/>
        <v>0</v>
      </c>
      <c r="F1167" s="5">
        <v>211</v>
      </c>
      <c r="G1167" s="5" t="s">
        <v>57</v>
      </c>
      <c r="H1167" s="5">
        <v>43</v>
      </c>
      <c r="I1167" s="5">
        <f t="shared" si="73"/>
        <v>195.99987576438383</v>
      </c>
      <c r="J1167" s="5">
        <f t="shared" si="75"/>
        <v>0</v>
      </c>
    </row>
    <row r="1168" spans="1:10" x14ac:dyDescent="0.2">
      <c r="A1168" s="5">
        <v>218</v>
      </c>
      <c r="B1168" s="5" t="s">
        <v>438</v>
      </c>
      <c r="C1168" s="5">
        <v>62</v>
      </c>
      <c r="D1168" s="5">
        <f t="shared" si="72"/>
        <v>587.34554108704231</v>
      </c>
      <c r="E1168" s="5">
        <f t="shared" si="74"/>
        <v>0</v>
      </c>
      <c r="F1168" s="5">
        <v>212</v>
      </c>
      <c r="G1168" s="5" t="s">
        <v>59</v>
      </c>
      <c r="H1168" s="5">
        <v>40</v>
      </c>
      <c r="I1168" s="5">
        <f t="shared" si="73"/>
        <v>164.8151702626221</v>
      </c>
      <c r="J1168" s="5">
        <f t="shared" si="75"/>
        <v>3</v>
      </c>
    </row>
    <row r="1169" spans="1:10" x14ac:dyDescent="0.2">
      <c r="A1169" s="5">
        <v>219</v>
      </c>
      <c r="B1169" s="5" t="s">
        <v>285</v>
      </c>
      <c r="C1169" s="5">
        <v>62</v>
      </c>
      <c r="D1169" s="5">
        <f t="shared" si="72"/>
        <v>587.34554108704231</v>
      </c>
      <c r="E1169" s="5">
        <f t="shared" si="74"/>
        <v>0</v>
      </c>
      <c r="F1169" s="5">
        <v>212.5</v>
      </c>
      <c r="G1169" s="5" t="s">
        <v>57</v>
      </c>
      <c r="H1169" s="5">
        <v>43</v>
      </c>
      <c r="I1169" s="5">
        <f t="shared" si="73"/>
        <v>195.99987576438383</v>
      </c>
      <c r="J1169" s="5">
        <f t="shared" si="75"/>
        <v>3</v>
      </c>
    </row>
    <row r="1170" spans="1:10" x14ac:dyDescent="0.2">
      <c r="A1170" s="5">
        <v>220</v>
      </c>
      <c r="B1170" s="5" t="s">
        <v>247</v>
      </c>
      <c r="C1170" s="5">
        <v>50</v>
      </c>
      <c r="D1170" s="5">
        <f t="shared" si="72"/>
        <v>293.66975814369101</v>
      </c>
      <c r="E1170" s="5">
        <f t="shared" si="74"/>
        <v>12</v>
      </c>
      <c r="F1170" s="5">
        <v>213</v>
      </c>
      <c r="G1170" s="5" t="s">
        <v>59</v>
      </c>
      <c r="H1170" s="5">
        <v>40</v>
      </c>
      <c r="I1170" s="5">
        <f t="shared" si="73"/>
        <v>164.8151702626221</v>
      </c>
      <c r="J1170" s="5">
        <f t="shared" si="75"/>
        <v>3</v>
      </c>
    </row>
    <row r="1171" spans="1:10" x14ac:dyDescent="0.2">
      <c r="A1171" s="5">
        <v>220.5</v>
      </c>
      <c r="B1171" s="5" t="s">
        <v>433</v>
      </c>
      <c r="C1171" s="5">
        <v>53</v>
      </c>
      <c r="D1171" s="5">
        <f t="shared" si="72"/>
        <v>349.23506143398839</v>
      </c>
      <c r="E1171" s="5">
        <f t="shared" si="74"/>
        <v>3</v>
      </c>
      <c r="F1171" s="5">
        <v>213.5</v>
      </c>
      <c r="G1171" s="5" t="s">
        <v>54</v>
      </c>
      <c r="H1171" s="5">
        <v>45</v>
      </c>
      <c r="I1171" s="5">
        <f t="shared" si="73"/>
        <v>220.00279814001337</v>
      </c>
      <c r="J1171" s="5">
        <f t="shared" si="75"/>
        <v>5</v>
      </c>
    </row>
    <row r="1172" spans="1:10" x14ac:dyDescent="0.2">
      <c r="A1172" s="5">
        <v>221</v>
      </c>
      <c r="B1172" s="5" t="s">
        <v>247</v>
      </c>
      <c r="C1172" s="5">
        <v>50</v>
      </c>
      <c r="D1172" s="5">
        <f t="shared" si="72"/>
        <v>293.66975814369101</v>
      </c>
      <c r="E1172" s="5">
        <f t="shared" si="74"/>
        <v>3</v>
      </c>
      <c r="F1172" s="5">
        <v>214</v>
      </c>
      <c r="G1172" s="5" t="s">
        <v>59</v>
      </c>
      <c r="H1172" s="5">
        <v>40</v>
      </c>
      <c r="I1172" s="5">
        <f t="shared" si="73"/>
        <v>164.8151702626221</v>
      </c>
      <c r="J1172" s="5">
        <f t="shared" si="75"/>
        <v>5</v>
      </c>
    </row>
    <row r="1173" spans="1:10" x14ac:dyDescent="0.2">
      <c r="A1173" s="5">
        <v>221.5</v>
      </c>
      <c r="B1173" s="5" t="s">
        <v>250</v>
      </c>
      <c r="C1173" s="5">
        <v>55</v>
      </c>
      <c r="D1173" s="5">
        <f t="shared" si="72"/>
        <v>392.00377257605692</v>
      </c>
      <c r="E1173" s="5">
        <f t="shared" si="74"/>
        <v>5</v>
      </c>
      <c r="F1173" s="5">
        <v>214.5</v>
      </c>
      <c r="G1173" s="5" t="s">
        <v>272</v>
      </c>
      <c r="H1173" s="5">
        <v>47</v>
      </c>
      <c r="I1173" s="5">
        <f t="shared" si="73"/>
        <v>246.94521361646048</v>
      </c>
      <c r="J1173" s="5">
        <f t="shared" si="75"/>
        <v>7</v>
      </c>
    </row>
    <row r="1174" spans="1:10" x14ac:dyDescent="0.2">
      <c r="A1174" s="5">
        <v>222</v>
      </c>
      <c r="B1174" s="5" t="s">
        <v>247</v>
      </c>
      <c r="C1174" s="5">
        <v>50</v>
      </c>
      <c r="D1174" s="5">
        <f t="shared" si="72"/>
        <v>293.66975814369101</v>
      </c>
      <c r="E1174" s="5">
        <f t="shared" si="74"/>
        <v>5</v>
      </c>
      <c r="F1174" s="5">
        <v>215</v>
      </c>
      <c r="G1174" s="5" t="s">
        <v>59</v>
      </c>
      <c r="H1174" s="5">
        <v>40</v>
      </c>
      <c r="I1174" s="5">
        <f t="shared" si="73"/>
        <v>164.8151702626221</v>
      </c>
      <c r="J1174" s="5">
        <f t="shared" si="75"/>
        <v>7</v>
      </c>
    </row>
    <row r="1175" spans="1:10" x14ac:dyDescent="0.2">
      <c r="A1175" s="5">
        <v>222.5</v>
      </c>
      <c r="B1175" s="5" t="s">
        <v>248</v>
      </c>
      <c r="C1175" s="5">
        <v>57</v>
      </c>
      <c r="D1175" s="5">
        <f t="shared" si="72"/>
        <v>440.01010976071973</v>
      </c>
      <c r="E1175" s="5">
        <f t="shared" si="74"/>
        <v>7</v>
      </c>
      <c r="F1175" s="5">
        <v>215.5</v>
      </c>
      <c r="G1175" s="5" t="s">
        <v>54</v>
      </c>
      <c r="H1175" s="5">
        <v>45</v>
      </c>
      <c r="I1175" s="5">
        <f t="shared" si="73"/>
        <v>220.00279814001337</v>
      </c>
      <c r="J1175" s="5">
        <f t="shared" si="75"/>
        <v>5</v>
      </c>
    </row>
    <row r="1176" spans="1:10" x14ac:dyDescent="0.2">
      <c r="A1176" s="5">
        <v>223</v>
      </c>
      <c r="B1176" s="5" t="s">
        <v>429</v>
      </c>
      <c r="C1176" s="5">
        <v>50</v>
      </c>
      <c r="D1176" s="5">
        <f t="shared" si="72"/>
        <v>293.66975814369101</v>
      </c>
      <c r="E1176" s="5">
        <f t="shared" si="74"/>
        <v>7</v>
      </c>
      <c r="F1176" s="5">
        <v>216</v>
      </c>
      <c r="G1176" s="5" t="s">
        <v>59</v>
      </c>
      <c r="H1176" s="5">
        <v>40</v>
      </c>
      <c r="I1176" s="5">
        <f t="shared" si="73"/>
        <v>164.8151702626221</v>
      </c>
      <c r="J1176" s="5">
        <f t="shared" si="75"/>
        <v>5</v>
      </c>
    </row>
    <row r="1177" spans="1:10" x14ac:dyDescent="0.2">
      <c r="A1177" s="5">
        <v>223.5</v>
      </c>
      <c r="B1177" s="5" t="s">
        <v>249</v>
      </c>
      <c r="C1177" s="5">
        <v>59</v>
      </c>
      <c r="D1177" s="5">
        <f t="shared" si="72"/>
        <v>493.89549345236594</v>
      </c>
      <c r="E1177" s="5">
        <f t="shared" si="74"/>
        <v>9</v>
      </c>
      <c r="F1177" s="5">
        <v>216.5</v>
      </c>
      <c r="G1177" s="5" t="s">
        <v>57</v>
      </c>
      <c r="H1177" s="5">
        <v>43</v>
      </c>
      <c r="I1177" s="5">
        <f t="shared" si="73"/>
        <v>195.99987576438383</v>
      </c>
      <c r="J1177" s="5">
        <f t="shared" si="75"/>
        <v>3</v>
      </c>
    </row>
    <row r="1178" spans="1:10" x14ac:dyDescent="0.2">
      <c r="A1178" s="5">
        <v>224</v>
      </c>
      <c r="B1178" s="5" t="s">
        <v>285</v>
      </c>
      <c r="C1178" s="5">
        <v>62</v>
      </c>
      <c r="D1178" s="5">
        <f t="shared" si="72"/>
        <v>587.34554108704231</v>
      </c>
      <c r="E1178" s="5">
        <f t="shared" si="74"/>
        <v>3</v>
      </c>
      <c r="F1178" s="5">
        <v>217</v>
      </c>
      <c r="G1178" s="5" t="s">
        <v>57</v>
      </c>
      <c r="H1178" s="5">
        <v>43</v>
      </c>
      <c r="I1178" s="5">
        <f t="shared" si="73"/>
        <v>195.99987576438383</v>
      </c>
      <c r="J1178" s="5">
        <f t="shared" si="75"/>
        <v>0</v>
      </c>
    </row>
    <row r="1179" spans="1:10" x14ac:dyDescent="0.2">
      <c r="A1179" s="5">
        <v>225</v>
      </c>
      <c r="B1179" s="5" t="s">
        <v>285</v>
      </c>
      <c r="C1179" s="5">
        <v>62</v>
      </c>
      <c r="D1179" s="5">
        <f t="shared" si="72"/>
        <v>587.34554108704231</v>
      </c>
      <c r="E1179" s="5">
        <f t="shared" si="74"/>
        <v>0</v>
      </c>
      <c r="F1179" s="5">
        <v>218</v>
      </c>
      <c r="G1179" s="5" t="s">
        <v>57</v>
      </c>
      <c r="H1179" s="5">
        <v>43</v>
      </c>
      <c r="I1179" s="5">
        <f t="shared" si="73"/>
        <v>195.99987576438383</v>
      </c>
      <c r="J1179" s="5">
        <f t="shared" si="75"/>
        <v>0</v>
      </c>
    </row>
    <row r="1180" spans="1:10" x14ac:dyDescent="0.2">
      <c r="A1180" s="5">
        <v>226</v>
      </c>
      <c r="B1180" s="5" t="s">
        <v>285</v>
      </c>
      <c r="C1180" s="5">
        <v>62</v>
      </c>
      <c r="D1180" s="5">
        <f t="shared" si="72"/>
        <v>587.34554108704231</v>
      </c>
      <c r="E1180" s="5">
        <f t="shared" si="74"/>
        <v>0</v>
      </c>
      <c r="F1180" s="5">
        <v>219</v>
      </c>
      <c r="G1180" s="5" t="s">
        <v>57</v>
      </c>
      <c r="H1180" s="5">
        <v>43</v>
      </c>
      <c r="I1180" s="5">
        <f t="shared" si="73"/>
        <v>195.99987576438383</v>
      </c>
      <c r="J1180" s="5">
        <f t="shared" si="75"/>
        <v>0</v>
      </c>
    </row>
    <row r="1181" spans="1:10" x14ac:dyDescent="0.2">
      <c r="A1181" s="5">
        <v>227</v>
      </c>
      <c r="B1181" s="5" t="s">
        <v>285</v>
      </c>
      <c r="C1181" s="5">
        <v>62</v>
      </c>
      <c r="D1181" s="5">
        <f t="shared" si="72"/>
        <v>587.34554108704231</v>
      </c>
      <c r="E1181" s="5">
        <f t="shared" si="74"/>
        <v>0</v>
      </c>
      <c r="F1181" s="5">
        <v>220</v>
      </c>
      <c r="G1181" s="5" t="s">
        <v>59</v>
      </c>
      <c r="H1181" s="5">
        <v>40</v>
      </c>
      <c r="I1181" s="5">
        <f t="shared" si="73"/>
        <v>164.8151702626221</v>
      </c>
      <c r="J1181" s="5">
        <f t="shared" si="75"/>
        <v>3</v>
      </c>
    </row>
    <row r="1182" spans="1:10" x14ac:dyDescent="0.2">
      <c r="A1182" s="5">
        <v>228</v>
      </c>
      <c r="B1182" s="5" t="s">
        <v>247</v>
      </c>
      <c r="C1182" s="5">
        <v>50</v>
      </c>
      <c r="D1182" s="5">
        <f t="shared" si="72"/>
        <v>293.66975814369101</v>
      </c>
      <c r="E1182" s="5">
        <f t="shared" si="74"/>
        <v>12</v>
      </c>
      <c r="F1182" s="5">
        <v>220.5</v>
      </c>
      <c r="G1182" s="5" t="s">
        <v>57</v>
      </c>
      <c r="H1182" s="5">
        <v>43</v>
      </c>
      <c r="I1182" s="5">
        <f t="shared" si="73"/>
        <v>195.99987576438383</v>
      </c>
      <c r="J1182" s="5">
        <f t="shared" si="75"/>
        <v>3</v>
      </c>
    </row>
    <row r="1183" spans="1:10" x14ac:dyDescent="0.2">
      <c r="A1183" s="5">
        <v>228.5</v>
      </c>
      <c r="B1183" s="5" t="s">
        <v>249</v>
      </c>
      <c r="C1183" s="5">
        <v>59</v>
      </c>
      <c r="D1183" s="5">
        <f t="shared" si="72"/>
        <v>493.89549345236594</v>
      </c>
      <c r="E1183" s="5">
        <f t="shared" si="74"/>
        <v>9</v>
      </c>
      <c r="F1183" s="5">
        <v>221</v>
      </c>
      <c r="G1183" s="5" t="s">
        <v>59</v>
      </c>
      <c r="H1183" s="5">
        <v>40</v>
      </c>
      <c r="I1183" s="5">
        <f t="shared" si="73"/>
        <v>164.8151702626221</v>
      </c>
      <c r="J1183" s="5">
        <f t="shared" si="75"/>
        <v>3</v>
      </c>
    </row>
    <row r="1184" spans="1:10" x14ac:dyDescent="0.2">
      <c r="A1184" s="5">
        <v>229</v>
      </c>
      <c r="B1184" s="5" t="s">
        <v>249</v>
      </c>
      <c r="C1184" s="5">
        <v>59</v>
      </c>
      <c r="D1184" s="5">
        <f t="shared" si="72"/>
        <v>493.89549345236594</v>
      </c>
      <c r="E1184" s="5">
        <f t="shared" si="74"/>
        <v>0</v>
      </c>
      <c r="F1184" s="5">
        <v>221.5</v>
      </c>
      <c r="G1184" s="5" t="s">
        <v>54</v>
      </c>
      <c r="H1184" s="5">
        <v>45</v>
      </c>
      <c r="I1184" s="5">
        <f t="shared" si="73"/>
        <v>220.00279814001337</v>
      </c>
      <c r="J1184" s="5">
        <f t="shared" si="75"/>
        <v>5</v>
      </c>
    </row>
    <row r="1185" spans="1:10" x14ac:dyDescent="0.2">
      <c r="A1185" s="5">
        <v>230</v>
      </c>
      <c r="B1185" s="5" t="s">
        <v>432</v>
      </c>
      <c r="C1185" s="5">
        <v>62</v>
      </c>
      <c r="D1185" s="5">
        <f t="shared" si="72"/>
        <v>587.34554108704231</v>
      </c>
      <c r="E1185" s="5">
        <f t="shared" si="74"/>
        <v>3</v>
      </c>
      <c r="F1185" s="5">
        <v>222</v>
      </c>
      <c r="G1185" s="5" t="s">
        <v>59</v>
      </c>
      <c r="H1185" s="5">
        <v>40</v>
      </c>
      <c r="I1185" s="5">
        <f t="shared" si="73"/>
        <v>164.8151702626221</v>
      </c>
      <c r="J1185" s="5">
        <f t="shared" si="75"/>
        <v>5</v>
      </c>
    </row>
    <row r="1186" spans="1:10" x14ac:dyDescent="0.2">
      <c r="A1186" s="5">
        <v>231</v>
      </c>
      <c r="B1186" s="5" t="s">
        <v>285</v>
      </c>
      <c r="C1186" s="5">
        <v>62</v>
      </c>
      <c r="D1186" s="5">
        <f t="shared" si="72"/>
        <v>587.34554108704231</v>
      </c>
      <c r="E1186" s="5">
        <f t="shared" si="74"/>
        <v>0</v>
      </c>
      <c r="F1186" s="5">
        <v>222.5</v>
      </c>
      <c r="G1186" s="5" t="s">
        <v>272</v>
      </c>
      <c r="H1186" s="5">
        <v>47</v>
      </c>
      <c r="I1186" s="5">
        <f t="shared" si="73"/>
        <v>246.94521361646048</v>
      </c>
      <c r="J1186" s="5">
        <f t="shared" si="75"/>
        <v>7</v>
      </c>
    </row>
    <row r="1187" spans="1:10" x14ac:dyDescent="0.2">
      <c r="A1187" s="5">
        <v>232</v>
      </c>
      <c r="B1187" s="5" t="s">
        <v>247</v>
      </c>
      <c r="C1187" s="5">
        <v>50</v>
      </c>
      <c r="D1187" s="5">
        <f t="shared" si="72"/>
        <v>293.66975814369101</v>
      </c>
      <c r="E1187" s="5">
        <f t="shared" si="74"/>
        <v>12</v>
      </c>
      <c r="F1187" s="5">
        <v>223</v>
      </c>
      <c r="G1187" s="5" t="s">
        <v>59</v>
      </c>
      <c r="H1187" s="5">
        <v>40</v>
      </c>
      <c r="I1187" s="5">
        <f t="shared" si="73"/>
        <v>164.8151702626221</v>
      </c>
      <c r="J1187" s="5">
        <f t="shared" si="75"/>
        <v>7</v>
      </c>
    </row>
    <row r="1188" spans="1:10" x14ac:dyDescent="0.2">
      <c r="A1188" s="5">
        <v>232.5</v>
      </c>
      <c r="B1188" s="5" t="s">
        <v>249</v>
      </c>
      <c r="C1188" s="5">
        <v>59</v>
      </c>
      <c r="D1188" s="5">
        <f t="shared" si="72"/>
        <v>493.89549345236594</v>
      </c>
      <c r="E1188" s="5">
        <f t="shared" si="74"/>
        <v>9</v>
      </c>
      <c r="F1188" s="5">
        <v>223.5</v>
      </c>
      <c r="G1188" s="5" t="s">
        <v>54</v>
      </c>
      <c r="H1188" s="5">
        <v>45</v>
      </c>
      <c r="I1188" s="5">
        <f t="shared" si="73"/>
        <v>220.00279814001337</v>
      </c>
      <c r="J1188" s="5">
        <f t="shared" si="75"/>
        <v>5</v>
      </c>
    </row>
    <row r="1189" spans="1:10" x14ac:dyDescent="0.2">
      <c r="A1189" s="5">
        <v>233</v>
      </c>
      <c r="B1189" s="5" t="s">
        <v>249</v>
      </c>
      <c r="C1189" s="5">
        <v>59</v>
      </c>
      <c r="D1189" s="5">
        <f t="shared" si="72"/>
        <v>493.89549345236594</v>
      </c>
      <c r="E1189" s="5">
        <f t="shared" si="74"/>
        <v>0</v>
      </c>
      <c r="F1189" s="5">
        <v>224</v>
      </c>
      <c r="G1189" s="5" t="s">
        <v>59</v>
      </c>
      <c r="H1189" s="5">
        <v>40</v>
      </c>
      <c r="I1189" s="5">
        <f t="shared" si="73"/>
        <v>164.8151702626221</v>
      </c>
      <c r="J1189" s="5">
        <f t="shared" si="75"/>
        <v>5</v>
      </c>
    </row>
    <row r="1190" spans="1:10" x14ac:dyDescent="0.2">
      <c r="A1190" s="5">
        <v>234</v>
      </c>
      <c r="B1190" s="5" t="s">
        <v>285</v>
      </c>
      <c r="C1190" s="5">
        <v>62</v>
      </c>
      <c r="D1190" s="5">
        <f t="shared" ref="D1190:D1253" si="76">16.35117682*1.059464^C1190</f>
        <v>587.34554108704231</v>
      </c>
      <c r="E1190" s="5">
        <f t="shared" si="74"/>
        <v>3</v>
      </c>
      <c r="F1190" s="5">
        <v>224.5</v>
      </c>
      <c r="G1190" s="5" t="s">
        <v>57</v>
      </c>
      <c r="H1190" s="5">
        <v>43</v>
      </c>
      <c r="I1190" s="5">
        <f t="shared" ref="I1190:I1253" si="77">16.35117682*1.059464^H1190</f>
        <v>195.99987576438383</v>
      </c>
      <c r="J1190" s="5">
        <f t="shared" si="75"/>
        <v>3</v>
      </c>
    </row>
    <row r="1191" spans="1:10" x14ac:dyDescent="0.2">
      <c r="A1191" s="5">
        <v>235</v>
      </c>
      <c r="B1191" s="5" t="s">
        <v>249</v>
      </c>
      <c r="C1191" s="5">
        <v>59</v>
      </c>
      <c r="D1191" s="5">
        <f t="shared" si="76"/>
        <v>493.89549345236594</v>
      </c>
      <c r="E1191" s="5">
        <f t="shared" ref="E1191:E1254" si="78">ABS( C1191-C1190)</f>
        <v>3</v>
      </c>
      <c r="F1191" s="5">
        <v>225</v>
      </c>
      <c r="G1191" s="5" t="s">
        <v>57</v>
      </c>
      <c r="H1191" s="5">
        <v>43</v>
      </c>
      <c r="I1191" s="5">
        <f t="shared" si="77"/>
        <v>195.99987576438383</v>
      </c>
      <c r="J1191" s="5">
        <f t="shared" ref="J1191:J1254" si="79">ABS( H1191-H1190)</f>
        <v>0</v>
      </c>
    </row>
    <row r="1192" spans="1:10" x14ac:dyDescent="0.2">
      <c r="A1192" s="5">
        <v>236</v>
      </c>
      <c r="B1192" s="5" t="s">
        <v>247</v>
      </c>
      <c r="C1192" s="5">
        <v>50</v>
      </c>
      <c r="D1192" s="5">
        <f t="shared" si="76"/>
        <v>293.66975814369101</v>
      </c>
      <c r="E1192" s="5">
        <f t="shared" si="78"/>
        <v>9</v>
      </c>
      <c r="F1192" s="5">
        <v>226</v>
      </c>
      <c r="G1192" s="5" t="s">
        <v>57</v>
      </c>
      <c r="H1192" s="5">
        <v>43</v>
      </c>
      <c r="I1192" s="5">
        <f t="shared" si="77"/>
        <v>195.99987576438383</v>
      </c>
      <c r="J1192" s="5">
        <f t="shared" si="79"/>
        <v>0</v>
      </c>
    </row>
    <row r="1193" spans="1:10" x14ac:dyDescent="0.2">
      <c r="A1193" s="5">
        <v>236.5</v>
      </c>
      <c r="B1193" s="5" t="s">
        <v>249</v>
      </c>
      <c r="C1193" s="5">
        <v>59</v>
      </c>
      <c r="D1193" s="5">
        <f t="shared" si="76"/>
        <v>493.89549345236594</v>
      </c>
      <c r="E1193" s="5">
        <f t="shared" si="78"/>
        <v>9</v>
      </c>
      <c r="F1193" s="5">
        <v>227</v>
      </c>
      <c r="G1193" s="5" t="s">
        <v>57</v>
      </c>
      <c r="H1193" s="5">
        <v>43</v>
      </c>
      <c r="I1193" s="5">
        <f t="shared" si="77"/>
        <v>195.99987576438383</v>
      </c>
      <c r="J1193" s="5">
        <f t="shared" si="79"/>
        <v>0</v>
      </c>
    </row>
    <row r="1194" spans="1:10" x14ac:dyDescent="0.2">
      <c r="A1194" s="5">
        <v>237</v>
      </c>
      <c r="B1194" s="5" t="s">
        <v>249</v>
      </c>
      <c r="C1194" s="5">
        <v>59</v>
      </c>
      <c r="D1194" s="5">
        <f t="shared" si="76"/>
        <v>493.89549345236594</v>
      </c>
      <c r="E1194" s="5">
        <f t="shared" si="78"/>
        <v>0</v>
      </c>
      <c r="F1194" s="5">
        <v>228</v>
      </c>
      <c r="G1194" s="5" t="s">
        <v>54</v>
      </c>
      <c r="H1194" s="5">
        <v>45</v>
      </c>
      <c r="I1194" s="5">
        <f t="shared" si="77"/>
        <v>220.00279814001337</v>
      </c>
      <c r="J1194" s="5">
        <f t="shared" si="79"/>
        <v>2</v>
      </c>
    </row>
    <row r="1195" spans="1:10" x14ac:dyDescent="0.2">
      <c r="A1195" s="5">
        <v>238</v>
      </c>
      <c r="B1195" s="5" t="s">
        <v>432</v>
      </c>
      <c r="C1195" s="5">
        <v>62</v>
      </c>
      <c r="D1195" s="5">
        <f t="shared" si="76"/>
        <v>587.34554108704231</v>
      </c>
      <c r="E1195" s="5">
        <f t="shared" si="78"/>
        <v>3</v>
      </c>
      <c r="F1195" s="5">
        <v>228.5</v>
      </c>
      <c r="G1195" s="5" t="s">
        <v>53</v>
      </c>
      <c r="H1195" s="5">
        <v>55</v>
      </c>
      <c r="I1195" s="5">
        <f t="shared" si="77"/>
        <v>392.00377257605692</v>
      </c>
      <c r="J1195" s="5">
        <f t="shared" si="79"/>
        <v>10</v>
      </c>
    </row>
    <row r="1196" spans="1:10" x14ac:dyDescent="0.2">
      <c r="A1196" s="5">
        <v>239</v>
      </c>
      <c r="B1196" s="5" t="s">
        <v>285</v>
      </c>
      <c r="C1196" s="5">
        <v>62</v>
      </c>
      <c r="D1196" s="5">
        <f t="shared" si="76"/>
        <v>587.34554108704231</v>
      </c>
      <c r="E1196" s="5">
        <f t="shared" si="78"/>
        <v>0</v>
      </c>
      <c r="F1196" s="5">
        <v>229</v>
      </c>
      <c r="G1196" s="5" t="s">
        <v>53</v>
      </c>
      <c r="H1196" s="5">
        <v>55</v>
      </c>
      <c r="I1196" s="5">
        <f t="shared" si="77"/>
        <v>392.00377257605692</v>
      </c>
      <c r="J1196" s="5">
        <f t="shared" si="79"/>
        <v>0</v>
      </c>
    </row>
    <row r="1197" spans="1:10" x14ac:dyDescent="0.2">
      <c r="A1197" s="5">
        <v>240</v>
      </c>
      <c r="B1197" s="5" t="s">
        <v>247</v>
      </c>
      <c r="C1197" s="5">
        <v>50</v>
      </c>
      <c r="D1197" s="5">
        <f t="shared" si="76"/>
        <v>293.66975814369101</v>
      </c>
      <c r="E1197" s="5">
        <f t="shared" si="78"/>
        <v>12</v>
      </c>
      <c r="F1197" s="5">
        <v>230</v>
      </c>
      <c r="G1197" s="5" t="s">
        <v>63</v>
      </c>
      <c r="H1197" s="5">
        <v>59</v>
      </c>
      <c r="I1197" s="5">
        <f t="shared" si="77"/>
        <v>493.89549345236594</v>
      </c>
      <c r="J1197" s="5">
        <f t="shared" si="79"/>
        <v>4</v>
      </c>
    </row>
    <row r="1198" spans="1:10" x14ac:dyDescent="0.2">
      <c r="A1198" s="5">
        <v>240.5</v>
      </c>
      <c r="B1198" s="5" t="s">
        <v>249</v>
      </c>
      <c r="C1198" s="5">
        <v>59</v>
      </c>
      <c r="D1198" s="5">
        <f t="shared" si="76"/>
        <v>493.89549345236594</v>
      </c>
      <c r="E1198" s="5">
        <f t="shared" si="78"/>
        <v>9</v>
      </c>
      <c r="F1198" s="5">
        <v>231</v>
      </c>
      <c r="G1198" s="5" t="s">
        <v>63</v>
      </c>
      <c r="H1198" s="5">
        <v>59</v>
      </c>
      <c r="I1198" s="5">
        <f t="shared" si="77"/>
        <v>493.89549345236594</v>
      </c>
      <c r="J1198" s="5">
        <f t="shared" si="79"/>
        <v>0</v>
      </c>
    </row>
    <row r="1199" spans="1:10" x14ac:dyDescent="0.2">
      <c r="A1199" s="5">
        <v>241</v>
      </c>
      <c r="B1199" s="5" t="s">
        <v>249</v>
      </c>
      <c r="C1199" s="5">
        <v>59</v>
      </c>
      <c r="D1199" s="5">
        <f t="shared" si="76"/>
        <v>493.89549345236594</v>
      </c>
      <c r="E1199" s="5">
        <f t="shared" si="78"/>
        <v>0</v>
      </c>
      <c r="F1199" s="5">
        <v>232</v>
      </c>
      <c r="G1199" s="5" t="s">
        <v>65</v>
      </c>
      <c r="H1199" s="5">
        <v>45</v>
      </c>
      <c r="I1199" s="5">
        <f t="shared" si="77"/>
        <v>220.00279814001337</v>
      </c>
      <c r="J1199" s="5">
        <f t="shared" si="79"/>
        <v>14</v>
      </c>
    </row>
    <row r="1200" spans="1:10" x14ac:dyDescent="0.2">
      <c r="A1200" s="5">
        <v>242</v>
      </c>
      <c r="B1200" s="5" t="s">
        <v>285</v>
      </c>
      <c r="C1200" s="5">
        <v>62</v>
      </c>
      <c r="D1200" s="5">
        <f t="shared" si="76"/>
        <v>587.34554108704231</v>
      </c>
      <c r="E1200" s="5">
        <f t="shared" si="78"/>
        <v>3</v>
      </c>
      <c r="F1200" s="5">
        <v>232.5</v>
      </c>
      <c r="G1200" s="5" t="s">
        <v>66</v>
      </c>
      <c r="H1200" s="5">
        <v>55</v>
      </c>
      <c r="I1200" s="5">
        <f t="shared" si="77"/>
        <v>392.00377257605692</v>
      </c>
      <c r="J1200" s="5">
        <f t="shared" si="79"/>
        <v>10</v>
      </c>
    </row>
    <row r="1201" spans="1:10" x14ac:dyDescent="0.2">
      <c r="A1201" s="5">
        <v>243</v>
      </c>
      <c r="B1201" s="5" t="s">
        <v>249</v>
      </c>
      <c r="C1201" s="5">
        <v>59</v>
      </c>
      <c r="D1201" s="5">
        <f t="shared" si="76"/>
        <v>493.89549345236594</v>
      </c>
      <c r="E1201" s="5">
        <f t="shared" si="78"/>
        <v>3</v>
      </c>
      <c r="F1201" s="5">
        <v>233</v>
      </c>
      <c r="G1201" s="5" t="s">
        <v>53</v>
      </c>
      <c r="H1201" s="5">
        <v>55</v>
      </c>
      <c r="I1201" s="5">
        <f t="shared" si="77"/>
        <v>392.00377257605692</v>
      </c>
      <c r="J1201" s="5">
        <f t="shared" si="79"/>
        <v>0</v>
      </c>
    </row>
    <row r="1202" spans="1:10" x14ac:dyDescent="0.2">
      <c r="A1202" s="5">
        <v>244</v>
      </c>
      <c r="B1202" s="5" t="s">
        <v>247</v>
      </c>
      <c r="C1202" s="5">
        <v>50</v>
      </c>
      <c r="D1202" s="5">
        <f t="shared" si="76"/>
        <v>293.66975814369101</v>
      </c>
      <c r="E1202" s="5">
        <f t="shared" si="78"/>
        <v>9</v>
      </c>
      <c r="F1202" s="5">
        <v>234</v>
      </c>
      <c r="G1202" s="5" t="s">
        <v>274</v>
      </c>
      <c r="H1202" s="5">
        <v>59</v>
      </c>
      <c r="I1202" s="5">
        <f t="shared" si="77"/>
        <v>493.89549345236594</v>
      </c>
      <c r="J1202" s="5">
        <f t="shared" si="79"/>
        <v>4</v>
      </c>
    </row>
    <row r="1203" spans="1:10" x14ac:dyDescent="0.2">
      <c r="A1203" s="5">
        <v>244.5</v>
      </c>
      <c r="B1203" s="5" t="s">
        <v>249</v>
      </c>
      <c r="C1203" s="5">
        <v>59</v>
      </c>
      <c r="D1203" s="5">
        <f t="shared" si="76"/>
        <v>493.89549345236594</v>
      </c>
      <c r="E1203" s="5">
        <f t="shared" si="78"/>
        <v>9</v>
      </c>
      <c r="F1203" s="5">
        <v>235</v>
      </c>
      <c r="G1203" s="5" t="s">
        <v>53</v>
      </c>
      <c r="H1203" s="5">
        <v>55</v>
      </c>
      <c r="I1203" s="5">
        <f t="shared" si="77"/>
        <v>392.00377257605692</v>
      </c>
      <c r="J1203" s="5">
        <f t="shared" si="79"/>
        <v>4</v>
      </c>
    </row>
    <row r="1204" spans="1:10" x14ac:dyDescent="0.2">
      <c r="A1204" s="5">
        <v>245</v>
      </c>
      <c r="B1204" s="5" t="s">
        <v>249</v>
      </c>
      <c r="C1204" s="5">
        <v>59</v>
      </c>
      <c r="D1204" s="5">
        <f t="shared" si="76"/>
        <v>493.89549345236594</v>
      </c>
      <c r="E1204" s="5">
        <f t="shared" si="78"/>
        <v>0</v>
      </c>
      <c r="F1204" s="5">
        <v>236</v>
      </c>
      <c r="G1204" s="5" t="s">
        <v>54</v>
      </c>
      <c r="H1204" s="5">
        <v>45</v>
      </c>
      <c r="I1204" s="5">
        <f t="shared" si="77"/>
        <v>220.00279814001337</v>
      </c>
      <c r="J1204" s="5">
        <f t="shared" si="79"/>
        <v>10</v>
      </c>
    </row>
    <row r="1205" spans="1:10" x14ac:dyDescent="0.2">
      <c r="A1205" s="5">
        <v>246</v>
      </c>
      <c r="B1205" s="5" t="s">
        <v>247</v>
      </c>
      <c r="C1205" s="5">
        <v>50</v>
      </c>
      <c r="D1205" s="5">
        <f t="shared" si="76"/>
        <v>293.66975814369101</v>
      </c>
      <c r="E1205" s="5">
        <f t="shared" si="78"/>
        <v>9</v>
      </c>
      <c r="F1205" s="5">
        <v>236.5</v>
      </c>
      <c r="G1205" s="5" t="s">
        <v>53</v>
      </c>
      <c r="H1205" s="5">
        <v>55</v>
      </c>
      <c r="I1205" s="5">
        <f t="shared" si="77"/>
        <v>392.00377257605692</v>
      </c>
      <c r="J1205" s="5">
        <f t="shared" si="79"/>
        <v>10</v>
      </c>
    </row>
    <row r="1206" spans="1:10" x14ac:dyDescent="0.2">
      <c r="A1206" s="5">
        <v>246.5</v>
      </c>
      <c r="B1206" s="5" t="s">
        <v>249</v>
      </c>
      <c r="C1206" s="5">
        <v>59</v>
      </c>
      <c r="D1206" s="5">
        <f t="shared" si="76"/>
        <v>493.89549345236594</v>
      </c>
      <c r="E1206" s="5">
        <f t="shared" si="78"/>
        <v>9</v>
      </c>
      <c r="F1206" s="5">
        <v>237</v>
      </c>
      <c r="G1206" s="5" t="s">
        <v>53</v>
      </c>
      <c r="H1206" s="5">
        <v>55</v>
      </c>
      <c r="I1206" s="5">
        <f t="shared" si="77"/>
        <v>392.00377257605692</v>
      </c>
      <c r="J1206" s="5">
        <f t="shared" si="79"/>
        <v>0</v>
      </c>
    </row>
    <row r="1207" spans="1:10" x14ac:dyDescent="0.2">
      <c r="A1207" s="5">
        <v>247</v>
      </c>
      <c r="B1207" s="5" t="s">
        <v>249</v>
      </c>
      <c r="C1207" s="5">
        <v>59</v>
      </c>
      <c r="D1207" s="5">
        <f t="shared" si="76"/>
        <v>493.89549345236594</v>
      </c>
      <c r="E1207" s="5">
        <f t="shared" si="78"/>
        <v>0</v>
      </c>
      <c r="F1207" s="5">
        <v>238</v>
      </c>
      <c r="G1207" s="5" t="s">
        <v>274</v>
      </c>
      <c r="H1207" s="5">
        <v>59</v>
      </c>
      <c r="I1207" s="5">
        <f t="shared" si="77"/>
        <v>493.89549345236594</v>
      </c>
      <c r="J1207" s="5">
        <f t="shared" si="79"/>
        <v>4</v>
      </c>
    </row>
    <row r="1208" spans="1:10" x14ac:dyDescent="0.2">
      <c r="A1208" s="5">
        <v>248</v>
      </c>
      <c r="B1208" s="5" t="s">
        <v>247</v>
      </c>
      <c r="C1208" s="5">
        <v>50</v>
      </c>
      <c r="D1208" s="5">
        <f t="shared" si="76"/>
        <v>293.66975814369101</v>
      </c>
      <c r="E1208" s="5">
        <f t="shared" si="78"/>
        <v>9</v>
      </c>
      <c r="F1208" s="5">
        <v>239</v>
      </c>
      <c r="G1208" s="5" t="s">
        <v>119</v>
      </c>
      <c r="H1208" s="5">
        <v>59</v>
      </c>
      <c r="I1208" s="5">
        <f t="shared" si="77"/>
        <v>493.89549345236594</v>
      </c>
      <c r="J1208" s="5">
        <f t="shared" si="79"/>
        <v>0</v>
      </c>
    </row>
    <row r="1209" spans="1:10" x14ac:dyDescent="0.2">
      <c r="A1209" s="5">
        <v>248.5</v>
      </c>
      <c r="B1209" s="5" t="s">
        <v>249</v>
      </c>
      <c r="C1209" s="5">
        <v>59</v>
      </c>
      <c r="D1209" s="5">
        <f t="shared" si="76"/>
        <v>493.89549345236594</v>
      </c>
      <c r="E1209" s="5">
        <f t="shared" si="78"/>
        <v>9</v>
      </c>
      <c r="F1209" s="5">
        <v>240</v>
      </c>
      <c r="G1209" s="5" t="s">
        <v>54</v>
      </c>
      <c r="H1209" s="5">
        <v>45</v>
      </c>
      <c r="I1209" s="5">
        <f t="shared" si="77"/>
        <v>220.00279814001337</v>
      </c>
      <c r="J1209" s="5">
        <f t="shared" si="79"/>
        <v>14</v>
      </c>
    </row>
    <row r="1210" spans="1:10" x14ac:dyDescent="0.2">
      <c r="A1210" s="5">
        <v>249</v>
      </c>
      <c r="B1210" s="5" t="s">
        <v>249</v>
      </c>
      <c r="C1210" s="5">
        <v>59</v>
      </c>
      <c r="D1210" s="5">
        <f t="shared" si="76"/>
        <v>493.89549345236594</v>
      </c>
      <c r="E1210" s="5">
        <f t="shared" si="78"/>
        <v>0</v>
      </c>
      <c r="F1210" s="5">
        <v>240.5</v>
      </c>
      <c r="G1210" s="5" t="s">
        <v>53</v>
      </c>
      <c r="H1210" s="5">
        <v>55</v>
      </c>
      <c r="I1210" s="5">
        <f t="shared" si="77"/>
        <v>392.00377257605692</v>
      </c>
      <c r="J1210" s="5">
        <f t="shared" si="79"/>
        <v>10</v>
      </c>
    </row>
    <row r="1211" spans="1:10" x14ac:dyDescent="0.2">
      <c r="A1211" s="5">
        <v>250</v>
      </c>
      <c r="B1211" s="5" t="s">
        <v>247</v>
      </c>
      <c r="C1211" s="5">
        <v>50</v>
      </c>
      <c r="D1211" s="5">
        <f t="shared" si="76"/>
        <v>293.66975814369101</v>
      </c>
      <c r="E1211" s="5">
        <f t="shared" si="78"/>
        <v>9</v>
      </c>
      <c r="F1211" s="5">
        <v>241</v>
      </c>
      <c r="G1211" s="5" t="s">
        <v>53</v>
      </c>
      <c r="H1211" s="5">
        <v>55</v>
      </c>
      <c r="I1211" s="5">
        <f t="shared" si="77"/>
        <v>392.00377257605692</v>
      </c>
      <c r="J1211" s="5">
        <f t="shared" si="79"/>
        <v>0</v>
      </c>
    </row>
    <row r="1212" spans="1:10" x14ac:dyDescent="0.2">
      <c r="A1212" s="5">
        <v>250.5</v>
      </c>
      <c r="B1212" s="5" t="s">
        <v>249</v>
      </c>
      <c r="C1212" s="5">
        <v>59</v>
      </c>
      <c r="D1212" s="5">
        <f t="shared" si="76"/>
        <v>493.89549345236594</v>
      </c>
      <c r="E1212" s="5">
        <f t="shared" si="78"/>
        <v>9</v>
      </c>
      <c r="F1212" s="5">
        <v>242</v>
      </c>
      <c r="G1212" s="5" t="s">
        <v>63</v>
      </c>
      <c r="H1212" s="5">
        <v>59</v>
      </c>
      <c r="I1212" s="5">
        <f t="shared" si="77"/>
        <v>493.89549345236594</v>
      </c>
      <c r="J1212" s="5">
        <f t="shared" si="79"/>
        <v>4</v>
      </c>
    </row>
    <row r="1213" spans="1:10" x14ac:dyDescent="0.2">
      <c r="A1213" s="5">
        <v>251</v>
      </c>
      <c r="B1213" s="5" t="s">
        <v>249</v>
      </c>
      <c r="C1213" s="5">
        <v>59</v>
      </c>
      <c r="D1213" s="5">
        <f t="shared" si="76"/>
        <v>493.89549345236594</v>
      </c>
      <c r="E1213" s="5">
        <f t="shared" si="78"/>
        <v>0</v>
      </c>
      <c r="F1213" s="5">
        <v>243</v>
      </c>
      <c r="G1213" s="5" t="s">
        <v>60</v>
      </c>
      <c r="H1213" s="5">
        <v>55</v>
      </c>
      <c r="I1213" s="5">
        <f t="shared" si="77"/>
        <v>392.00377257605692</v>
      </c>
      <c r="J1213" s="5">
        <f t="shared" si="79"/>
        <v>4</v>
      </c>
    </row>
    <row r="1214" spans="1:10" x14ac:dyDescent="0.2">
      <c r="A1214" s="5">
        <v>252</v>
      </c>
      <c r="B1214" s="5" t="s">
        <v>247</v>
      </c>
      <c r="C1214" s="5">
        <v>50</v>
      </c>
      <c r="D1214" s="5">
        <f t="shared" si="76"/>
        <v>293.66975814369101</v>
      </c>
      <c r="E1214" s="5">
        <f t="shared" si="78"/>
        <v>9</v>
      </c>
      <c r="F1214" s="5">
        <v>244</v>
      </c>
      <c r="G1214" s="5" t="s">
        <v>54</v>
      </c>
      <c r="H1214" s="5">
        <v>45</v>
      </c>
      <c r="I1214" s="5">
        <f t="shared" si="77"/>
        <v>220.00279814001337</v>
      </c>
      <c r="J1214" s="5">
        <f t="shared" si="79"/>
        <v>10</v>
      </c>
    </row>
    <row r="1215" spans="1:10" x14ac:dyDescent="0.2">
      <c r="A1215" s="5">
        <v>252.5</v>
      </c>
      <c r="B1215" s="5" t="s">
        <v>249</v>
      </c>
      <c r="C1215" s="5">
        <v>59</v>
      </c>
      <c r="D1215" s="5">
        <f t="shared" si="76"/>
        <v>493.89549345236594</v>
      </c>
      <c r="E1215" s="5">
        <f t="shared" si="78"/>
        <v>9</v>
      </c>
      <c r="F1215" s="5">
        <v>244.5</v>
      </c>
      <c r="G1215" s="5" t="s">
        <v>53</v>
      </c>
      <c r="H1215" s="5">
        <v>55</v>
      </c>
      <c r="I1215" s="5">
        <f t="shared" si="77"/>
        <v>392.00377257605692</v>
      </c>
      <c r="J1215" s="5">
        <f t="shared" si="79"/>
        <v>10</v>
      </c>
    </row>
    <row r="1216" spans="1:10" x14ac:dyDescent="0.2">
      <c r="A1216" s="5">
        <v>253</v>
      </c>
      <c r="B1216" s="5" t="s">
        <v>249</v>
      </c>
      <c r="C1216" s="5">
        <v>59</v>
      </c>
      <c r="D1216" s="5">
        <f t="shared" si="76"/>
        <v>493.89549345236594</v>
      </c>
      <c r="E1216" s="5">
        <f t="shared" si="78"/>
        <v>0</v>
      </c>
      <c r="F1216" s="5">
        <v>245</v>
      </c>
      <c r="G1216" s="5" t="s">
        <v>53</v>
      </c>
      <c r="H1216" s="5">
        <v>55</v>
      </c>
      <c r="I1216" s="5">
        <f t="shared" si="77"/>
        <v>392.00377257605692</v>
      </c>
      <c r="J1216" s="5">
        <f t="shared" si="79"/>
        <v>0</v>
      </c>
    </row>
    <row r="1217" spans="1:10" x14ac:dyDescent="0.2">
      <c r="A1217" s="5">
        <v>254</v>
      </c>
      <c r="B1217" s="5" t="s">
        <v>432</v>
      </c>
      <c r="C1217" s="5">
        <v>62</v>
      </c>
      <c r="D1217" s="5">
        <f t="shared" si="76"/>
        <v>587.34554108704231</v>
      </c>
      <c r="E1217" s="5">
        <f t="shared" si="78"/>
        <v>3</v>
      </c>
      <c r="F1217" s="5">
        <v>246</v>
      </c>
      <c r="G1217" s="5" t="s">
        <v>54</v>
      </c>
      <c r="H1217" s="5">
        <v>45</v>
      </c>
      <c r="I1217" s="5">
        <f t="shared" si="77"/>
        <v>220.00279814001337</v>
      </c>
      <c r="J1217" s="5">
        <f t="shared" si="79"/>
        <v>10</v>
      </c>
    </row>
    <row r="1218" spans="1:10" x14ac:dyDescent="0.2">
      <c r="A1218" s="5">
        <v>255</v>
      </c>
      <c r="B1218" s="5" t="s">
        <v>285</v>
      </c>
      <c r="C1218" s="5">
        <v>62</v>
      </c>
      <c r="D1218" s="5">
        <f t="shared" si="76"/>
        <v>587.34554108704231</v>
      </c>
      <c r="E1218" s="5">
        <f t="shared" si="78"/>
        <v>0</v>
      </c>
      <c r="F1218" s="5">
        <v>246.5</v>
      </c>
      <c r="G1218" s="5" t="s">
        <v>53</v>
      </c>
      <c r="H1218" s="5">
        <v>55</v>
      </c>
      <c r="I1218" s="5">
        <f t="shared" si="77"/>
        <v>392.00377257605692</v>
      </c>
      <c r="J1218" s="5">
        <f t="shared" si="79"/>
        <v>10</v>
      </c>
    </row>
    <row r="1219" spans="1:10" x14ac:dyDescent="0.2">
      <c r="A1219" s="5">
        <v>256</v>
      </c>
      <c r="B1219" s="5" t="s">
        <v>247</v>
      </c>
      <c r="C1219" s="5">
        <v>50</v>
      </c>
      <c r="D1219" s="5">
        <f t="shared" si="76"/>
        <v>293.66975814369101</v>
      </c>
      <c r="E1219" s="5">
        <f t="shared" si="78"/>
        <v>12</v>
      </c>
      <c r="F1219" s="5">
        <v>247</v>
      </c>
      <c r="G1219" s="5" t="s">
        <v>53</v>
      </c>
      <c r="H1219" s="5">
        <v>55</v>
      </c>
      <c r="I1219" s="5">
        <f t="shared" si="77"/>
        <v>392.00377257605692</v>
      </c>
      <c r="J1219" s="5">
        <f t="shared" si="79"/>
        <v>0</v>
      </c>
    </row>
    <row r="1220" spans="1:10" x14ac:dyDescent="0.2">
      <c r="A1220" s="5">
        <v>256.5</v>
      </c>
      <c r="B1220" s="5" t="s">
        <v>249</v>
      </c>
      <c r="C1220" s="5">
        <v>59</v>
      </c>
      <c r="D1220" s="5">
        <f t="shared" si="76"/>
        <v>493.89549345236594</v>
      </c>
      <c r="E1220" s="5">
        <f t="shared" si="78"/>
        <v>9</v>
      </c>
      <c r="F1220" s="5">
        <v>248</v>
      </c>
      <c r="G1220" s="5" t="s">
        <v>54</v>
      </c>
      <c r="H1220" s="5">
        <v>45</v>
      </c>
      <c r="I1220" s="5">
        <f t="shared" si="77"/>
        <v>220.00279814001337</v>
      </c>
      <c r="J1220" s="5">
        <f t="shared" si="79"/>
        <v>10</v>
      </c>
    </row>
    <row r="1221" spans="1:10" x14ac:dyDescent="0.2">
      <c r="A1221" s="5">
        <v>257</v>
      </c>
      <c r="B1221" s="5" t="s">
        <v>249</v>
      </c>
      <c r="C1221" s="5">
        <v>59</v>
      </c>
      <c r="D1221" s="5">
        <f t="shared" si="76"/>
        <v>493.89549345236594</v>
      </c>
      <c r="E1221" s="5">
        <f t="shared" si="78"/>
        <v>0</v>
      </c>
      <c r="F1221" s="5">
        <v>248.5</v>
      </c>
      <c r="G1221" s="5" t="s">
        <v>53</v>
      </c>
      <c r="H1221" s="5">
        <v>55</v>
      </c>
      <c r="I1221" s="5">
        <f t="shared" si="77"/>
        <v>392.00377257605692</v>
      </c>
      <c r="J1221" s="5">
        <f t="shared" si="79"/>
        <v>10</v>
      </c>
    </row>
    <row r="1222" spans="1:10" x14ac:dyDescent="0.2">
      <c r="A1222" s="5">
        <v>258</v>
      </c>
      <c r="B1222" s="5" t="s">
        <v>285</v>
      </c>
      <c r="C1222" s="5">
        <v>62</v>
      </c>
      <c r="D1222" s="5">
        <f t="shared" si="76"/>
        <v>587.34554108704231</v>
      </c>
      <c r="E1222" s="5">
        <f t="shared" si="78"/>
        <v>3</v>
      </c>
      <c r="F1222" s="5">
        <v>249</v>
      </c>
      <c r="G1222" s="5" t="s">
        <v>53</v>
      </c>
      <c r="H1222" s="5">
        <v>55</v>
      </c>
      <c r="I1222" s="5">
        <f t="shared" si="77"/>
        <v>392.00377257605692</v>
      </c>
      <c r="J1222" s="5">
        <f t="shared" si="79"/>
        <v>0</v>
      </c>
    </row>
    <row r="1223" spans="1:10" x14ac:dyDescent="0.2">
      <c r="A1223" s="5">
        <v>259</v>
      </c>
      <c r="B1223" s="5" t="s">
        <v>249</v>
      </c>
      <c r="C1223" s="5">
        <v>59</v>
      </c>
      <c r="D1223" s="5">
        <f t="shared" si="76"/>
        <v>493.89549345236594</v>
      </c>
      <c r="E1223" s="5">
        <f t="shared" si="78"/>
        <v>3</v>
      </c>
      <c r="F1223" s="5">
        <v>250</v>
      </c>
      <c r="G1223" s="5" t="s">
        <v>54</v>
      </c>
      <c r="H1223" s="5">
        <v>45</v>
      </c>
      <c r="I1223" s="5">
        <f t="shared" si="77"/>
        <v>220.00279814001337</v>
      </c>
      <c r="J1223" s="5">
        <f t="shared" si="79"/>
        <v>10</v>
      </c>
    </row>
    <row r="1224" spans="1:10" x14ac:dyDescent="0.2">
      <c r="A1224" s="5">
        <v>260</v>
      </c>
      <c r="B1224" s="5" t="s">
        <v>247</v>
      </c>
      <c r="C1224" s="5">
        <v>50</v>
      </c>
      <c r="D1224" s="5">
        <f t="shared" si="76"/>
        <v>293.66975814369101</v>
      </c>
      <c r="E1224" s="5">
        <f t="shared" si="78"/>
        <v>9</v>
      </c>
      <c r="F1224" s="5">
        <v>250.5</v>
      </c>
      <c r="G1224" s="5" t="s">
        <v>53</v>
      </c>
      <c r="H1224" s="5">
        <v>55</v>
      </c>
      <c r="I1224" s="5">
        <f t="shared" si="77"/>
        <v>392.00377257605692</v>
      </c>
      <c r="J1224" s="5">
        <f t="shared" si="79"/>
        <v>10</v>
      </c>
    </row>
    <row r="1225" spans="1:10" x14ac:dyDescent="0.2">
      <c r="A1225" s="5">
        <v>260.5</v>
      </c>
      <c r="B1225" s="5" t="s">
        <v>249</v>
      </c>
      <c r="C1225" s="5">
        <v>59</v>
      </c>
      <c r="D1225" s="5">
        <f t="shared" si="76"/>
        <v>493.89549345236594</v>
      </c>
      <c r="E1225" s="5">
        <f t="shared" si="78"/>
        <v>9</v>
      </c>
      <c r="F1225" s="5">
        <v>251</v>
      </c>
      <c r="G1225" s="5" t="s">
        <v>53</v>
      </c>
      <c r="H1225" s="5">
        <v>55</v>
      </c>
      <c r="I1225" s="5">
        <f t="shared" si="77"/>
        <v>392.00377257605692</v>
      </c>
      <c r="J1225" s="5">
        <f t="shared" si="79"/>
        <v>0</v>
      </c>
    </row>
    <row r="1226" spans="1:10" x14ac:dyDescent="0.2">
      <c r="A1226" s="5">
        <v>261</v>
      </c>
      <c r="B1226" s="5" t="s">
        <v>249</v>
      </c>
      <c r="C1226" s="5">
        <v>59</v>
      </c>
      <c r="D1226" s="5">
        <f t="shared" si="76"/>
        <v>493.89549345236594</v>
      </c>
      <c r="E1226" s="5">
        <f t="shared" si="78"/>
        <v>0</v>
      </c>
      <c r="F1226" s="5">
        <v>252</v>
      </c>
      <c r="G1226" s="5" t="s">
        <v>54</v>
      </c>
      <c r="H1226" s="5">
        <v>45</v>
      </c>
      <c r="I1226" s="5">
        <f t="shared" si="77"/>
        <v>220.00279814001337</v>
      </c>
      <c r="J1226" s="5">
        <f t="shared" si="79"/>
        <v>10</v>
      </c>
    </row>
    <row r="1227" spans="1:10" x14ac:dyDescent="0.2">
      <c r="A1227" s="5">
        <v>262</v>
      </c>
      <c r="B1227" s="5" t="s">
        <v>432</v>
      </c>
      <c r="C1227" s="5">
        <v>62</v>
      </c>
      <c r="D1227" s="5">
        <f t="shared" si="76"/>
        <v>587.34554108704231</v>
      </c>
      <c r="E1227" s="5">
        <f t="shared" si="78"/>
        <v>3</v>
      </c>
      <c r="F1227" s="5">
        <v>252.5</v>
      </c>
      <c r="G1227" s="5" t="s">
        <v>53</v>
      </c>
      <c r="H1227" s="5">
        <v>55</v>
      </c>
      <c r="I1227" s="5">
        <f t="shared" si="77"/>
        <v>392.00377257605692</v>
      </c>
      <c r="J1227" s="5">
        <f t="shared" si="79"/>
        <v>10</v>
      </c>
    </row>
    <row r="1228" spans="1:10" x14ac:dyDescent="0.2">
      <c r="A1228" s="5">
        <v>263</v>
      </c>
      <c r="B1228" s="5" t="s">
        <v>285</v>
      </c>
      <c r="C1228" s="5">
        <v>62</v>
      </c>
      <c r="D1228" s="5">
        <f t="shared" si="76"/>
        <v>587.34554108704231</v>
      </c>
      <c r="E1228" s="5">
        <f t="shared" si="78"/>
        <v>0</v>
      </c>
      <c r="F1228" s="5">
        <v>253</v>
      </c>
      <c r="G1228" s="5" t="s">
        <v>53</v>
      </c>
      <c r="H1228" s="5">
        <v>55</v>
      </c>
      <c r="I1228" s="5">
        <f t="shared" si="77"/>
        <v>392.00377257605692</v>
      </c>
      <c r="J1228" s="5">
        <f t="shared" si="79"/>
        <v>0</v>
      </c>
    </row>
    <row r="1229" spans="1:10" x14ac:dyDescent="0.2">
      <c r="A1229" s="5">
        <v>264</v>
      </c>
      <c r="B1229" s="5" t="s">
        <v>247</v>
      </c>
      <c r="C1229" s="5">
        <v>50</v>
      </c>
      <c r="D1229" s="5">
        <f t="shared" si="76"/>
        <v>293.66975814369101</v>
      </c>
      <c r="E1229" s="5">
        <f t="shared" si="78"/>
        <v>12</v>
      </c>
      <c r="F1229" s="5">
        <v>254</v>
      </c>
      <c r="G1229" s="5" t="s">
        <v>63</v>
      </c>
      <c r="H1229" s="5">
        <v>59</v>
      </c>
      <c r="I1229" s="5">
        <f t="shared" si="77"/>
        <v>493.89549345236594</v>
      </c>
      <c r="J1229" s="5">
        <f t="shared" si="79"/>
        <v>4</v>
      </c>
    </row>
    <row r="1230" spans="1:10" x14ac:dyDescent="0.2">
      <c r="A1230" s="5">
        <v>264.5</v>
      </c>
      <c r="B1230" s="5" t="s">
        <v>249</v>
      </c>
      <c r="C1230" s="5">
        <v>59</v>
      </c>
      <c r="D1230" s="5">
        <f t="shared" si="76"/>
        <v>493.89549345236594</v>
      </c>
      <c r="E1230" s="5">
        <f t="shared" si="78"/>
        <v>9</v>
      </c>
      <c r="F1230" s="5">
        <v>255</v>
      </c>
      <c r="G1230" s="5" t="s">
        <v>63</v>
      </c>
      <c r="H1230" s="5">
        <v>59</v>
      </c>
      <c r="I1230" s="5">
        <f t="shared" si="77"/>
        <v>493.89549345236594</v>
      </c>
      <c r="J1230" s="5">
        <f t="shared" si="79"/>
        <v>0</v>
      </c>
    </row>
    <row r="1231" spans="1:10" x14ac:dyDescent="0.2">
      <c r="A1231" s="5">
        <v>265</v>
      </c>
      <c r="B1231" s="5" t="s">
        <v>249</v>
      </c>
      <c r="C1231" s="5">
        <v>59</v>
      </c>
      <c r="D1231" s="5">
        <f t="shared" si="76"/>
        <v>493.89549345236594</v>
      </c>
      <c r="E1231" s="5">
        <f t="shared" si="78"/>
        <v>0</v>
      </c>
      <c r="F1231" s="5">
        <v>256</v>
      </c>
      <c r="G1231" s="5" t="s">
        <v>65</v>
      </c>
      <c r="H1231" s="5">
        <v>45</v>
      </c>
      <c r="I1231" s="5">
        <f t="shared" si="77"/>
        <v>220.00279814001337</v>
      </c>
      <c r="J1231" s="5">
        <f t="shared" si="79"/>
        <v>14</v>
      </c>
    </row>
    <row r="1232" spans="1:10" x14ac:dyDescent="0.2">
      <c r="A1232" s="5">
        <v>266</v>
      </c>
      <c r="B1232" s="5" t="s">
        <v>285</v>
      </c>
      <c r="C1232" s="5">
        <v>62</v>
      </c>
      <c r="D1232" s="5">
        <f t="shared" si="76"/>
        <v>587.34554108704231</v>
      </c>
      <c r="E1232" s="5">
        <f t="shared" si="78"/>
        <v>3</v>
      </c>
      <c r="F1232" s="5">
        <v>256.5</v>
      </c>
      <c r="G1232" s="5" t="s">
        <v>66</v>
      </c>
      <c r="H1232" s="5">
        <v>55</v>
      </c>
      <c r="I1232" s="5">
        <f t="shared" si="77"/>
        <v>392.00377257605692</v>
      </c>
      <c r="J1232" s="5">
        <f t="shared" si="79"/>
        <v>10</v>
      </c>
    </row>
    <row r="1233" spans="1:10" x14ac:dyDescent="0.2">
      <c r="A1233" s="5">
        <v>267</v>
      </c>
      <c r="B1233" s="5" t="s">
        <v>249</v>
      </c>
      <c r="C1233" s="5">
        <v>59</v>
      </c>
      <c r="D1233" s="5">
        <f t="shared" si="76"/>
        <v>493.89549345236594</v>
      </c>
      <c r="E1233" s="5">
        <f t="shared" si="78"/>
        <v>3</v>
      </c>
      <c r="F1233" s="5">
        <v>257</v>
      </c>
      <c r="G1233" s="5" t="s">
        <v>53</v>
      </c>
      <c r="H1233" s="5">
        <v>55</v>
      </c>
      <c r="I1233" s="5">
        <f t="shared" si="77"/>
        <v>392.00377257605692</v>
      </c>
      <c r="J1233" s="5">
        <f t="shared" si="79"/>
        <v>0</v>
      </c>
    </row>
    <row r="1234" spans="1:10" x14ac:dyDescent="0.2">
      <c r="A1234" s="5">
        <v>268</v>
      </c>
      <c r="B1234" s="5" t="s">
        <v>247</v>
      </c>
      <c r="C1234" s="5">
        <v>50</v>
      </c>
      <c r="D1234" s="5">
        <f t="shared" si="76"/>
        <v>293.66975814369101</v>
      </c>
      <c r="E1234" s="5">
        <f t="shared" si="78"/>
        <v>9</v>
      </c>
      <c r="F1234" s="5">
        <v>258</v>
      </c>
      <c r="G1234" s="5" t="s">
        <v>274</v>
      </c>
      <c r="H1234" s="5">
        <v>59</v>
      </c>
      <c r="I1234" s="5">
        <f t="shared" si="77"/>
        <v>493.89549345236594</v>
      </c>
      <c r="J1234" s="5">
        <f t="shared" si="79"/>
        <v>4</v>
      </c>
    </row>
    <row r="1235" spans="1:10" x14ac:dyDescent="0.2">
      <c r="A1235" s="5">
        <v>268.5</v>
      </c>
      <c r="B1235" s="5" t="s">
        <v>249</v>
      </c>
      <c r="C1235" s="5">
        <v>59</v>
      </c>
      <c r="D1235" s="5">
        <f t="shared" si="76"/>
        <v>493.89549345236594</v>
      </c>
      <c r="E1235" s="5">
        <f t="shared" si="78"/>
        <v>9</v>
      </c>
      <c r="F1235" s="5">
        <v>259</v>
      </c>
      <c r="G1235" s="5" t="s">
        <v>53</v>
      </c>
      <c r="H1235" s="5">
        <v>55</v>
      </c>
      <c r="I1235" s="5">
        <f t="shared" si="77"/>
        <v>392.00377257605692</v>
      </c>
      <c r="J1235" s="5">
        <f t="shared" si="79"/>
        <v>4</v>
      </c>
    </row>
    <row r="1236" spans="1:10" x14ac:dyDescent="0.2">
      <c r="A1236" s="5">
        <v>269</v>
      </c>
      <c r="B1236" s="5" t="s">
        <v>249</v>
      </c>
      <c r="C1236" s="5">
        <v>59</v>
      </c>
      <c r="D1236" s="5">
        <f t="shared" si="76"/>
        <v>493.89549345236594</v>
      </c>
      <c r="E1236" s="5">
        <f t="shared" si="78"/>
        <v>0</v>
      </c>
      <c r="F1236" s="5">
        <v>260</v>
      </c>
      <c r="G1236" s="5" t="s">
        <v>54</v>
      </c>
      <c r="H1236" s="5">
        <v>45</v>
      </c>
      <c r="I1236" s="5">
        <f t="shared" si="77"/>
        <v>220.00279814001337</v>
      </c>
      <c r="J1236" s="5">
        <f t="shared" si="79"/>
        <v>10</v>
      </c>
    </row>
    <row r="1237" spans="1:10" x14ac:dyDescent="0.2">
      <c r="A1237" s="5">
        <v>270</v>
      </c>
      <c r="B1237" s="5" t="s">
        <v>247</v>
      </c>
      <c r="C1237" s="5">
        <v>50</v>
      </c>
      <c r="D1237" s="5">
        <f t="shared" si="76"/>
        <v>293.66975814369101</v>
      </c>
      <c r="E1237" s="5">
        <f t="shared" si="78"/>
        <v>9</v>
      </c>
      <c r="F1237" s="5">
        <v>260.5</v>
      </c>
      <c r="G1237" s="5" t="s">
        <v>53</v>
      </c>
      <c r="H1237" s="5">
        <v>55</v>
      </c>
      <c r="I1237" s="5">
        <f t="shared" si="77"/>
        <v>392.00377257605692</v>
      </c>
      <c r="J1237" s="5">
        <f t="shared" si="79"/>
        <v>10</v>
      </c>
    </row>
    <row r="1238" spans="1:10" x14ac:dyDescent="0.2">
      <c r="A1238" s="5">
        <v>270.5</v>
      </c>
      <c r="B1238" s="5" t="s">
        <v>249</v>
      </c>
      <c r="C1238" s="5">
        <v>59</v>
      </c>
      <c r="D1238" s="5">
        <f t="shared" si="76"/>
        <v>493.89549345236594</v>
      </c>
      <c r="E1238" s="5">
        <f t="shared" si="78"/>
        <v>9</v>
      </c>
      <c r="F1238" s="5">
        <v>261</v>
      </c>
      <c r="G1238" s="5" t="s">
        <v>53</v>
      </c>
      <c r="H1238" s="5">
        <v>55</v>
      </c>
      <c r="I1238" s="5">
        <f t="shared" si="77"/>
        <v>392.00377257605692</v>
      </c>
      <c r="J1238" s="5">
        <f t="shared" si="79"/>
        <v>0</v>
      </c>
    </row>
    <row r="1239" spans="1:10" x14ac:dyDescent="0.2">
      <c r="A1239" s="5">
        <v>271</v>
      </c>
      <c r="B1239" s="5" t="s">
        <v>249</v>
      </c>
      <c r="C1239" s="5">
        <v>59</v>
      </c>
      <c r="D1239" s="5">
        <f t="shared" si="76"/>
        <v>493.89549345236594</v>
      </c>
      <c r="E1239" s="5">
        <f t="shared" si="78"/>
        <v>0</v>
      </c>
      <c r="F1239" s="5">
        <v>262</v>
      </c>
      <c r="G1239" s="5" t="s">
        <v>274</v>
      </c>
      <c r="H1239" s="5">
        <v>59</v>
      </c>
      <c r="I1239" s="5">
        <f t="shared" si="77"/>
        <v>493.89549345236594</v>
      </c>
      <c r="J1239" s="5">
        <f t="shared" si="79"/>
        <v>4</v>
      </c>
    </row>
    <row r="1240" spans="1:10" x14ac:dyDescent="0.2">
      <c r="A1240" s="5">
        <v>272</v>
      </c>
      <c r="B1240" s="5" t="s">
        <v>247</v>
      </c>
      <c r="C1240" s="5">
        <v>50</v>
      </c>
      <c r="D1240" s="5">
        <f t="shared" si="76"/>
        <v>293.66975814369101</v>
      </c>
      <c r="E1240" s="5">
        <f t="shared" si="78"/>
        <v>9</v>
      </c>
      <c r="F1240" s="5">
        <v>263</v>
      </c>
      <c r="G1240" s="5" t="s">
        <v>119</v>
      </c>
      <c r="H1240" s="5">
        <v>59</v>
      </c>
      <c r="I1240" s="5">
        <f t="shared" si="77"/>
        <v>493.89549345236594</v>
      </c>
      <c r="J1240" s="5">
        <f t="shared" si="79"/>
        <v>0</v>
      </c>
    </row>
    <row r="1241" spans="1:10" x14ac:dyDescent="0.2">
      <c r="A1241" s="5">
        <v>272.5</v>
      </c>
      <c r="B1241" s="5" t="s">
        <v>249</v>
      </c>
      <c r="C1241" s="5">
        <v>59</v>
      </c>
      <c r="D1241" s="5">
        <f t="shared" si="76"/>
        <v>493.89549345236594</v>
      </c>
      <c r="E1241" s="5">
        <f t="shared" si="78"/>
        <v>9</v>
      </c>
      <c r="F1241" s="5">
        <v>264</v>
      </c>
      <c r="G1241" s="5" t="s">
        <v>54</v>
      </c>
      <c r="H1241" s="5">
        <v>45</v>
      </c>
      <c r="I1241" s="5">
        <f t="shared" si="77"/>
        <v>220.00279814001337</v>
      </c>
      <c r="J1241" s="5">
        <f t="shared" si="79"/>
        <v>14</v>
      </c>
    </row>
    <row r="1242" spans="1:10" x14ac:dyDescent="0.2">
      <c r="A1242" s="5">
        <v>273</v>
      </c>
      <c r="B1242" s="5" t="s">
        <v>249</v>
      </c>
      <c r="C1242" s="5">
        <v>59</v>
      </c>
      <c r="D1242" s="5">
        <f t="shared" si="76"/>
        <v>493.89549345236594</v>
      </c>
      <c r="E1242" s="5">
        <f t="shared" si="78"/>
        <v>0</v>
      </c>
      <c r="F1242" s="5">
        <v>264.5</v>
      </c>
      <c r="G1242" s="5" t="s">
        <v>53</v>
      </c>
      <c r="H1242" s="5">
        <v>55</v>
      </c>
      <c r="I1242" s="5">
        <f t="shared" si="77"/>
        <v>392.00377257605692</v>
      </c>
      <c r="J1242" s="5">
        <f t="shared" si="79"/>
        <v>10</v>
      </c>
    </row>
    <row r="1243" spans="1:10" x14ac:dyDescent="0.2">
      <c r="A1243" s="5">
        <v>274</v>
      </c>
      <c r="B1243" s="5" t="s">
        <v>247</v>
      </c>
      <c r="C1243" s="5">
        <v>50</v>
      </c>
      <c r="D1243" s="5">
        <f t="shared" si="76"/>
        <v>293.66975814369101</v>
      </c>
      <c r="E1243" s="5">
        <f t="shared" si="78"/>
        <v>9</v>
      </c>
      <c r="F1243" s="5">
        <v>265</v>
      </c>
      <c r="G1243" s="5" t="s">
        <v>53</v>
      </c>
      <c r="H1243" s="5">
        <v>55</v>
      </c>
      <c r="I1243" s="5">
        <f t="shared" si="77"/>
        <v>392.00377257605692</v>
      </c>
      <c r="J1243" s="5">
        <f t="shared" si="79"/>
        <v>0</v>
      </c>
    </row>
    <row r="1244" spans="1:10" x14ac:dyDescent="0.2">
      <c r="A1244" s="5">
        <v>274.5</v>
      </c>
      <c r="B1244" s="5" t="s">
        <v>249</v>
      </c>
      <c r="C1244" s="5">
        <v>59</v>
      </c>
      <c r="D1244" s="5">
        <f t="shared" si="76"/>
        <v>493.89549345236594</v>
      </c>
      <c r="E1244" s="5">
        <f t="shared" si="78"/>
        <v>9</v>
      </c>
      <c r="F1244" s="5">
        <v>266</v>
      </c>
      <c r="G1244" s="5" t="s">
        <v>63</v>
      </c>
      <c r="H1244" s="5">
        <v>59</v>
      </c>
      <c r="I1244" s="5">
        <f t="shared" si="77"/>
        <v>493.89549345236594</v>
      </c>
      <c r="J1244" s="5">
        <f t="shared" si="79"/>
        <v>4</v>
      </c>
    </row>
    <row r="1245" spans="1:10" x14ac:dyDescent="0.2">
      <c r="A1245" s="5">
        <v>275</v>
      </c>
      <c r="B1245" s="5" t="s">
        <v>249</v>
      </c>
      <c r="C1245" s="5">
        <v>59</v>
      </c>
      <c r="D1245" s="5">
        <f t="shared" si="76"/>
        <v>493.89549345236594</v>
      </c>
      <c r="E1245" s="5">
        <f t="shared" si="78"/>
        <v>0</v>
      </c>
      <c r="F1245" s="5">
        <v>267</v>
      </c>
      <c r="G1245" s="5" t="s">
        <v>60</v>
      </c>
      <c r="H1245" s="5">
        <v>55</v>
      </c>
      <c r="I1245" s="5">
        <f t="shared" si="77"/>
        <v>392.00377257605692</v>
      </c>
      <c r="J1245" s="5">
        <f t="shared" si="79"/>
        <v>4</v>
      </c>
    </row>
    <row r="1246" spans="1:10" x14ac:dyDescent="0.2">
      <c r="A1246" s="5">
        <v>276</v>
      </c>
      <c r="B1246" s="5" t="s">
        <v>247</v>
      </c>
      <c r="C1246" s="5">
        <v>50</v>
      </c>
      <c r="D1246" s="5">
        <f t="shared" si="76"/>
        <v>293.66975814369101</v>
      </c>
      <c r="E1246" s="5">
        <f t="shared" si="78"/>
        <v>9</v>
      </c>
      <c r="F1246" s="5">
        <v>268</v>
      </c>
      <c r="G1246" s="5" t="s">
        <v>54</v>
      </c>
      <c r="H1246" s="5">
        <v>45</v>
      </c>
      <c r="I1246" s="5">
        <f t="shared" si="77"/>
        <v>220.00279814001337</v>
      </c>
      <c r="J1246" s="5">
        <f t="shared" si="79"/>
        <v>10</v>
      </c>
    </row>
    <row r="1247" spans="1:10" x14ac:dyDescent="0.2">
      <c r="A1247" s="5">
        <v>276.5</v>
      </c>
      <c r="B1247" s="5" t="s">
        <v>249</v>
      </c>
      <c r="C1247" s="5">
        <v>59</v>
      </c>
      <c r="D1247" s="5">
        <f t="shared" si="76"/>
        <v>493.89549345236594</v>
      </c>
      <c r="E1247" s="5">
        <f t="shared" si="78"/>
        <v>9</v>
      </c>
      <c r="F1247" s="5">
        <v>268.5</v>
      </c>
      <c r="G1247" s="5" t="s">
        <v>53</v>
      </c>
      <c r="H1247" s="5">
        <v>55</v>
      </c>
      <c r="I1247" s="5">
        <f t="shared" si="77"/>
        <v>392.00377257605692</v>
      </c>
      <c r="J1247" s="5">
        <f t="shared" si="79"/>
        <v>10</v>
      </c>
    </row>
    <row r="1248" spans="1:10" x14ac:dyDescent="0.2">
      <c r="A1248" s="5">
        <v>277</v>
      </c>
      <c r="B1248" s="5" t="s">
        <v>249</v>
      </c>
      <c r="C1248" s="5">
        <v>59</v>
      </c>
      <c r="D1248" s="5">
        <f t="shared" si="76"/>
        <v>493.89549345236594</v>
      </c>
      <c r="E1248" s="5">
        <f t="shared" si="78"/>
        <v>0</v>
      </c>
      <c r="F1248" s="5">
        <v>269</v>
      </c>
      <c r="G1248" s="5" t="s">
        <v>53</v>
      </c>
      <c r="H1248" s="5">
        <v>55</v>
      </c>
      <c r="I1248" s="5">
        <f t="shared" si="77"/>
        <v>392.00377257605692</v>
      </c>
      <c r="J1248" s="5">
        <f t="shared" si="79"/>
        <v>0</v>
      </c>
    </row>
    <row r="1249" spans="1:10" x14ac:dyDescent="0.2">
      <c r="A1249" s="5">
        <v>278</v>
      </c>
      <c r="B1249" s="5" t="s">
        <v>247</v>
      </c>
      <c r="C1249" s="5">
        <v>50</v>
      </c>
      <c r="D1249" s="5">
        <f t="shared" si="76"/>
        <v>293.66975814369101</v>
      </c>
      <c r="E1249" s="5">
        <f t="shared" si="78"/>
        <v>9</v>
      </c>
      <c r="F1249" s="5">
        <v>270</v>
      </c>
      <c r="G1249" s="5" t="s">
        <v>54</v>
      </c>
      <c r="H1249" s="5">
        <v>45</v>
      </c>
      <c r="I1249" s="5">
        <f t="shared" si="77"/>
        <v>220.00279814001337</v>
      </c>
      <c r="J1249" s="5">
        <f t="shared" si="79"/>
        <v>10</v>
      </c>
    </row>
    <row r="1250" spans="1:10" x14ac:dyDescent="0.2">
      <c r="A1250" s="5">
        <v>278.5</v>
      </c>
      <c r="B1250" s="5" t="s">
        <v>249</v>
      </c>
      <c r="C1250" s="5">
        <v>59</v>
      </c>
      <c r="D1250" s="5">
        <f t="shared" si="76"/>
        <v>493.89549345236594</v>
      </c>
      <c r="E1250" s="5">
        <f t="shared" si="78"/>
        <v>9</v>
      </c>
      <c r="F1250" s="5">
        <v>270.5</v>
      </c>
      <c r="G1250" s="5" t="s">
        <v>53</v>
      </c>
      <c r="H1250" s="5">
        <v>55</v>
      </c>
      <c r="I1250" s="5">
        <f t="shared" si="77"/>
        <v>392.00377257605692</v>
      </c>
      <c r="J1250" s="5">
        <f t="shared" si="79"/>
        <v>10</v>
      </c>
    </row>
    <row r="1251" spans="1:10" x14ac:dyDescent="0.2">
      <c r="A1251" s="5">
        <v>279</v>
      </c>
      <c r="B1251" s="5" t="s">
        <v>249</v>
      </c>
      <c r="C1251" s="5">
        <v>59</v>
      </c>
      <c r="D1251" s="5">
        <f t="shared" si="76"/>
        <v>493.89549345236594</v>
      </c>
      <c r="E1251" s="5">
        <f t="shared" si="78"/>
        <v>0</v>
      </c>
      <c r="F1251" s="5">
        <v>271</v>
      </c>
      <c r="G1251" s="5" t="s">
        <v>53</v>
      </c>
      <c r="H1251" s="5">
        <v>55</v>
      </c>
      <c r="I1251" s="5">
        <f t="shared" si="77"/>
        <v>392.00377257605692</v>
      </c>
      <c r="J1251" s="5">
        <f t="shared" si="79"/>
        <v>0</v>
      </c>
    </row>
    <row r="1252" spans="1:10" x14ac:dyDescent="0.2">
      <c r="A1252" s="5">
        <v>280</v>
      </c>
      <c r="B1252" s="5" t="s">
        <v>247</v>
      </c>
      <c r="C1252" s="5">
        <v>50</v>
      </c>
      <c r="D1252" s="5">
        <f t="shared" si="76"/>
        <v>293.66975814369101</v>
      </c>
      <c r="E1252" s="5">
        <f t="shared" si="78"/>
        <v>9</v>
      </c>
      <c r="F1252" s="5">
        <v>272</v>
      </c>
      <c r="G1252" s="5" t="s">
        <v>54</v>
      </c>
      <c r="H1252" s="5">
        <v>45</v>
      </c>
      <c r="I1252" s="5">
        <f t="shared" si="77"/>
        <v>220.00279814001337</v>
      </c>
      <c r="J1252" s="5">
        <f t="shared" si="79"/>
        <v>10</v>
      </c>
    </row>
    <row r="1253" spans="1:10" x14ac:dyDescent="0.2">
      <c r="A1253" s="5">
        <v>280.5</v>
      </c>
      <c r="B1253" s="5" t="s">
        <v>249</v>
      </c>
      <c r="C1253" s="5">
        <v>59</v>
      </c>
      <c r="D1253" s="5">
        <f t="shared" si="76"/>
        <v>493.89549345236594</v>
      </c>
      <c r="E1253" s="5">
        <f t="shared" si="78"/>
        <v>9</v>
      </c>
      <c r="F1253" s="5">
        <v>272.5</v>
      </c>
      <c r="G1253" s="5" t="s">
        <v>53</v>
      </c>
      <c r="H1253" s="5">
        <v>55</v>
      </c>
      <c r="I1253" s="5">
        <f t="shared" si="77"/>
        <v>392.00377257605692</v>
      </c>
      <c r="J1253" s="5">
        <f t="shared" si="79"/>
        <v>10</v>
      </c>
    </row>
    <row r="1254" spans="1:10" x14ac:dyDescent="0.2">
      <c r="A1254" s="5">
        <v>281</v>
      </c>
      <c r="B1254" s="5" t="s">
        <v>249</v>
      </c>
      <c r="C1254" s="5">
        <v>59</v>
      </c>
      <c r="D1254" s="5">
        <f t="shared" ref="D1254:D1292" si="80">16.35117682*1.059464^C1254</f>
        <v>493.89549345236594</v>
      </c>
      <c r="E1254" s="5">
        <f t="shared" si="78"/>
        <v>0</v>
      </c>
      <c r="F1254" s="5">
        <v>273</v>
      </c>
      <c r="G1254" s="5" t="s">
        <v>53</v>
      </c>
      <c r="H1254" s="5">
        <v>55</v>
      </c>
      <c r="I1254" s="5">
        <f t="shared" ref="I1254:I1300" si="81">16.35117682*1.059464^H1254</f>
        <v>392.00377257605692</v>
      </c>
      <c r="J1254" s="5">
        <f t="shared" si="79"/>
        <v>0</v>
      </c>
    </row>
    <row r="1255" spans="1:10" x14ac:dyDescent="0.2">
      <c r="A1255" s="5">
        <v>282</v>
      </c>
      <c r="B1255" s="5" t="s">
        <v>247</v>
      </c>
      <c r="C1255" s="5">
        <v>50</v>
      </c>
      <c r="D1255" s="5">
        <f t="shared" si="80"/>
        <v>293.66975814369101</v>
      </c>
      <c r="E1255" s="5">
        <f t="shared" ref="E1255:E1292" si="82">ABS( C1255-C1254)</f>
        <v>9</v>
      </c>
      <c r="F1255" s="5">
        <v>274</v>
      </c>
      <c r="G1255" s="5" t="s">
        <v>54</v>
      </c>
      <c r="H1255" s="5">
        <v>45</v>
      </c>
      <c r="I1255" s="5">
        <f t="shared" si="81"/>
        <v>220.00279814001337</v>
      </c>
      <c r="J1255" s="5">
        <f t="shared" ref="J1255:J1300" si="83">ABS( H1255-H1254)</f>
        <v>10</v>
      </c>
    </row>
    <row r="1256" spans="1:10" x14ac:dyDescent="0.2">
      <c r="A1256" s="5">
        <v>282.5</v>
      </c>
      <c r="B1256" s="5" t="s">
        <v>249</v>
      </c>
      <c r="C1256" s="5">
        <v>59</v>
      </c>
      <c r="D1256" s="5">
        <f t="shared" si="80"/>
        <v>493.89549345236594</v>
      </c>
      <c r="E1256" s="5">
        <f t="shared" si="82"/>
        <v>9</v>
      </c>
      <c r="F1256" s="5">
        <v>274.5</v>
      </c>
      <c r="G1256" s="5" t="s">
        <v>53</v>
      </c>
      <c r="H1256" s="5">
        <v>55</v>
      </c>
      <c r="I1256" s="5">
        <f t="shared" si="81"/>
        <v>392.00377257605692</v>
      </c>
      <c r="J1256" s="5">
        <f t="shared" si="83"/>
        <v>10</v>
      </c>
    </row>
    <row r="1257" spans="1:10" x14ac:dyDescent="0.2">
      <c r="A1257" s="5">
        <v>283</v>
      </c>
      <c r="B1257" s="5" t="s">
        <v>249</v>
      </c>
      <c r="C1257" s="5">
        <v>59</v>
      </c>
      <c r="D1257" s="5">
        <f t="shared" si="80"/>
        <v>493.89549345236594</v>
      </c>
      <c r="E1257" s="5">
        <f t="shared" si="82"/>
        <v>0</v>
      </c>
      <c r="F1257" s="5">
        <v>275</v>
      </c>
      <c r="G1257" s="5" t="s">
        <v>53</v>
      </c>
      <c r="H1257" s="5">
        <v>55</v>
      </c>
      <c r="I1257" s="5">
        <f t="shared" si="81"/>
        <v>392.00377257605692</v>
      </c>
      <c r="J1257" s="5">
        <f t="shared" si="83"/>
        <v>0</v>
      </c>
    </row>
    <row r="1258" spans="1:10" x14ac:dyDescent="0.2">
      <c r="A1258" s="5">
        <v>284</v>
      </c>
      <c r="B1258" s="5" t="s">
        <v>247</v>
      </c>
      <c r="C1258" s="5">
        <v>50</v>
      </c>
      <c r="D1258" s="5">
        <f t="shared" si="80"/>
        <v>293.66975814369101</v>
      </c>
      <c r="E1258" s="5">
        <f t="shared" si="82"/>
        <v>9</v>
      </c>
      <c r="F1258" s="5">
        <v>276</v>
      </c>
      <c r="G1258" s="5" t="s">
        <v>54</v>
      </c>
      <c r="H1258" s="5">
        <v>45</v>
      </c>
      <c r="I1258" s="5">
        <f t="shared" si="81"/>
        <v>220.00279814001337</v>
      </c>
      <c r="J1258" s="5">
        <f t="shared" si="83"/>
        <v>10</v>
      </c>
    </row>
    <row r="1259" spans="1:10" x14ac:dyDescent="0.2">
      <c r="A1259" s="5">
        <v>284.5</v>
      </c>
      <c r="B1259" s="5" t="s">
        <v>249</v>
      </c>
      <c r="C1259" s="5">
        <v>59</v>
      </c>
      <c r="D1259" s="5">
        <f t="shared" si="80"/>
        <v>493.89549345236594</v>
      </c>
      <c r="E1259" s="5">
        <f t="shared" si="82"/>
        <v>9</v>
      </c>
      <c r="F1259" s="5">
        <v>276.5</v>
      </c>
      <c r="G1259" s="5" t="s">
        <v>53</v>
      </c>
      <c r="H1259" s="5">
        <v>55</v>
      </c>
      <c r="I1259" s="5">
        <f t="shared" si="81"/>
        <v>392.00377257605692</v>
      </c>
      <c r="J1259" s="5">
        <f t="shared" si="83"/>
        <v>10</v>
      </c>
    </row>
    <row r="1260" spans="1:10" x14ac:dyDescent="0.2">
      <c r="A1260" s="5">
        <v>285</v>
      </c>
      <c r="B1260" s="5" t="s">
        <v>249</v>
      </c>
      <c r="C1260" s="5">
        <v>59</v>
      </c>
      <c r="D1260" s="5">
        <f t="shared" si="80"/>
        <v>493.89549345236594</v>
      </c>
      <c r="E1260" s="5">
        <f t="shared" si="82"/>
        <v>0</v>
      </c>
      <c r="F1260" s="5">
        <v>277</v>
      </c>
      <c r="G1260" s="5" t="s">
        <v>53</v>
      </c>
      <c r="H1260" s="5">
        <v>55</v>
      </c>
      <c r="I1260" s="5">
        <f t="shared" si="81"/>
        <v>392.00377257605692</v>
      </c>
      <c r="J1260" s="5">
        <f t="shared" si="83"/>
        <v>0</v>
      </c>
    </row>
    <row r="1261" spans="1:10" x14ac:dyDescent="0.2">
      <c r="A1261" s="5">
        <v>286</v>
      </c>
      <c r="B1261" s="5" t="s">
        <v>247</v>
      </c>
      <c r="C1261" s="5">
        <v>50</v>
      </c>
      <c r="D1261" s="5">
        <f t="shared" si="80"/>
        <v>293.66975814369101</v>
      </c>
      <c r="E1261" s="5">
        <f t="shared" si="82"/>
        <v>9</v>
      </c>
      <c r="F1261" s="5">
        <v>278</v>
      </c>
      <c r="G1261" s="5" t="s">
        <v>54</v>
      </c>
      <c r="H1261" s="5">
        <v>45</v>
      </c>
      <c r="I1261" s="5">
        <f t="shared" si="81"/>
        <v>220.00279814001337</v>
      </c>
      <c r="J1261" s="5">
        <f t="shared" si="83"/>
        <v>10</v>
      </c>
    </row>
    <row r="1262" spans="1:10" x14ac:dyDescent="0.2">
      <c r="A1262" s="5">
        <v>286.5</v>
      </c>
      <c r="B1262" s="5" t="s">
        <v>249</v>
      </c>
      <c r="C1262" s="5">
        <v>59</v>
      </c>
      <c r="D1262" s="5">
        <f t="shared" si="80"/>
        <v>493.89549345236594</v>
      </c>
      <c r="E1262" s="5">
        <f t="shared" si="82"/>
        <v>9</v>
      </c>
      <c r="F1262" s="5">
        <v>278.5</v>
      </c>
      <c r="G1262" s="5" t="s">
        <v>53</v>
      </c>
      <c r="H1262" s="5">
        <v>55</v>
      </c>
      <c r="I1262" s="5">
        <f t="shared" si="81"/>
        <v>392.00377257605692</v>
      </c>
      <c r="J1262" s="5">
        <f t="shared" si="83"/>
        <v>10</v>
      </c>
    </row>
    <row r="1263" spans="1:10" x14ac:dyDescent="0.2">
      <c r="A1263" s="5">
        <v>287</v>
      </c>
      <c r="B1263" s="5" t="s">
        <v>249</v>
      </c>
      <c r="C1263" s="5">
        <v>59</v>
      </c>
      <c r="D1263" s="5">
        <f t="shared" si="80"/>
        <v>493.89549345236594</v>
      </c>
      <c r="E1263" s="5">
        <f t="shared" si="82"/>
        <v>0</v>
      </c>
      <c r="F1263" s="5">
        <v>279</v>
      </c>
      <c r="G1263" s="5" t="s">
        <v>53</v>
      </c>
      <c r="H1263" s="5">
        <v>55</v>
      </c>
      <c r="I1263" s="5">
        <f t="shared" si="81"/>
        <v>392.00377257605692</v>
      </c>
      <c r="J1263" s="5">
        <f t="shared" si="83"/>
        <v>0</v>
      </c>
    </row>
    <row r="1264" spans="1:10" x14ac:dyDescent="0.2">
      <c r="A1264" s="5">
        <v>288</v>
      </c>
      <c r="B1264" s="5" t="s">
        <v>247</v>
      </c>
      <c r="C1264" s="5">
        <v>50</v>
      </c>
      <c r="D1264" s="5">
        <f t="shared" si="80"/>
        <v>293.66975814369101</v>
      </c>
      <c r="E1264" s="5">
        <f t="shared" si="82"/>
        <v>9</v>
      </c>
      <c r="F1264" s="5">
        <v>280</v>
      </c>
      <c r="G1264" s="5" t="s">
        <v>54</v>
      </c>
      <c r="H1264" s="5">
        <v>45</v>
      </c>
      <c r="I1264" s="5">
        <f t="shared" si="81"/>
        <v>220.00279814001337</v>
      </c>
      <c r="J1264" s="5">
        <f t="shared" si="83"/>
        <v>10</v>
      </c>
    </row>
    <row r="1265" spans="1:10" x14ac:dyDescent="0.2">
      <c r="A1265" s="5">
        <v>288.5</v>
      </c>
      <c r="B1265" s="5" t="s">
        <v>249</v>
      </c>
      <c r="C1265" s="5">
        <v>59</v>
      </c>
      <c r="D1265" s="5">
        <f t="shared" si="80"/>
        <v>493.89549345236594</v>
      </c>
      <c r="E1265" s="5">
        <f t="shared" si="82"/>
        <v>9</v>
      </c>
      <c r="F1265" s="5">
        <v>280.5</v>
      </c>
      <c r="G1265" s="5" t="s">
        <v>53</v>
      </c>
      <c r="H1265" s="5">
        <v>55</v>
      </c>
      <c r="I1265" s="5">
        <f t="shared" si="81"/>
        <v>392.00377257605692</v>
      </c>
      <c r="J1265" s="5">
        <f t="shared" si="83"/>
        <v>10</v>
      </c>
    </row>
    <row r="1266" spans="1:10" x14ac:dyDescent="0.2">
      <c r="A1266" s="5">
        <v>289</v>
      </c>
      <c r="B1266" s="5" t="s">
        <v>249</v>
      </c>
      <c r="C1266" s="5">
        <v>59</v>
      </c>
      <c r="D1266" s="5">
        <f t="shared" si="80"/>
        <v>493.89549345236594</v>
      </c>
      <c r="E1266" s="5">
        <f t="shared" si="82"/>
        <v>0</v>
      </c>
      <c r="F1266" s="5">
        <v>281</v>
      </c>
      <c r="G1266" s="5" t="s">
        <v>53</v>
      </c>
      <c r="H1266" s="5">
        <v>55</v>
      </c>
      <c r="I1266" s="5">
        <f t="shared" si="81"/>
        <v>392.00377257605692</v>
      </c>
      <c r="J1266" s="5">
        <f t="shared" si="83"/>
        <v>0</v>
      </c>
    </row>
    <row r="1267" spans="1:10" x14ac:dyDescent="0.2">
      <c r="A1267" s="5">
        <v>290</v>
      </c>
      <c r="B1267" s="5" t="s">
        <v>247</v>
      </c>
      <c r="C1267" s="5">
        <v>50</v>
      </c>
      <c r="D1267" s="5">
        <f t="shared" si="80"/>
        <v>293.66975814369101</v>
      </c>
      <c r="E1267" s="5">
        <f t="shared" si="82"/>
        <v>9</v>
      </c>
      <c r="F1267" s="5">
        <v>282</v>
      </c>
      <c r="G1267" s="5" t="s">
        <v>54</v>
      </c>
      <c r="H1267" s="5">
        <v>45</v>
      </c>
      <c r="I1267" s="5">
        <f t="shared" si="81"/>
        <v>220.00279814001337</v>
      </c>
      <c r="J1267" s="5">
        <f t="shared" si="83"/>
        <v>10</v>
      </c>
    </row>
    <row r="1268" spans="1:10" x14ac:dyDescent="0.2">
      <c r="A1268" s="5">
        <v>290.5</v>
      </c>
      <c r="B1268" s="5" t="s">
        <v>249</v>
      </c>
      <c r="C1268" s="5">
        <v>59</v>
      </c>
      <c r="D1268" s="5">
        <f t="shared" si="80"/>
        <v>493.89549345236594</v>
      </c>
      <c r="E1268" s="5">
        <f t="shared" si="82"/>
        <v>9</v>
      </c>
      <c r="F1268" s="5">
        <v>282.5</v>
      </c>
      <c r="G1268" s="5" t="s">
        <v>53</v>
      </c>
      <c r="H1268" s="5">
        <v>55</v>
      </c>
      <c r="I1268" s="5">
        <f t="shared" si="81"/>
        <v>392.00377257605692</v>
      </c>
      <c r="J1268" s="5">
        <f t="shared" si="83"/>
        <v>10</v>
      </c>
    </row>
    <row r="1269" spans="1:10" x14ac:dyDescent="0.2">
      <c r="A1269" s="5">
        <v>291</v>
      </c>
      <c r="B1269" s="5" t="s">
        <v>249</v>
      </c>
      <c r="C1269" s="5">
        <v>59</v>
      </c>
      <c r="D1269" s="5">
        <f t="shared" si="80"/>
        <v>493.89549345236594</v>
      </c>
      <c r="E1269" s="5">
        <f t="shared" si="82"/>
        <v>0</v>
      </c>
      <c r="F1269" s="5">
        <v>283</v>
      </c>
      <c r="G1269" s="5" t="s">
        <v>53</v>
      </c>
      <c r="H1269" s="5">
        <v>55</v>
      </c>
      <c r="I1269" s="5">
        <f t="shared" si="81"/>
        <v>392.00377257605692</v>
      </c>
      <c r="J1269" s="5">
        <f t="shared" si="83"/>
        <v>0</v>
      </c>
    </row>
    <row r="1270" spans="1:10" x14ac:dyDescent="0.2">
      <c r="A1270" s="5">
        <v>292</v>
      </c>
      <c r="B1270" s="5" t="s">
        <v>247</v>
      </c>
      <c r="C1270" s="5">
        <v>50</v>
      </c>
      <c r="D1270" s="5">
        <f t="shared" si="80"/>
        <v>293.66975814369101</v>
      </c>
      <c r="E1270" s="5">
        <f t="shared" si="82"/>
        <v>9</v>
      </c>
      <c r="F1270" s="5">
        <v>284</v>
      </c>
      <c r="G1270" s="5" t="s">
        <v>54</v>
      </c>
      <c r="H1270" s="5">
        <v>45</v>
      </c>
      <c r="I1270" s="5">
        <f t="shared" si="81"/>
        <v>220.00279814001337</v>
      </c>
      <c r="J1270" s="5">
        <f t="shared" si="83"/>
        <v>10</v>
      </c>
    </row>
    <row r="1271" spans="1:10" x14ac:dyDescent="0.2">
      <c r="A1271" s="5">
        <v>292.5</v>
      </c>
      <c r="B1271" s="5" t="s">
        <v>249</v>
      </c>
      <c r="C1271" s="5">
        <v>59</v>
      </c>
      <c r="D1271" s="5">
        <f t="shared" si="80"/>
        <v>493.89549345236594</v>
      </c>
      <c r="E1271" s="5">
        <f t="shared" si="82"/>
        <v>9</v>
      </c>
      <c r="F1271" s="5">
        <v>284.5</v>
      </c>
      <c r="G1271" s="5" t="s">
        <v>53</v>
      </c>
      <c r="H1271" s="5">
        <v>55</v>
      </c>
      <c r="I1271" s="5">
        <f t="shared" si="81"/>
        <v>392.00377257605692</v>
      </c>
      <c r="J1271" s="5">
        <f t="shared" si="83"/>
        <v>10</v>
      </c>
    </row>
    <row r="1272" spans="1:10" x14ac:dyDescent="0.2">
      <c r="A1272" s="5">
        <v>293</v>
      </c>
      <c r="B1272" s="5" t="s">
        <v>249</v>
      </c>
      <c r="C1272" s="5">
        <v>59</v>
      </c>
      <c r="D1272" s="5">
        <f t="shared" si="80"/>
        <v>493.89549345236594</v>
      </c>
      <c r="E1272" s="5">
        <f t="shared" si="82"/>
        <v>0</v>
      </c>
      <c r="F1272" s="5">
        <v>285</v>
      </c>
      <c r="G1272" s="5" t="s">
        <v>53</v>
      </c>
      <c r="H1272" s="5">
        <v>55</v>
      </c>
      <c r="I1272" s="5">
        <f t="shared" si="81"/>
        <v>392.00377257605692</v>
      </c>
      <c r="J1272" s="5">
        <f t="shared" si="83"/>
        <v>0</v>
      </c>
    </row>
    <row r="1273" spans="1:10" x14ac:dyDescent="0.2">
      <c r="A1273" s="5">
        <v>294</v>
      </c>
      <c r="B1273" s="5" t="s">
        <v>247</v>
      </c>
      <c r="C1273" s="5">
        <v>50</v>
      </c>
      <c r="D1273" s="5">
        <f t="shared" si="80"/>
        <v>293.66975814369101</v>
      </c>
      <c r="E1273" s="5">
        <f t="shared" si="82"/>
        <v>9</v>
      </c>
      <c r="F1273" s="5">
        <v>286</v>
      </c>
      <c r="G1273" s="5" t="s">
        <v>54</v>
      </c>
      <c r="H1273" s="5">
        <v>45</v>
      </c>
      <c r="I1273" s="5">
        <f t="shared" si="81"/>
        <v>220.00279814001337</v>
      </c>
      <c r="J1273" s="5">
        <f t="shared" si="83"/>
        <v>10</v>
      </c>
    </row>
    <row r="1274" spans="1:10" x14ac:dyDescent="0.2">
      <c r="A1274" s="5">
        <v>294.5</v>
      </c>
      <c r="B1274" s="5" t="s">
        <v>249</v>
      </c>
      <c r="C1274" s="5">
        <v>59</v>
      </c>
      <c r="D1274" s="5">
        <f t="shared" si="80"/>
        <v>493.89549345236594</v>
      </c>
      <c r="E1274" s="5">
        <f t="shared" si="82"/>
        <v>9</v>
      </c>
      <c r="F1274" s="5">
        <v>286.5</v>
      </c>
      <c r="G1274" s="5" t="s">
        <v>53</v>
      </c>
      <c r="H1274" s="5">
        <v>55</v>
      </c>
      <c r="I1274" s="5">
        <f t="shared" si="81"/>
        <v>392.00377257605692</v>
      </c>
      <c r="J1274" s="5">
        <f t="shared" si="83"/>
        <v>10</v>
      </c>
    </row>
    <row r="1275" spans="1:10" x14ac:dyDescent="0.2">
      <c r="A1275" s="5">
        <v>295</v>
      </c>
      <c r="B1275" s="5" t="s">
        <v>249</v>
      </c>
      <c r="C1275" s="5">
        <v>59</v>
      </c>
      <c r="D1275" s="5">
        <f t="shared" si="80"/>
        <v>493.89549345236594</v>
      </c>
      <c r="E1275" s="5">
        <f t="shared" si="82"/>
        <v>0</v>
      </c>
      <c r="F1275" s="5">
        <v>287</v>
      </c>
      <c r="G1275" s="5" t="s">
        <v>53</v>
      </c>
      <c r="H1275" s="5">
        <v>55</v>
      </c>
      <c r="I1275" s="5">
        <f t="shared" si="81"/>
        <v>392.00377257605692</v>
      </c>
      <c r="J1275" s="5">
        <f t="shared" si="83"/>
        <v>0</v>
      </c>
    </row>
    <row r="1276" spans="1:10" x14ac:dyDescent="0.2">
      <c r="A1276" s="5">
        <v>296</v>
      </c>
      <c r="B1276" s="5" t="s">
        <v>247</v>
      </c>
      <c r="C1276" s="5">
        <v>50</v>
      </c>
      <c r="D1276" s="5">
        <f t="shared" si="80"/>
        <v>293.66975814369101</v>
      </c>
      <c r="E1276" s="5">
        <f t="shared" si="82"/>
        <v>9</v>
      </c>
      <c r="F1276" s="5">
        <v>288</v>
      </c>
      <c r="G1276" s="5" t="s">
        <v>54</v>
      </c>
      <c r="H1276" s="5">
        <v>45</v>
      </c>
      <c r="I1276" s="5">
        <f t="shared" si="81"/>
        <v>220.00279814001337</v>
      </c>
      <c r="J1276" s="5">
        <f t="shared" si="83"/>
        <v>10</v>
      </c>
    </row>
    <row r="1277" spans="1:10" x14ac:dyDescent="0.2">
      <c r="A1277" s="5">
        <v>296.5</v>
      </c>
      <c r="B1277" s="5" t="s">
        <v>249</v>
      </c>
      <c r="C1277" s="5">
        <v>59</v>
      </c>
      <c r="D1277" s="5">
        <f t="shared" si="80"/>
        <v>493.89549345236594</v>
      </c>
      <c r="E1277" s="5">
        <f t="shared" si="82"/>
        <v>9</v>
      </c>
      <c r="F1277" s="5">
        <v>288.5</v>
      </c>
      <c r="G1277" s="5" t="s">
        <v>53</v>
      </c>
      <c r="H1277" s="5">
        <v>55</v>
      </c>
      <c r="I1277" s="5">
        <f t="shared" si="81"/>
        <v>392.00377257605692</v>
      </c>
      <c r="J1277" s="5">
        <f t="shared" si="83"/>
        <v>10</v>
      </c>
    </row>
    <row r="1278" spans="1:10" x14ac:dyDescent="0.2">
      <c r="A1278" s="5">
        <v>297</v>
      </c>
      <c r="B1278" s="5" t="s">
        <v>249</v>
      </c>
      <c r="C1278" s="5">
        <v>59</v>
      </c>
      <c r="D1278" s="5">
        <f t="shared" si="80"/>
        <v>493.89549345236594</v>
      </c>
      <c r="E1278" s="5">
        <f t="shared" si="82"/>
        <v>0</v>
      </c>
      <c r="F1278" s="5">
        <v>289</v>
      </c>
      <c r="G1278" s="5" t="s">
        <v>53</v>
      </c>
      <c r="H1278" s="5">
        <v>55</v>
      </c>
      <c r="I1278" s="5">
        <f t="shared" si="81"/>
        <v>392.00377257605692</v>
      </c>
      <c r="J1278" s="5">
        <f t="shared" si="83"/>
        <v>0</v>
      </c>
    </row>
    <row r="1279" spans="1:10" x14ac:dyDescent="0.2">
      <c r="A1279" s="5">
        <v>298</v>
      </c>
      <c r="B1279" s="5" t="s">
        <v>247</v>
      </c>
      <c r="C1279" s="5">
        <v>50</v>
      </c>
      <c r="D1279" s="5">
        <f t="shared" si="80"/>
        <v>293.66975814369101</v>
      </c>
      <c r="E1279" s="5">
        <f t="shared" si="82"/>
        <v>9</v>
      </c>
      <c r="F1279" s="5">
        <v>290</v>
      </c>
      <c r="G1279" s="5" t="s">
        <v>54</v>
      </c>
      <c r="H1279" s="5">
        <v>45</v>
      </c>
      <c r="I1279" s="5">
        <f t="shared" si="81"/>
        <v>220.00279814001337</v>
      </c>
      <c r="J1279" s="5">
        <f t="shared" si="83"/>
        <v>10</v>
      </c>
    </row>
    <row r="1280" spans="1:10" x14ac:dyDescent="0.2">
      <c r="A1280" s="5">
        <v>298.5</v>
      </c>
      <c r="B1280" s="5" t="s">
        <v>249</v>
      </c>
      <c r="C1280" s="5">
        <v>59</v>
      </c>
      <c r="D1280" s="5">
        <f t="shared" si="80"/>
        <v>493.89549345236594</v>
      </c>
      <c r="E1280" s="5">
        <f t="shared" si="82"/>
        <v>9</v>
      </c>
      <c r="F1280" s="5">
        <v>290.5</v>
      </c>
      <c r="G1280" s="5" t="s">
        <v>53</v>
      </c>
      <c r="H1280" s="5">
        <v>55</v>
      </c>
      <c r="I1280" s="5">
        <f t="shared" si="81"/>
        <v>392.00377257605692</v>
      </c>
      <c r="J1280" s="5">
        <f t="shared" si="83"/>
        <v>10</v>
      </c>
    </row>
    <row r="1281" spans="1:10" x14ac:dyDescent="0.2">
      <c r="A1281" s="5">
        <v>299</v>
      </c>
      <c r="B1281" s="5" t="s">
        <v>249</v>
      </c>
      <c r="C1281" s="5">
        <v>59</v>
      </c>
      <c r="D1281" s="5">
        <f t="shared" si="80"/>
        <v>493.89549345236594</v>
      </c>
      <c r="E1281" s="5">
        <f t="shared" si="82"/>
        <v>0</v>
      </c>
      <c r="F1281" s="5">
        <v>291</v>
      </c>
      <c r="G1281" s="5" t="s">
        <v>53</v>
      </c>
      <c r="H1281" s="5">
        <v>55</v>
      </c>
      <c r="I1281" s="5">
        <f t="shared" si="81"/>
        <v>392.00377257605692</v>
      </c>
      <c r="J1281" s="5">
        <f t="shared" si="83"/>
        <v>0</v>
      </c>
    </row>
    <row r="1282" spans="1:10" x14ac:dyDescent="0.2">
      <c r="A1282" s="5">
        <v>301</v>
      </c>
      <c r="B1282" s="5" t="s">
        <v>38</v>
      </c>
      <c r="C1282" s="5">
        <v>52</v>
      </c>
      <c r="D1282" s="5">
        <f t="shared" si="80"/>
        <v>329.63372180082422</v>
      </c>
      <c r="E1282" s="5">
        <f t="shared" si="82"/>
        <v>7</v>
      </c>
      <c r="F1282" s="5">
        <v>292</v>
      </c>
      <c r="G1282" s="5" t="s">
        <v>54</v>
      </c>
      <c r="H1282" s="5">
        <v>45</v>
      </c>
      <c r="I1282" s="5">
        <f t="shared" si="81"/>
        <v>220.00279814001337</v>
      </c>
      <c r="J1282" s="5">
        <f t="shared" si="83"/>
        <v>10</v>
      </c>
    </row>
    <row r="1283" spans="1:10" x14ac:dyDescent="0.2">
      <c r="A1283" s="5">
        <v>302</v>
      </c>
      <c r="B1283" s="5" t="s">
        <v>248</v>
      </c>
      <c r="C1283" s="5">
        <v>57</v>
      </c>
      <c r="D1283" s="5">
        <f t="shared" si="80"/>
        <v>440.01010976071973</v>
      </c>
      <c r="E1283" s="5">
        <f t="shared" si="82"/>
        <v>5</v>
      </c>
      <c r="F1283" s="5">
        <v>292.5</v>
      </c>
      <c r="G1283" s="5" t="s">
        <v>53</v>
      </c>
      <c r="H1283" s="5">
        <v>55</v>
      </c>
      <c r="I1283" s="5">
        <f t="shared" si="81"/>
        <v>392.00377257605692</v>
      </c>
      <c r="J1283" s="5">
        <f t="shared" si="83"/>
        <v>10</v>
      </c>
    </row>
    <row r="1284" spans="1:10" x14ac:dyDescent="0.2">
      <c r="A1284" s="5">
        <v>303.5</v>
      </c>
      <c r="B1284" s="5" t="s">
        <v>38</v>
      </c>
      <c r="C1284" s="5">
        <v>52</v>
      </c>
      <c r="D1284" s="5">
        <f t="shared" si="80"/>
        <v>329.63372180082422</v>
      </c>
      <c r="E1284" s="5">
        <f t="shared" si="82"/>
        <v>5</v>
      </c>
      <c r="F1284" s="5">
        <v>293</v>
      </c>
      <c r="G1284" s="5" t="s">
        <v>53</v>
      </c>
      <c r="H1284" s="5">
        <v>55</v>
      </c>
      <c r="I1284" s="5">
        <f t="shared" si="81"/>
        <v>392.00377257605692</v>
      </c>
      <c r="J1284" s="5">
        <f t="shared" si="83"/>
        <v>0</v>
      </c>
    </row>
    <row r="1285" spans="1:10" x14ac:dyDescent="0.2">
      <c r="A1285" s="5">
        <v>304</v>
      </c>
      <c r="B1285" s="5" t="s">
        <v>38</v>
      </c>
      <c r="C1285" s="5">
        <v>52</v>
      </c>
      <c r="D1285" s="5">
        <f t="shared" si="80"/>
        <v>329.63372180082422</v>
      </c>
      <c r="E1285" s="5">
        <f t="shared" si="82"/>
        <v>0</v>
      </c>
      <c r="F1285" s="5">
        <v>294</v>
      </c>
      <c r="G1285" s="5" t="s">
        <v>54</v>
      </c>
      <c r="H1285" s="5">
        <v>45</v>
      </c>
      <c r="I1285" s="5">
        <f t="shared" si="81"/>
        <v>220.00279814001337</v>
      </c>
      <c r="J1285" s="5">
        <f t="shared" si="83"/>
        <v>10</v>
      </c>
    </row>
    <row r="1286" spans="1:10" x14ac:dyDescent="0.2">
      <c r="A1286" s="5">
        <v>305</v>
      </c>
      <c r="B1286" s="5" t="s">
        <v>250</v>
      </c>
      <c r="C1286" s="5">
        <v>55</v>
      </c>
      <c r="D1286" s="5">
        <f t="shared" si="80"/>
        <v>392.00377257605692</v>
      </c>
      <c r="E1286" s="5">
        <f t="shared" si="82"/>
        <v>3</v>
      </c>
      <c r="F1286" s="5">
        <v>294.5</v>
      </c>
      <c r="G1286" s="5" t="s">
        <v>53</v>
      </c>
      <c r="H1286" s="5">
        <v>55</v>
      </c>
      <c r="I1286" s="5">
        <f t="shared" si="81"/>
        <v>392.00377257605692</v>
      </c>
      <c r="J1286" s="5">
        <f t="shared" si="83"/>
        <v>10</v>
      </c>
    </row>
    <row r="1287" spans="1:10" x14ac:dyDescent="0.2">
      <c r="A1287" s="5">
        <v>305.75</v>
      </c>
      <c r="B1287" s="5" t="s">
        <v>247</v>
      </c>
      <c r="C1287" s="5">
        <v>50</v>
      </c>
      <c r="D1287" s="5">
        <f t="shared" si="80"/>
        <v>293.66975814369101</v>
      </c>
      <c r="E1287" s="5">
        <f t="shared" si="82"/>
        <v>5</v>
      </c>
      <c r="F1287" s="5">
        <v>295</v>
      </c>
      <c r="G1287" s="5" t="s">
        <v>53</v>
      </c>
      <c r="H1287" s="5">
        <v>55</v>
      </c>
      <c r="I1287" s="5">
        <f t="shared" si="81"/>
        <v>392.00377257605692</v>
      </c>
      <c r="J1287" s="5">
        <f t="shared" si="83"/>
        <v>0</v>
      </c>
    </row>
    <row r="1288" spans="1:10" x14ac:dyDescent="0.2">
      <c r="A1288" s="5">
        <v>309.5</v>
      </c>
      <c r="B1288" s="5" t="s">
        <v>208</v>
      </c>
      <c r="C1288" s="5">
        <v>67</v>
      </c>
      <c r="D1288" s="5">
        <f t="shared" si="80"/>
        <v>784.01558732918636</v>
      </c>
      <c r="E1288" s="5">
        <f t="shared" si="82"/>
        <v>17</v>
      </c>
      <c r="F1288" s="5">
        <v>296</v>
      </c>
      <c r="G1288" s="5" t="s">
        <v>54</v>
      </c>
      <c r="H1288" s="5">
        <v>45</v>
      </c>
      <c r="I1288" s="5">
        <f t="shared" si="81"/>
        <v>220.00279814001337</v>
      </c>
      <c r="J1288" s="5">
        <f t="shared" si="83"/>
        <v>10</v>
      </c>
    </row>
    <row r="1289" spans="1:10" x14ac:dyDescent="0.2">
      <c r="A1289" s="5">
        <v>312</v>
      </c>
      <c r="B1289" s="5" t="s">
        <v>77</v>
      </c>
      <c r="C1289" s="5">
        <v>69</v>
      </c>
      <c r="D1289" s="5">
        <f t="shared" si="80"/>
        <v>880.02924657542201</v>
      </c>
      <c r="E1289" s="5">
        <f t="shared" si="82"/>
        <v>2</v>
      </c>
      <c r="F1289" s="5">
        <v>296.5</v>
      </c>
      <c r="G1289" s="5" t="s">
        <v>53</v>
      </c>
      <c r="H1289" s="5">
        <v>55</v>
      </c>
      <c r="I1289" s="5">
        <f t="shared" si="81"/>
        <v>392.00377257605692</v>
      </c>
      <c r="J1289" s="5">
        <f t="shared" si="83"/>
        <v>10</v>
      </c>
    </row>
    <row r="1290" spans="1:10" x14ac:dyDescent="0.2">
      <c r="A1290" s="5">
        <v>315</v>
      </c>
      <c r="B1290" s="5" t="s">
        <v>79</v>
      </c>
      <c r="C1290" s="5">
        <v>70</v>
      </c>
      <c r="D1290" s="5">
        <f t="shared" si="80"/>
        <v>932.35930569378297</v>
      </c>
      <c r="E1290" s="5">
        <f t="shared" si="82"/>
        <v>1</v>
      </c>
      <c r="F1290" s="5">
        <v>297</v>
      </c>
      <c r="G1290" s="5" t="s">
        <v>53</v>
      </c>
      <c r="H1290" s="5">
        <v>55</v>
      </c>
      <c r="I1290" s="5">
        <f t="shared" si="81"/>
        <v>392.00377257605692</v>
      </c>
      <c r="J1290" s="5">
        <f t="shared" si="83"/>
        <v>0</v>
      </c>
    </row>
    <row r="1291" spans="1:10" x14ac:dyDescent="0.2">
      <c r="A1291" s="5">
        <v>318</v>
      </c>
      <c r="B1291" s="5" t="s">
        <v>76</v>
      </c>
      <c r="C1291" s="5">
        <v>72</v>
      </c>
      <c r="D1291" s="5">
        <f t="shared" si="80"/>
        <v>1046.5397252143878</v>
      </c>
      <c r="E1291" s="5">
        <f t="shared" si="82"/>
        <v>2</v>
      </c>
      <c r="F1291" s="5">
        <v>298</v>
      </c>
      <c r="G1291" s="5" t="s">
        <v>54</v>
      </c>
      <c r="H1291" s="5">
        <v>45</v>
      </c>
      <c r="I1291" s="5">
        <f t="shared" si="81"/>
        <v>220.00279814001337</v>
      </c>
      <c r="J1291" s="5">
        <f t="shared" si="83"/>
        <v>10</v>
      </c>
    </row>
    <row r="1292" spans="1:10" x14ac:dyDescent="0.2">
      <c r="A1292" s="5">
        <v>321</v>
      </c>
      <c r="B1292" s="5" t="s">
        <v>117</v>
      </c>
      <c r="C1292" s="5">
        <v>71</v>
      </c>
      <c r="D1292" s="5">
        <f t="shared" si="80"/>
        <v>987.80111944755811</v>
      </c>
      <c r="E1292" s="5">
        <f t="shared" si="82"/>
        <v>1</v>
      </c>
      <c r="F1292" s="5">
        <v>298.5</v>
      </c>
      <c r="G1292" s="5" t="s">
        <v>53</v>
      </c>
      <c r="H1292" s="5">
        <v>55</v>
      </c>
      <c r="I1292" s="5">
        <f t="shared" si="81"/>
        <v>392.00377257605692</v>
      </c>
      <c r="J1292" s="5">
        <f t="shared" si="83"/>
        <v>10</v>
      </c>
    </row>
    <row r="1293" spans="1:10" x14ac:dyDescent="0.2">
      <c r="A1293" s="5"/>
      <c r="B1293" s="5"/>
      <c r="C1293" s="5"/>
      <c r="D1293" s="5"/>
      <c r="E1293" s="5"/>
      <c r="F1293" s="5">
        <v>299</v>
      </c>
      <c r="G1293" s="5" t="s">
        <v>53</v>
      </c>
      <c r="H1293" s="5">
        <v>55</v>
      </c>
      <c r="I1293" s="5">
        <f t="shared" si="81"/>
        <v>392.00377257605692</v>
      </c>
      <c r="J1293" s="5">
        <f t="shared" si="83"/>
        <v>0</v>
      </c>
    </row>
    <row r="1294" spans="1:10" x14ac:dyDescent="0.2">
      <c r="A1294" s="5"/>
      <c r="B1294" s="5"/>
      <c r="C1294" s="5"/>
      <c r="D1294" s="5"/>
      <c r="E1294" s="5"/>
      <c r="F1294" s="5">
        <v>300</v>
      </c>
      <c r="G1294" s="5" t="s">
        <v>120</v>
      </c>
      <c r="H1294" s="5">
        <v>48</v>
      </c>
      <c r="I1294" s="5">
        <f t="shared" si="81"/>
        <v>261.62956379894968</v>
      </c>
      <c r="J1294" s="5">
        <f t="shared" si="83"/>
        <v>7</v>
      </c>
    </row>
    <row r="1295" spans="1:10" x14ac:dyDescent="0.2">
      <c r="A1295" s="5"/>
      <c r="B1295" s="5"/>
      <c r="C1295" s="5"/>
      <c r="D1295" s="5"/>
      <c r="E1295" s="5"/>
      <c r="F1295" s="5">
        <v>308</v>
      </c>
      <c r="G1295" s="5" t="s">
        <v>53</v>
      </c>
      <c r="H1295" s="5">
        <v>55</v>
      </c>
      <c r="I1295" s="5">
        <f t="shared" si="81"/>
        <v>392.00377257605692</v>
      </c>
      <c r="J1295" s="5">
        <f t="shared" si="83"/>
        <v>7</v>
      </c>
    </row>
    <row r="1296" spans="1:10" x14ac:dyDescent="0.2">
      <c r="A1296" s="5"/>
      <c r="B1296" s="5"/>
      <c r="C1296" s="5"/>
      <c r="D1296" s="5"/>
      <c r="E1296" s="5"/>
      <c r="F1296" s="5">
        <v>310.75</v>
      </c>
      <c r="G1296" s="5" t="s">
        <v>53</v>
      </c>
      <c r="H1296" s="5">
        <v>55</v>
      </c>
      <c r="I1296" s="5">
        <f t="shared" si="81"/>
        <v>392.00377257605692</v>
      </c>
      <c r="J1296" s="5">
        <f t="shared" si="83"/>
        <v>0</v>
      </c>
    </row>
    <row r="1297" spans="1:12" x14ac:dyDescent="0.2">
      <c r="A1297" s="5"/>
      <c r="B1297" s="5"/>
      <c r="C1297" s="5"/>
      <c r="D1297" s="5"/>
      <c r="E1297" s="5"/>
      <c r="F1297" s="5">
        <v>311.5</v>
      </c>
      <c r="G1297" s="5" t="s">
        <v>89</v>
      </c>
      <c r="H1297" s="5">
        <v>65</v>
      </c>
      <c r="I1297" s="5">
        <f t="shared" si="81"/>
        <v>698.47728762097279</v>
      </c>
      <c r="J1297" s="5">
        <f t="shared" si="83"/>
        <v>10</v>
      </c>
    </row>
    <row r="1298" spans="1:12" x14ac:dyDescent="0.2">
      <c r="A1298" s="5"/>
      <c r="B1298" s="5"/>
      <c r="C1298" s="5"/>
      <c r="D1298" s="5"/>
      <c r="E1298" s="5"/>
      <c r="F1298" s="5">
        <v>314</v>
      </c>
      <c r="G1298" s="5" t="s">
        <v>92</v>
      </c>
      <c r="H1298" s="5">
        <v>58</v>
      </c>
      <c r="I1298" s="5">
        <f t="shared" si="81"/>
        <v>466.17487092753117</v>
      </c>
      <c r="J1298" s="5">
        <f t="shared" si="83"/>
        <v>7</v>
      </c>
    </row>
    <row r="1299" spans="1:12" x14ac:dyDescent="0.2">
      <c r="A1299" s="5"/>
      <c r="B1299" s="5"/>
      <c r="C1299" s="5"/>
      <c r="D1299" s="5"/>
      <c r="E1299" s="5"/>
      <c r="F1299" s="5">
        <v>316.75</v>
      </c>
      <c r="G1299" s="5" t="s">
        <v>94</v>
      </c>
      <c r="H1299" s="5">
        <v>58</v>
      </c>
      <c r="I1299" s="5">
        <f t="shared" si="81"/>
        <v>466.17487092753117</v>
      </c>
      <c r="J1299" s="5">
        <f t="shared" si="83"/>
        <v>0</v>
      </c>
    </row>
    <row r="1300" spans="1:12" x14ac:dyDescent="0.2">
      <c r="A1300" s="5"/>
      <c r="B1300" s="5"/>
      <c r="C1300" s="5"/>
      <c r="D1300" s="5"/>
      <c r="E1300" s="5"/>
      <c r="F1300" s="5">
        <v>317.5</v>
      </c>
      <c r="G1300" s="5" t="s">
        <v>96</v>
      </c>
      <c r="H1300" s="5">
        <v>69</v>
      </c>
      <c r="I1300" s="5">
        <f t="shared" si="81"/>
        <v>880.02924657542201</v>
      </c>
      <c r="J1300" s="5">
        <f t="shared" si="83"/>
        <v>11</v>
      </c>
    </row>
    <row r="1302" spans="1:12" x14ac:dyDescent="0.2">
      <c r="A1302" s="5"/>
    </row>
    <row r="1303" spans="1:12" x14ac:dyDescent="0.2">
      <c r="A1303" s="5" t="s">
        <v>353</v>
      </c>
      <c r="B1303" s="5" t="s">
        <v>214</v>
      </c>
      <c r="C1303" s="5" t="s">
        <v>215</v>
      </c>
      <c r="D1303" s="5" t="s">
        <v>216</v>
      </c>
      <c r="E1303" s="5"/>
      <c r="F1303" s="5" t="s">
        <v>353</v>
      </c>
      <c r="G1303" s="5" t="s">
        <v>98</v>
      </c>
      <c r="H1303" s="5" t="s">
        <v>99</v>
      </c>
      <c r="I1303" s="5" t="s">
        <v>216</v>
      </c>
      <c r="J1303" s="5"/>
      <c r="K1303" s="5" t="s">
        <v>402</v>
      </c>
      <c r="L1303" s="5"/>
    </row>
    <row r="1304" spans="1:12" x14ac:dyDescent="0.2">
      <c r="A1304" s="5">
        <v>4</v>
      </c>
      <c r="B1304" s="5" t="s">
        <v>247</v>
      </c>
      <c r="C1304" s="5">
        <v>50</v>
      </c>
      <c r="D1304" s="5">
        <f t="shared" ref="D1304:D1367" si="84">16.35117682*1.059464^C1304</f>
        <v>293.66975814369101</v>
      </c>
      <c r="E1304" s="5"/>
      <c r="F1304" s="5">
        <v>4</v>
      </c>
      <c r="G1304" s="5" t="s">
        <v>335</v>
      </c>
      <c r="H1304" s="5">
        <v>45</v>
      </c>
      <c r="I1304" s="5">
        <f t="shared" ref="I1304:I1367" si="85">16.35117682*1.059464^H1304</f>
        <v>220.00279814001337</v>
      </c>
      <c r="J1304" s="5"/>
      <c r="K1304" s="5"/>
      <c r="L1304" s="5"/>
    </row>
    <row r="1305" spans="1:12" x14ac:dyDescent="0.2">
      <c r="A1305" s="5">
        <v>5</v>
      </c>
      <c r="B1305" s="5" t="s">
        <v>250</v>
      </c>
      <c r="C1305" s="5">
        <v>55</v>
      </c>
      <c r="D1305" s="5">
        <f t="shared" si="84"/>
        <v>392.00377257605692</v>
      </c>
      <c r="E1305" s="5">
        <f t="shared" ref="E1305:E1368" si="86">ABS( C1305-C1304)</f>
        <v>5</v>
      </c>
      <c r="F1305" s="5">
        <v>5</v>
      </c>
      <c r="G1305" s="5" t="s">
        <v>250</v>
      </c>
      <c r="H1305" s="5">
        <v>55</v>
      </c>
      <c r="I1305" s="5">
        <f t="shared" si="85"/>
        <v>392.00377257605692</v>
      </c>
      <c r="J1305" s="5">
        <f t="shared" ref="J1305:J1368" si="87">ABS( H1305-H1304)</f>
        <v>10</v>
      </c>
      <c r="K1305" s="5" t="s">
        <v>355</v>
      </c>
      <c r="L1305" s="5" t="s">
        <v>396</v>
      </c>
    </row>
    <row r="1306" spans="1:12" x14ac:dyDescent="0.2">
      <c r="A1306" s="5">
        <v>7</v>
      </c>
      <c r="B1306" s="5" t="s">
        <v>250</v>
      </c>
      <c r="C1306" s="5">
        <v>55</v>
      </c>
      <c r="D1306" s="5">
        <f t="shared" si="84"/>
        <v>392.00377257605692</v>
      </c>
      <c r="E1306" s="5">
        <f t="shared" si="86"/>
        <v>0</v>
      </c>
      <c r="F1306" s="5">
        <v>7</v>
      </c>
      <c r="G1306" s="5" t="s">
        <v>250</v>
      </c>
      <c r="H1306" s="5">
        <v>55</v>
      </c>
      <c r="I1306" s="5">
        <f t="shared" si="85"/>
        <v>392.00377257605692</v>
      </c>
      <c r="J1306" s="5">
        <f t="shared" si="87"/>
        <v>0</v>
      </c>
      <c r="K1306" s="5">
        <f>SUM(E1305:E1515)</f>
        <v>889</v>
      </c>
      <c r="L1306" s="5">
        <f>1515-1303</f>
        <v>212</v>
      </c>
    </row>
    <row r="1307" spans="1:12" x14ac:dyDescent="0.2">
      <c r="A1307" s="5">
        <v>8.5</v>
      </c>
      <c r="B1307" s="5" t="s">
        <v>250</v>
      </c>
      <c r="C1307" s="5">
        <v>55</v>
      </c>
      <c r="D1307" s="5">
        <f t="shared" si="84"/>
        <v>392.00377257605692</v>
      </c>
      <c r="E1307" s="5">
        <f t="shared" si="86"/>
        <v>0</v>
      </c>
      <c r="F1307" s="5">
        <v>8.5</v>
      </c>
      <c r="G1307" s="5" t="s">
        <v>250</v>
      </c>
      <c r="H1307" s="5">
        <v>55</v>
      </c>
      <c r="I1307" s="5">
        <f t="shared" si="85"/>
        <v>392.00377257605692</v>
      </c>
      <c r="J1307" s="5">
        <f t="shared" si="87"/>
        <v>0</v>
      </c>
      <c r="K1307" s="5"/>
      <c r="L1307" s="5"/>
    </row>
    <row r="1308" spans="1:12" x14ac:dyDescent="0.2">
      <c r="A1308" s="5">
        <v>10</v>
      </c>
      <c r="B1308" s="5" t="s">
        <v>250</v>
      </c>
      <c r="C1308" s="5">
        <v>55</v>
      </c>
      <c r="D1308" s="5">
        <f t="shared" si="84"/>
        <v>392.00377257605692</v>
      </c>
      <c r="E1308" s="5">
        <f t="shared" si="86"/>
        <v>0</v>
      </c>
      <c r="F1308" s="5">
        <v>10</v>
      </c>
      <c r="G1308" s="5" t="s">
        <v>250</v>
      </c>
      <c r="H1308" s="5">
        <v>55</v>
      </c>
      <c r="I1308" s="5">
        <f t="shared" si="85"/>
        <v>392.00377257605692</v>
      </c>
      <c r="J1308" s="5">
        <f t="shared" si="87"/>
        <v>0</v>
      </c>
      <c r="K1308" s="5" t="s">
        <v>356</v>
      </c>
      <c r="L1308" s="5"/>
    </row>
    <row r="1309" spans="1:12" x14ac:dyDescent="0.2">
      <c r="A1309" s="5">
        <v>12</v>
      </c>
      <c r="B1309" s="5" t="s">
        <v>247</v>
      </c>
      <c r="C1309" s="5">
        <v>50</v>
      </c>
      <c r="D1309" s="5">
        <f t="shared" si="84"/>
        <v>293.66975814369101</v>
      </c>
      <c r="E1309" s="5">
        <f t="shared" si="86"/>
        <v>5</v>
      </c>
      <c r="F1309" s="5">
        <v>12</v>
      </c>
      <c r="G1309" s="5" t="s">
        <v>335</v>
      </c>
      <c r="H1309" s="5">
        <v>45</v>
      </c>
      <c r="I1309" s="5">
        <f t="shared" si="85"/>
        <v>220.00279814001337</v>
      </c>
      <c r="J1309" s="5">
        <f t="shared" si="87"/>
        <v>10</v>
      </c>
      <c r="K1309" s="5">
        <f>K1306/(L1306-1)</f>
        <v>4.2132701421800949</v>
      </c>
      <c r="L1309" s="5"/>
    </row>
    <row r="1310" spans="1:12" x14ac:dyDescent="0.2">
      <c r="A1310" s="5">
        <v>13</v>
      </c>
      <c r="B1310" s="5" t="s">
        <v>250</v>
      </c>
      <c r="C1310" s="5">
        <v>55</v>
      </c>
      <c r="D1310" s="5">
        <f t="shared" si="84"/>
        <v>392.00377257605692</v>
      </c>
      <c r="E1310" s="5">
        <f t="shared" si="86"/>
        <v>5</v>
      </c>
      <c r="F1310" s="5">
        <v>13</v>
      </c>
      <c r="G1310" s="5" t="s">
        <v>250</v>
      </c>
      <c r="H1310" s="5">
        <v>55</v>
      </c>
      <c r="I1310" s="5">
        <f t="shared" si="85"/>
        <v>392.00377257605692</v>
      </c>
      <c r="J1310" s="5">
        <f t="shared" si="87"/>
        <v>10</v>
      </c>
      <c r="K1310" s="5"/>
      <c r="L1310" s="5"/>
    </row>
    <row r="1311" spans="1:12" x14ac:dyDescent="0.2">
      <c r="A1311" s="5">
        <v>15</v>
      </c>
      <c r="B1311" s="5" t="s">
        <v>250</v>
      </c>
      <c r="C1311" s="5">
        <v>55</v>
      </c>
      <c r="D1311" s="5">
        <f t="shared" si="84"/>
        <v>392.00377257605692</v>
      </c>
      <c r="E1311" s="5">
        <f t="shared" si="86"/>
        <v>0</v>
      </c>
      <c r="F1311" s="5">
        <v>15</v>
      </c>
      <c r="G1311" s="5" t="s">
        <v>250</v>
      </c>
      <c r="H1311" s="5">
        <v>55</v>
      </c>
      <c r="I1311" s="5">
        <f t="shared" si="85"/>
        <v>392.00377257605692</v>
      </c>
      <c r="J1311" s="5">
        <f t="shared" si="87"/>
        <v>0</v>
      </c>
      <c r="K1311" s="5"/>
      <c r="L1311" s="5"/>
    </row>
    <row r="1312" spans="1:12" x14ac:dyDescent="0.2">
      <c r="A1312" s="5">
        <v>16.5</v>
      </c>
      <c r="B1312" s="5" t="s">
        <v>250</v>
      </c>
      <c r="C1312" s="5">
        <v>55</v>
      </c>
      <c r="D1312" s="5">
        <f t="shared" si="84"/>
        <v>392.00377257605692</v>
      </c>
      <c r="E1312" s="5">
        <f t="shared" si="86"/>
        <v>0</v>
      </c>
      <c r="F1312" s="5">
        <v>16.5</v>
      </c>
      <c r="G1312" s="5" t="s">
        <v>250</v>
      </c>
      <c r="H1312" s="5">
        <v>55</v>
      </c>
      <c r="I1312" s="5">
        <f t="shared" si="85"/>
        <v>392.00377257605692</v>
      </c>
      <c r="J1312" s="5">
        <f t="shared" si="87"/>
        <v>0</v>
      </c>
      <c r="K1312" s="5" t="s">
        <v>401</v>
      </c>
      <c r="L1312" s="5"/>
    </row>
    <row r="1313" spans="1:12" x14ac:dyDescent="0.2">
      <c r="A1313" s="5">
        <v>18</v>
      </c>
      <c r="B1313" s="5" t="s">
        <v>250</v>
      </c>
      <c r="C1313" s="5">
        <v>55</v>
      </c>
      <c r="D1313" s="5">
        <f t="shared" si="84"/>
        <v>392.00377257605692</v>
      </c>
      <c r="E1313" s="5">
        <f t="shared" si="86"/>
        <v>0</v>
      </c>
      <c r="F1313" s="5">
        <v>18</v>
      </c>
      <c r="G1313" s="5" t="s">
        <v>250</v>
      </c>
      <c r="H1313" s="5">
        <v>55</v>
      </c>
      <c r="I1313" s="5">
        <f t="shared" si="85"/>
        <v>392.00377257605692</v>
      </c>
      <c r="J1313" s="5">
        <f t="shared" si="87"/>
        <v>0</v>
      </c>
      <c r="K1313" s="5"/>
      <c r="L1313" s="5"/>
    </row>
    <row r="1314" spans="1:12" x14ac:dyDescent="0.2">
      <c r="A1314" s="5">
        <v>20</v>
      </c>
      <c r="B1314" s="5" t="s">
        <v>247</v>
      </c>
      <c r="C1314" s="5">
        <v>50</v>
      </c>
      <c r="D1314" s="5">
        <f t="shared" si="84"/>
        <v>293.66975814369101</v>
      </c>
      <c r="E1314" s="5">
        <f t="shared" si="86"/>
        <v>5</v>
      </c>
      <c r="F1314" s="5">
        <v>20</v>
      </c>
      <c r="G1314" s="5" t="s">
        <v>337</v>
      </c>
      <c r="H1314" s="5">
        <v>45</v>
      </c>
      <c r="I1314" s="5">
        <f t="shared" si="85"/>
        <v>220.00279814001337</v>
      </c>
      <c r="J1314" s="5">
        <f t="shared" si="87"/>
        <v>10</v>
      </c>
      <c r="K1314" s="5" t="s">
        <v>100</v>
      </c>
      <c r="L1314" s="5" t="s">
        <v>396</v>
      </c>
    </row>
    <row r="1315" spans="1:12" x14ac:dyDescent="0.2">
      <c r="A1315" s="5">
        <v>21</v>
      </c>
      <c r="B1315" s="5" t="s">
        <v>249</v>
      </c>
      <c r="C1315" s="5">
        <v>59</v>
      </c>
      <c r="D1315" s="5">
        <f t="shared" si="84"/>
        <v>493.89549345236594</v>
      </c>
      <c r="E1315" s="5">
        <f t="shared" si="86"/>
        <v>9</v>
      </c>
      <c r="F1315" s="5">
        <v>21</v>
      </c>
      <c r="G1315" s="5" t="s">
        <v>250</v>
      </c>
      <c r="H1315" s="5">
        <v>55</v>
      </c>
      <c r="I1315" s="5">
        <f t="shared" si="85"/>
        <v>392.00377257605692</v>
      </c>
      <c r="J1315" s="5">
        <f t="shared" si="87"/>
        <v>10</v>
      </c>
      <c r="K1315" s="5">
        <f>SUM(J1305:J1519)</f>
        <v>834</v>
      </c>
      <c r="L1315" s="5">
        <f>1519-1303</f>
        <v>216</v>
      </c>
    </row>
    <row r="1316" spans="1:12" x14ac:dyDescent="0.2">
      <c r="A1316" s="5">
        <v>22.5</v>
      </c>
      <c r="B1316" s="5" t="s">
        <v>250</v>
      </c>
      <c r="C1316" s="5">
        <v>55</v>
      </c>
      <c r="D1316" s="5">
        <f t="shared" si="84"/>
        <v>392.00377257605692</v>
      </c>
      <c r="E1316" s="5">
        <f t="shared" si="86"/>
        <v>4</v>
      </c>
      <c r="F1316" s="5">
        <v>22.5</v>
      </c>
      <c r="G1316" s="5" t="s">
        <v>250</v>
      </c>
      <c r="H1316" s="5">
        <v>55</v>
      </c>
      <c r="I1316" s="5">
        <f t="shared" si="85"/>
        <v>392.00377257605692</v>
      </c>
      <c r="J1316" s="5">
        <f t="shared" si="87"/>
        <v>0</v>
      </c>
      <c r="K1316" s="5"/>
      <c r="L1316" s="5"/>
    </row>
    <row r="1317" spans="1:12" x14ac:dyDescent="0.2">
      <c r="A1317" s="5">
        <v>24.25</v>
      </c>
      <c r="B1317" s="5" t="s">
        <v>248</v>
      </c>
      <c r="C1317" s="5">
        <v>57</v>
      </c>
      <c r="D1317" s="5">
        <f t="shared" si="84"/>
        <v>440.01010976071973</v>
      </c>
      <c r="E1317" s="5">
        <f t="shared" si="86"/>
        <v>2</v>
      </c>
      <c r="F1317" s="5">
        <v>24.25</v>
      </c>
      <c r="G1317" s="5" t="s">
        <v>202</v>
      </c>
      <c r="H1317" s="5">
        <v>53</v>
      </c>
      <c r="I1317" s="5">
        <f t="shared" si="85"/>
        <v>349.23506143398839</v>
      </c>
      <c r="J1317" s="5">
        <f t="shared" si="87"/>
        <v>2</v>
      </c>
      <c r="K1317" s="5" t="s">
        <v>236</v>
      </c>
      <c r="L1317" s="5"/>
    </row>
    <row r="1318" spans="1:12" x14ac:dyDescent="0.2">
      <c r="A1318" s="5">
        <v>25.5</v>
      </c>
      <c r="B1318" s="5" t="s">
        <v>250</v>
      </c>
      <c r="C1318" s="5">
        <v>55</v>
      </c>
      <c r="D1318" s="5">
        <f t="shared" si="84"/>
        <v>392.00377257605692</v>
      </c>
      <c r="E1318" s="5">
        <f t="shared" si="86"/>
        <v>2</v>
      </c>
      <c r="F1318" s="5">
        <v>25.5</v>
      </c>
      <c r="G1318" s="5" t="s">
        <v>341</v>
      </c>
      <c r="H1318" s="5">
        <v>59</v>
      </c>
      <c r="I1318" s="5">
        <f t="shared" si="85"/>
        <v>493.89549345236594</v>
      </c>
      <c r="J1318" s="5">
        <f t="shared" si="87"/>
        <v>6</v>
      </c>
      <c r="K1318" s="5">
        <f>K1315/(L1315-1)</f>
        <v>3.8790697674418606</v>
      </c>
      <c r="L1318" s="5"/>
    </row>
    <row r="1319" spans="1:12" x14ac:dyDescent="0.2">
      <c r="A1319" s="5">
        <v>27</v>
      </c>
      <c r="B1319" s="5" t="s">
        <v>285</v>
      </c>
      <c r="C1319" s="5">
        <v>62</v>
      </c>
      <c r="D1319" s="5">
        <f t="shared" si="84"/>
        <v>587.34554108704231</v>
      </c>
      <c r="E1319" s="5">
        <f t="shared" si="86"/>
        <v>7</v>
      </c>
      <c r="F1319" s="5">
        <v>27</v>
      </c>
      <c r="G1319" s="5" t="s">
        <v>249</v>
      </c>
      <c r="H1319" s="5">
        <v>59</v>
      </c>
      <c r="I1319" s="5">
        <f t="shared" si="85"/>
        <v>493.89549345236594</v>
      </c>
      <c r="J1319" s="5">
        <f t="shared" si="87"/>
        <v>0</v>
      </c>
    </row>
    <row r="1320" spans="1:12" x14ac:dyDescent="0.2">
      <c r="A1320" s="5">
        <v>28.5</v>
      </c>
      <c r="B1320" s="5" t="s">
        <v>381</v>
      </c>
      <c r="C1320" s="5">
        <v>57</v>
      </c>
      <c r="D1320" s="5">
        <f t="shared" si="84"/>
        <v>440.01010976071973</v>
      </c>
      <c r="E1320" s="5">
        <f t="shared" si="86"/>
        <v>5</v>
      </c>
      <c r="F1320" s="5">
        <v>28.5</v>
      </c>
      <c r="G1320" s="5" t="s">
        <v>202</v>
      </c>
      <c r="H1320" s="5">
        <v>53</v>
      </c>
      <c r="I1320" s="5">
        <f t="shared" si="85"/>
        <v>349.23506143398839</v>
      </c>
      <c r="J1320" s="5">
        <f t="shared" si="87"/>
        <v>6</v>
      </c>
    </row>
    <row r="1321" spans="1:12" x14ac:dyDescent="0.2">
      <c r="A1321" s="5">
        <v>29.75</v>
      </c>
      <c r="B1321" s="5" t="s">
        <v>247</v>
      </c>
      <c r="C1321" s="5">
        <v>50</v>
      </c>
      <c r="D1321" s="5">
        <f t="shared" si="84"/>
        <v>293.66975814369101</v>
      </c>
      <c r="E1321" s="5">
        <f t="shared" si="86"/>
        <v>7</v>
      </c>
      <c r="F1321" s="5">
        <v>29.75</v>
      </c>
      <c r="G1321" s="5" t="s">
        <v>247</v>
      </c>
      <c r="H1321" s="5">
        <v>50</v>
      </c>
      <c r="I1321" s="5">
        <f t="shared" si="85"/>
        <v>293.66975814369101</v>
      </c>
      <c r="J1321" s="5">
        <f t="shared" si="87"/>
        <v>3</v>
      </c>
    </row>
    <row r="1322" spans="1:12" x14ac:dyDescent="0.2">
      <c r="A1322" s="5">
        <v>31.5</v>
      </c>
      <c r="B1322" s="5" t="s">
        <v>250</v>
      </c>
      <c r="C1322" s="5">
        <v>55</v>
      </c>
      <c r="D1322" s="5">
        <f t="shared" si="84"/>
        <v>392.00377257605692</v>
      </c>
      <c r="E1322" s="5">
        <f t="shared" si="86"/>
        <v>5</v>
      </c>
      <c r="F1322" s="5">
        <v>31.5</v>
      </c>
      <c r="G1322" s="5" t="s">
        <v>247</v>
      </c>
      <c r="H1322" s="5">
        <v>50</v>
      </c>
      <c r="I1322" s="5">
        <f t="shared" si="85"/>
        <v>293.66975814369101</v>
      </c>
      <c r="J1322" s="5">
        <f t="shared" si="87"/>
        <v>0</v>
      </c>
    </row>
    <row r="1323" spans="1:12" x14ac:dyDescent="0.2">
      <c r="A1323" s="5">
        <v>32.75</v>
      </c>
      <c r="B1323" s="5" t="s">
        <v>250</v>
      </c>
      <c r="C1323" s="5">
        <v>55</v>
      </c>
      <c r="D1323" s="5">
        <f t="shared" si="84"/>
        <v>392.00377257605692</v>
      </c>
      <c r="E1323" s="5">
        <f t="shared" si="86"/>
        <v>0</v>
      </c>
      <c r="F1323" s="5">
        <v>32.75</v>
      </c>
      <c r="G1323" s="5" t="s">
        <v>247</v>
      </c>
      <c r="H1323" s="5">
        <v>50</v>
      </c>
      <c r="I1323" s="5">
        <f t="shared" si="85"/>
        <v>293.66975814369101</v>
      </c>
      <c r="J1323" s="5">
        <f t="shared" si="87"/>
        <v>0</v>
      </c>
    </row>
    <row r="1324" spans="1:12" x14ac:dyDescent="0.2">
      <c r="A1324" s="5">
        <v>34.5</v>
      </c>
      <c r="B1324" s="5" t="s">
        <v>250</v>
      </c>
      <c r="C1324" s="5">
        <v>55</v>
      </c>
      <c r="D1324" s="5">
        <f t="shared" si="84"/>
        <v>392.00377257605692</v>
      </c>
      <c r="E1324" s="5">
        <f t="shared" si="86"/>
        <v>0</v>
      </c>
      <c r="F1324" s="5">
        <v>34</v>
      </c>
      <c r="G1324" s="5" t="s">
        <v>386</v>
      </c>
      <c r="H1324" s="5">
        <v>48</v>
      </c>
      <c r="I1324" s="5">
        <f t="shared" si="85"/>
        <v>261.62956379894968</v>
      </c>
      <c r="J1324" s="5">
        <f t="shared" si="87"/>
        <v>2</v>
      </c>
    </row>
    <row r="1325" spans="1:12" x14ac:dyDescent="0.2">
      <c r="A1325" s="5">
        <v>36.25</v>
      </c>
      <c r="B1325" s="5" t="s">
        <v>248</v>
      </c>
      <c r="C1325" s="5">
        <v>57</v>
      </c>
      <c r="D1325" s="5">
        <f t="shared" si="84"/>
        <v>440.01010976071973</v>
      </c>
      <c r="E1325" s="5">
        <f t="shared" si="86"/>
        <v>2</v>
      </c>
      <c r="F1325" s="5">
        <v>36</v>
      </c>
      <c r="G1325" s="5" t="s">
        <v>337</v>
      </c>
      <c r="H1325" s="5">
        <v>45</v>
      </c>
      <c r="I1325" s="5">
        <f t="shared" si="85"/>
        <v>220.00279814001337</v>
      </c>
      <c r="J1325" s="5">
        <f t="shared" si="87"/>
        <v>3</v>
      </c>
    </row>
    <row r="1326" spans="1:12" x14ac:dyDescent="0.2">
      <c r="A1326" s="5">
        <v>37.5</v>
      </c>
      <c r="B1326" s="5" t="s">
        <v>250</v>
      </c>
      <c r="C1326" s="5">
        <v>55</v>
      </c>
      <c r="D1326" s="5">
        <f t="shared" si="84"/>
        <v>392.00377257605692</v>
      </c>
      <c r="E1326" s="5">
        <f t="shared" si="86"/>
        <v>2</v>
      </c>
      <c r="F1326" s="5">
        <v>37</v>
      </c>
      <c r="G1326" s="5" t="s">
        <v>250</v>
      </c>
      <c r="H1326" s="5">
        <v>55</v>
      </c>
      <c r="I1326" s="5">
        <f t="shared" si="85"/>
        <v>392.00377257605692</v>
      </c>
      <c r="J1326" s="5">
        <f t="shared" si="87"/>
        <v>10</v>
      </c>
    </row>
    <row r="1327" spans="1:12" x14ac:dyDescent="0.2">
      <c r="A1327" s="5">
        <v>39</v>
      </c>
      <c r="B1327" s="5" t="s">
        <v>285</v>
      </c>
      <c r="C1327" s="5">
        <v>62</v>
      </c>
      <c r="D1327" s="5">
        <f t="shared" si="84"/>
        <v>587.34554108704231</v>
      </c>
      <c r="E1327" s="5">
        <f t="shared" si="86"/>
        <v>7</v>
      </c>
      <c r="F1327" s="5">
        <v>38.5</v>
      </c>
      <c r="G1327" s="5" t="s">
        <v>250</v>
      </c>
      <c r="H1327" s="5">
        <v>55</v>
      </c>
      <c r="I1327" s="5">
        <f t="shared" si="85"/>
        <v>392.00377257605692</v>
      </c>
      <c r="J1327" s="5">
        <f t="shared" si="87"/>
        <v>0</v>
      </c>
    </row>
    <row r="1328" spans="1:12" x14ac:dyDescent="0.2">
      <c r="A1328" s="5">
        <v>40.5</v>
      </c>
      <c r="B1328" s="5" t="s">
        <v>249</v>
      </c>
      <c r="C1328" s="5">
        <v>59</v>
      </c>
      <c r="D1328" s="5">
        <f t="shared" si="84"/>
        <v>493.89549345236594</v>
      </c>
      <c r="E1328" s="5">
        <f t="shared" si="86"/>
        <v>3</v>
      </c>
      <c r="F1328" s="5">
        <v>40.25</v>
      </c>
      <c r="G1328" s="5" t="s">
        <v>202</v>
      </c>
      <c r="H1328" s="5">
        <v>53</v>
      </c>
      <c r="I1328" s="5">
        <f t="shared" si="85"/>
        <v>349.23506143398839</v>
      </c>
      <c r="J1328" s="5">
        <f t="shared" si="87"/>
        <v>2</v>
      </c>
    </row>
    <row r="1329" spans="1:10" x14ac:dyDescent="0.2">
      <c r="A1329" s="5">
        <v>41.75</v>
      </c>
      <c r="B1329" s="5" t="s">
        <v>373</v>
      </c>
      <c r="C1329" s="5">
        <v>50</v>
      </c>
      <c r="D1329" s="5">
        <f t="shared" si="84"/>
        <v>293.66975814369101</v>
      </c>
      <c r="E1329" s="5">
        <f t="shared" si="86"/>
        <v>9</v>
      </c>
      <c r="F1329" s="5">
        <v>41.5</v>
      </c>
      <c r="G1329" s="5" t="s">
        <v>341</v>
      </c>
      <c r="H1329" s="5">
        <v>59</v>
      </c>
      <c r="I1329" s="5">
        <f t="shared" si="85"/>
        <v>493.89549345236594</v>
      </c>
      <c r="J1329" s="5">
        <f t="shared" si="87"/>
        <v>6</v>
      </c>
    </row>
    <row r="1330" spans="1:10" x14ac:dyDescent="0.2">
      <c r="A1330" s="5">
        <v>43.5</v>
      </c>
      <c r="B1330" s="5" t="s">
        <v>250</v>
      </c>
      <c r="C1330" s="5">
        <v>55</v>
      </c>
      <c r="D1330" s="5">
        <f t="shared" si="84"/>
        <v>392.00377257605692</v>
      </c>
      <c r="E1330" s="5">
        <f t="shared" si="86"/>
        <v>5</v>
      </c>
      <c r="F1330" s="5">
        <v>43</v>
      </c>
      <c r="G1330" s="5" t="s">
        <v>249</v>
      </c>
      <c r="H1330" s="5">
        <v>59</v>
      </c>
      <c r="I1330" s="5">
        <f t="shared" si="85"/>
        <v>493.89549345236594</v>
      </c>
      <c r="J1330" s="5">
        <f t="shared" si="87"/>
        <v>0</v>
      </c>
    </row>
    <row r="1331" spans="1:10" x14ac:dyDescent="0.2">
      <c r="A1331" s="5">
        <v>44.75</v>
      </c>
      <c r="B1331" s="5" t="s">
        <v>374</v>
      </c>
      <c r="C1331" s="5">
        <v>55</v>
      </c>
      <c r="D1331" s="5">
        <f t="shared" si="84"/>
        <v>392.00377257605692</v>
      </c>
      <c r="E1331" s="5">
        <f t="shared" si="86"/>
        <v>0</v>
      </c>
      <c r="F1331" s="5">
        <v>44.5</v>
      </c>
      <c r="G1331" s="5" t="s">
        <v>202</v>
      </c>
      <c r="H1331" s="5">
        <v>53</v>
      </c>
      <c r="I1331" s="5">
        <f t="shared" si="85"/>
        <v>349.23506143398839</v>
      </c>
      <c r="J1331" s="5">
        <f t="shared" si="87"/>
        <v>6</v>
      </c>
    </row>
    <row r="1332" spans="1:10" x14ac:dyDescent="0.2">
      <c r="A1332" s="5">
        <v>46</v>
      </c>
      <c r="B1332" s="5" t="s">
        <v>248</v>
      </c>
      <c r="C1332" s="5">
        <v>57</v>
      </c>
      <c r="D1332" s="5">
        <f t="shared" si="84"/>
        <v>440.01010976071973</v>
      </c>
      <c r="E1332" s="5">
        <f t="shared" si="86"/>
        <v>2</v>
      </c>
      <c r="F1332" s="5">
        <v>45.75</v>
      </c>
      <c r="G1332" s="5" t="s">
        <v>247</v>
      </c>
      <c r="H1332" s="5">
        <v>50</v>
      </c>
      <c r="I1332" s="5">
        <f t="shared" si="85"/>
        <v>293.66975814369101</v>
      </c>
      <c r="J1332" s="5">
        <f t="shared" si="87"/>
        <v>3</v>
      </c>
    </row>
    <row r="1333" spans="1:10" x14ac:dyDescent="0.2">
      <c r="A1333" s="5">
        <v>48</v>
      </c>
      <c r="B1333" s="5" t="s">
        <v>247</v>
      </c>
      <c r="C1333" s="5">
        <v>50</v>
      </c>
      <c r="D1333" s="5">
        <f t="shared" si="84"/>
        <v>293.66975814369101</v>
      </c>
      <c r="E1333" s="5">
        <f t="shared" si="86"/>
        <v>7</v>
      </c>
      <c r="F1333" s="5">
        <v>47.5</v>
      </c>
      <c r="G1333" s="5" t="s">
        <v>247</v>
      </c>
      <c r="H1333" s="5">
        <v>50</v>
      </c>
      <c r="I1333" s="5">
        <f t="shared" si="85"/>
        <v>293.66975814369101</v>
      </c>
      <c r="J1333" s="5">
        <f t="shared" si="87"/>
        <v>0</v>
      </c>
    </row>
    <row r="1334" spans="1:10" x14ac:dyDescent="0.2">
      <c r="A1334" s="5">
        <v>49</v>
      </c>
      <c r="B1334" s="5" t="s">
        <v>423</v>
      </c>
      <c r="C1334" s="5">
        <v>52</v>
      </c>
      <c r="D1334" s="5">
        <f t="shared" si="84"/>
        <v>329.63372180082422</v>
      </c>
      <c r="E1334" s="5">
        <f t="shared" si="86"/>
        <v>2</v>
      </c>
      <c r="F1334" s="5">
        <v>48.75</v>
      </c>
      <c r="G1334" s="5" t="s">
        <v>247</v>
      </c>
      <c r="H1334" s="5">
        <v>50</v>
      </c>
      <c r="I1334" s="5">
        <f t="shared" si="85"/>
        <v>293.66975814369101</v>
      </c>
      <c r="J1334" s="5">
        <f t="shared" si="87"/>
        <v>0</v>
      </c>
    </row>
    <row r="1335" spans="1:10" x14ac:dyDescent="0.2">
      <c r="A1335" s="5">
        <v>51</v>
      </c>
      <c r="B1335" s="5" t="s">
        <v>424</v>
      </c>
      <c r="C1335" s="5">
        <v>52</v>
      </c>
      <c r="D1335" s="5">
        <f t="shared" si="84"/>
        <v>329.63372180082422</v>
      </c>
      <c r="E1335" s="5">
        <f t="shared" si="86"/>
        <v>0</v>
      </c>
      <c r="F1335" s="5">
        <v>50</v>
      </c>
      <c r="G1335" s="5" t="s">
        <v>386</v>
      </c>
      <c r="H1335" s="5">
        <v>48</v>
      </c>
      <c r="I1335" s="5">
        <f t="shared" si="85"/>
        <v>261.62956379894968</v>
      </c>
      <c r="J1335" s="5">
        <f t="shared" si="87"/>
        <v>2</v>
      </c>
    </row>
    <row r="1336" spans="1:10" x14ac:dyDescent="0.2">
      <c r="A1336" s="5">
        <v>52.5</v>
      </c>
      <c r="B1336" s="5" t="s">
        <v>249</v>
      </c>
      <c r="C1336" s="5">
        <v>59</v>
      </c>
      <c r="D1336" s="5">
        <f t="shared" si="84"/>
        <v>493.89549345236594</v>
      </c>
      <c r="E1336" s="5">
        <f t="shared" si="86"/>
        <v>7</v>
      </c>
      <c r="F1336" s="5">
        <v>52</v>
      </c>
      <c r="G1336" s="5" t="s">
        <v>337</v>
      </c>
      <c r="H1336" s="5">
        <v>45</v>
      </c>
      <c r="I1336" s="5">
        <f t="shared" si="85"/>
        <v>220.00279814001337</v>
      </c>
      <c r="J1336" s="5">
        <f t="shared" si="87"/>
        <v>3</v>
      </c>
    </row>
    <row r="1337" spans="1:10" x14ac:dyDescent="0.2">
      <c r="A1337" s="5">
        <v>53.75</v>
      </c>
      <c r="B1337" s="5" t="s">
        <v>247</v>
      </c>
      <c r="C1337" s="5">
        <v>50</v>
      </c>
      <c r="D1337" s="5">
        <f t="shared" si="84"/>
        <v>293.66975814369101</v>
      </c>
      <c r="E1337" s="5">
        <f t="shared" si="86"/>
        <v>9</v>
      </c>
      <c r="F1337" s="5">
        <v>53</v>
      </c>
      <c r="G1337" s="5" t="s">
        <v>250</v>
      </c>
      <c r="H1337" s="5">
        <v>55</v>
      </c>
      <c r="I1337" s="5">
        <f t="shared" si="85"/>
        <v>392.00377257605692</v>
      </c>
      <c r="J1337" s="5">
        <f t="shared" si="87"/>
        <v>10</v>
      </c>
    </row>
    <row r="1338" spans="1:10" x14ac:dyDescent="0.2">
      <c r="A1338" s="5">
        <v>55.5</v>
      </c>
      <c r="B1338" s="5" t="s">
        <v>250</v>
      </c>
      <c r="C1338" s="5">
        <v>55</v>
      </c>
      <c r="D1338" s="5">
        <f t="shared" si="84"/>
        <v>392.00377257605692</v>
      </c>
      <c r="E1338" s="5">
        <f t="shared" si="86"/>
        <v>5</v>
      </c>
      <c r="F1338" s="5">
        <v>54.5</v>
      </c>
      <c r="G1338" s="5" t="s">
        <v>250</v>
      </c>
      <c r="H1338" s="5">
        <v>55</v>
      </c>
      <c r="I1338" s="5">
        <f t="shared" si="85"/>
        <v>392.00377257605692</v>
      </c>
      <c r="J1338" s="5">
        <f t="shared" si="87"/>
        <v>0</v>
      </c>
    </row>
    <row r="1339" spans="1:10" x14ac:dyDescent="0.2">
      <c r="A1339" s="5">
        <v>56.75</v>
      </c>
      <c r="B1339" s="5" t="s">
        <v>250</v>
      </c>
      <c r="C1339" s="5">
        <v>55</v>
      </c>
      <c r="D1339" s="5">
        <f t="shared" si="84"/>
        <v>392.00377257605692</v>
      </c>
      <c r="E1339" s="5">
        <f t="shared" si="86"/>
        <v>0</v>
      </c>
      <c r="F1339" s="5">
        <v>56.25</v>
      </c>
      <c r="G1339" s="5" t="s">
        <v>202</v>
      </c>
      <c r="H1339" s="5">
        <v>53</v>
      </c>
      <c r="I1339" s="5">
        <f t="shared" si="85"/>
        <v>349.23506143398839</v>
      </c>
      <c r="J1339" s="5">
        <f t="shared" si="87"/>
        <v>2</v>
      </c>
    </row>
    <row r="1340" spans="1:10" x14ac:dyDescent="0.2">
      <c r="A1340" s="5">
        <v>58</v>
      </c>
      <c r="B1340" s="5" t="s">
        <v>249</v>
      </c>
      <c r="C1340" s="5">
        <v>59</v>
      </c>
      <c r="D1340" s="5">
        <f t="shared" si="84"/>
        <v>493.89549345236594</v>
      </c>
      <c r="E1340" s="5">
        <f t="shared" si="86"/>
        <v>4</v>
      </c>
      <c r="F1340" s="5">
        <v>57.5</v>
      </c>
      <c r="G1340" s="5" t="s">
        <v>341</v>
      </c>
      <c r="H1340" s="5">
        <v>59</v>
      </c>
      <c r="I1340" s="5">
        <f t="shared" si="85"/>
        <v>493.89549345236594</v>
      </c>
      <c r="J1340" s="5">
        <f t="shared" si="87"/>
        <v>6</v>
      </c>
    </row>
    <row r="1341" spans="1:10" x14ac:dyDescent="0.2">
      <c r="A1341" s="5">
        <v>60</v>
      </c>
      <c r="B1341" s="5" t="s">
        <v>375</v>
      </c>
      <c r="C1341" s="5">
        <v>50</v>
      </c>
      <c r="D1341" s="5">
        <f t="shared" si="84"/>
        <v>293.66975814369101</v>
      </c>
      <c r="E1341" s="5">
        <f t="shared" si="86"/>
        <v>9</v>
      </c>
      <c r="F1341" s="5">
        <v>59</v>
      </c>
      <c r="G1341" s="5" t="s">
        <v>249</v>
      </c>
      <c r="H1341" s="5">
        <v>59</v>
      </c>
      <c r="I1341" s="5">
        <f t="shared" si="85"/>
        <v>493.89549345236594</v>
      </c>
      <c r="J1341" s="5">
        <f t="shared" si="87"/>
        <v>0</v>
      </c>
    </row>
    <row r="1342" spans="1:10" x14ac:dyDescent="0.2">
      <c r="A1342" s="5">
        <v>61</v>
      </c>
      <c r="B1342" s="5" t="s">
        <v>248</v>
      </c>
      <c r="C1342" s="5">
        <v>57</v>
      </c>
      <c r="D1342" s="5">
        <f t="shared" si="84"/>
        <v>440.01010976071973</v>
      </c>
      <c r="E1342" s="5">
        <f t="shared" si="86"/>
        <v>7</v>
      </c>
      <c r="F1342" s="5">
        <v>60.5</v>
      </c>
      <c r="G1342" s="5" t="s">
        <v>202</v>
      </c>
      <c r="H1342" s="5">
        <v>53</v>
      </c>
      <c r="I1342" s="5">
        <f t="shared" si="85"/>
        <v>349.23506143398839</v>
      </c>
      <c r="J1342" s="5">
        <f t="shared" si="87"/>
        <v>6</v>
      </c>
    </row>
    <row r="1343" spans="1:10" x14ac:dyDescent="0.2">
      <c r="A1343" s="5">
        <v>62.5</v>
      </c>
      <c r="B1343" s="5" t="s">
        <v>250</v>
      </c>
      <c r="C1343" s="5">
        <v>55</v>
      </c>
      <c r="D1343" s="5">
        <f t="shared" si="84"/>
        <v>392.00377257605692</v>
      </c>
      <c r="E1343" s="5">
        <f t="shared" si="86"/>
        <v>2</v>
      </c>
      <c r="F1343" s="5">
        <v>61.75</v>
      </c>
      <c r="G1343" s="5" t="s">
        <v>247</v>
      </c>
      <c r="H1343" s="5">
        <v>50</v>
      </c>
      <c r="I1343" s="5">
        <f t="shared" si="85"/>
        <v>293.66975814369101</v>
      </c>
      <c r="J1343" s="5">
        <f t="shared" si="87"/>
        <v>3</v>
      </c>
    </row>
    <row r="1344" spans="1:10" x14ac:dyDescent="0.2">
      <c r="A1344" s="5">
        <v>64.25</v>
      </c>
      <c r="B1344" s="5" t="s">
        <v>423</v>
      </c>
      <c r="C1344" s="5">
        <v>52</v>
      </c>
      <c r="D1344" s="5">
        <f t="shared" si="84"/>
        <v>329.63372180082422</v>
      </c>
      <c r="E1344" s="5">
        <f t="shared" si="86"/>
        <v>3</v>
      </c>
      <c r="F1344" s="5">
        <v>63.5</v>
      </c>
      <c r="G1344" s="5" t="s">
        <v>247</v>
      </c>
      <c r="H1344" s="5">
        <v>50</v>
      </c>
      <c r="I1344" s="5">
        <f t="shared" si="85"/>
        <v>293.66975814369101</v>
      </c>
      <c r="J1344" s="5">
        <f t="shared" si="87"/>
        <v>0</v>
      </c>
    </row>
    <row r="1345" spans="1:10" x14ac:dyDescent="0.2">
      <c r="A1345" s="5">
        <v>65.5</v>
      </c>
      <c r="B1345" s="5" t="s">
        <v>250</v>
      </c>
      <c r="C1345" s="5">
        <v>55</v>
      </c>
      <c r="D1345" s="5">
        <f t="shared" si="84"/>
        <v>392.00377257605692</v>
      </c>
      <c r="E1345" s="5">
        <f t="shared" si="86"/>
        <v>3</v>
      </c>
      <c r="F1345" s="5">
        <v>64.75</v>
      </c>
      <c r="G1345" s="5" t="s">
        <v>247</v>
      </c>
      <c r="H1345" s="5">
        <v>50</v>
      </c>
      <c r="I1345" s="5">
        <f t="shared" si="85"/>
        <v>293.66975814369101</v>
      </c>
      <c r="J1345" s="5">
        <f t="shared" si="87"/>
        <v>0</v>
      </c>
    </row>
    <row r="1346" spans="1:10" x14ac:dyDescent="0.2">
      <c r="A1346" s="5">
        <v>67.5</v>
      </c>
      <c r="B1346" s="5" t="s">
        <v>250</v>
      </c>
      <c r="C1346" s="5">
        <v>55</v>
      </c>
      <c r="D1346" s="5">
        <f t="shared" si="84"/>
        <v>392.00377257605692</v>
      </c>
      <c r="E1346" s="5">
        <f t="shared" si="86"/>
        <v>0</v>
      </c>
      <c r="F1346" s="5">
        <v>66</v>
      </c>
      <c r="G1346" s="5" t="s">
        <v>386</v>
      </c>
      <c r="H1346" s="5">
        <v>48</v>
      </c>
      <c r="I1346" s="5">
        <f t="shared" si="85"/>
        <v>261.62956379894968</v>
      </c>
      <c r="J1346" s="5">
        <f t="shared" si="87"/>
        <v>2</v>
      </c>
    </row>
    <row r="1347" spans="1:10" x14ac:dyDescent="0.2">
      <c r="A1347" s="5">
        <v>68.75</v>
      </c>
      <c r="B1347" s="5" t="s">
        <v>250</v>
      </c>
      <c r="C1347" s="5">
        <v>55</v>
      </c>
      <c r="D1347" s="5">
        <f t="shared" si="84"/>
        <v>392.00377257605692</v>
      </c>
      <c r="E1347" s="5">
        <f t="shared" si="86"/>
        <v>0</v>
      </c>
      <c r="F1347" s="5">
        <v>68</v>
      </c>
      <c r="G1347" s="5" t="s">
        <v>337</v>
      </c>
      <c r="H1347" s="5">
        <v>45</v>
      </c>
      <c r="I1347" s="5">
        <f t="shared" si="85"/>
        <v>220.00279814001337</v>
      </c>
      <c r="J1347" s="5">
        <f t="shared" si="87"/>
        <v>3</v>
      </c>
    </row>
    <row r="1348" spans="1:10" x14ac:dyDescent="0.2">
      <c r="A1348" s="5">
        <v>70</v>
      </c>
      <c r="B1348" s="5" t="s">
        <v>249</v>
      </c>
      <c r="C1348" s="5">
        <v>59</v>
      </c>
      <c r="D1348" s="5">
        <f t="shared" si="84"/>
        <v>493.89549345236594</v>
      </c>
      <c r="E1348" s="5">
        <f t="shared" si="86"/>
        <v>4</v>
      </c>
      <c r="F1348" s="5">
        <v>69</v>
      </c>
      <c r="G1348" s="5" t="s">
        <v>250</v>
      </c>
      <c r="H1348" s="5">
        <v>55</v>
      </c>
      <c r="I1348" s="5">
        <f t="shared" si="85"/>
        <v>392.00377257605692</v>
      </c>
      <c r="J1348" s="5">
        <f t="shared" si="87"/>
        <v>10</v>
      </c>
    </row>
    <row r="1349" spans="1:10" x14ac:dyDescent="0.2">
      <c r="A1349" s="5">
        <v>72</v>
      </c>
      <c r="B1349" s="5" t="s">
        <v>288</v>
      </c>
      <c r="C1349" s="5">
        <v>50</v>
      </c>
      <c r="D1349" s="5">
        <f t="shared" si="84"/>
        <v>293.66975814369101</v>
      </c>
      <c r="E1349" s="5">
        <f t="shared" si="86"/>
        <v>9</v>
      </c>
      <c r="F1349" s="5">
        <v>70.5</v>
      </c>
      <c r="G1349" s="5" t="s">
        <v>250</v>
      </c>
      <c r="H1349" s="5">
        <v>55</v>
      </c>
      <c r="I1349" s="5">
        <f t="shared" si="85"/>
        <v>392.00377257605692</v>
      </c>
      <c r="J1349" s="5">
        <f t="shared" si="87"/>
        <v>0</v>
      </c>
    </row>
    <row r="1350" spans="1:10" x14ac:dyDescent="0.2">
      <c r="A1350" s="5">
        <v>73</v>
      </c>
      <c r="B1350" s="5" t="s">
        <v>249</v>
      </c>
      <c r="C1350" s="5">
        <v>59</v>
      </c>
      <c r="D1350" s="5">
        <f t="shared" si="84"/>
        <v>493.89549345236594</v>
      </c>
      <c r="E1350" s="5">
        <f t="shared" si="86"/>
        <v>9</v>
      </c>
      <c r="F1350" s="5">
        <v>72.25</v>
      </c>
      <c r="G1350" s="5" t="s">
        <v>202</v>
      </c>
      <c r="H1350" s="5">
        <v>53</v>
      </c>
      <c r="I1350" s="5">
        <f t="shared" si="85"/>
        <v>349.23506143398839</v>
      </c>
      <c r="J1350" s="5">
        <f t="shared" si="87"/>
        <v>2</v>
      </c>
    </row>
    <row r="1351" spans="1:10" x14ac:dyDescent="0.2">
      <c r="A1351" s="5">
        <v>74.5</v>
      </c>
      <c r="B1351" s="5" t="s">
        <v>250</v>
      </c>
      <c r="C1351" s="5">
        <v>55</v>
      </c>
      <c r="D1351" s="5">
        <f t="shared" si="84"/>
        <v>392.00377257605692</v>
      </c>
      <c r="E1351" s="5">
        <f t="shared" si="86"/>
        <v>4</v>
      </c>
      <c r="F1351" s="5">
        <v>73.5</v>
      </c>
      <c r="G1351" s="5" t="s">
        <v>341</v>
      </c>
      <c r="H1351" s="5">
        <v>59</v>
      </c>
      <c r="I1351" s="5">
        <f t="shared" si="85"/>
        <v>493.89549345236594</v>
      </c>
      <c r="J1351" s="5">
        <f t="shared" si="87"/>
        <v>6</v>
      </c>
    </row>
    <row r="1352" spans="1:10" x14ac:dyDescent="0.2">
      <c r="A1352" s="5">
        <v>76.25</v>
      </c>
      <c r="B1352" s="5" t="s">
        <v>374</v>
      </c>
      <c r="C1352" s="5">
        <v>55</v>
      </c>
      <c r="D1352" s="5">
        <f t="shared" si="84"/>
        <v>392.00377257605692</v>
      </c>
      <c r="E1352" s="5">
        <f t="shared" si="86"/>
        <v>0</v>
      </c>
      <c r="F1352" s="5">
        <v>75</v>
      </c>
      <c r="G1352" s="5" t="s">
        <v>249</v>
      </c>
      <c r="H1352" s="5">
        <v>59</v>
      </c>
      <c r="I1352" s="5">
        <f t="shared" si="85"/>
        <v>493.89549345236594</v>
      </c>
      <c r="J1352" s="5">
        <f t="shared" si="87"/>
        <v>0</v>
      </c>
    </row>
    <row r="1353" spans="1:10" x14ac:dyDescent="0.2">
      <c r="A1353" s="5">
        <v>77.5</v>
      </c>
      <c r="B1353" s="5" t="s">
        <v>382</v>
      </c>
      <c r="C1353" s="5">
        <v>55</v>
      </c>
      <c r="D1353" s="5">
        <f t="shared" si="84"/>
        <v>392.00377257605692</v>
      </c>
      <c r="E1353" s="5">
        <f t="shared" si="86"/>
        <v>0</v>
      </c>
      <c r="F1353" s="5">
        <v>76.5</v>
      </c>
      <c r="G1353" s="5" t="s">
        <v>202</v>
      </c>
      <c r="H1353" s="5">
        <v>53</v>
      </c>
      <c r="I1353" s="5">
        <f t="shared" si="85"/>
        <v>349.23506143398839</v>
      </c>
      <c r="J1353" s="5">
        <f t="shared" si="87"/>
        <v>6</v>
      </c>
    </row>
    <row r="1354" spans="1:10" x14ac:dyDescent="0.2">
      <c r="A1354" s="5">
        <v>79</v>
      </c>
      <c r="B1354" s="5" t="s">
        <v>383</v>
      </c>
      <c r="C1354" s="5">
        <v>60</v>
      </c>
      <c r="D1354" s="5">
        <f t="shared" si="84"/>
        <v>523.26449507501752</v>
      </c>
      <c r="E1354" s="5">
        <f t="shared" si="86"/>
        <v>5</v>
      </c>
      <c r="F1354" s="5">
        <v>77.75</v>
      </c>
      <c r="G1354" s="5" t="s">
        <v>247</v>
      </c>
      <c r="H1354" s="5">
        <v>50</v>
      </c>
      <c r="I1354" s="5">
        <f t="shared" si="85"/>
        <v>293.66975814369101</v>
      </c>
      <c r="J1354" s="5">
        <f t="shared" si="87"/>
        <v>3</v>
      </c>
    </row>
    <row r="1355" spans="1:10" x14ac:dyDescent="0.2">
      <c r="A1355" s="5">
        <v>80.5</v>
      </c>
      <c r="B1355" s="5" t="s">
        <v>202</v>
      </c>
      <c r="C1355" s="5">
        <v>53</v>
      </c>
      <c r="D1355" s="5">
        <f t="shared" si="84"/>
        <v>349.23506143398839</v>
      </c>
      <c r="E1355" s="5">
        <f t="shared" si="86"/>
        <v>7</v>
      </c>
      <c r="F1355" s="5">
        <v>79.5</v>
      </c>
      <c r="G1355" s="5" t="s">
        <v>247</v>
      </c>
      <c r="H1355" s="5">
        <v>50</v>
      </c>
      <c r="I1355" s="5">
        <f t="shared" si="85"/>
        <v>293.66975814369101</v>
      </c>
      <c r="J1355" s="5">
        <f t="shared" si="87"/>
        <v>0</v>
      </c>
    </row>
    <row r="1356" spans="1:10" x14ac:dyDescent="0.2">
      <c r="A1356" s="5">
        <v>82</v>
      </c>
      <c r="B1356" s="5" t="s">
        <v>423</v>
      </c>
      <c r="C1356" s="5">
        <v>52</v>
      </c>
      <c r="D1356" s="5">
        <f t="shared" si="84"/>
        <v>329.63372180082422</v>
      </c>
      <c r="E1356" s="5">
        <f t="shared" si="86"/>
        <v>1</v>
      </c>
      <c r="F1356" s="5">
        <v>80.75</v>
      </c>
      <c r="G1356" s="5" t="s">
        <v>247</v>
      </c>
      <c r="H1356" s="5">
        <v>50</v>
      </c>
      <c r="I1356" s="5">
        <f t="shared" si="85"/>
        <v>293.66975814369101</v>
      </c>
      <c r="J1356" s="5">
        <f t="shared" si="87"/>
        <v>0</v>
      </c>
    </row>
    <row r="1357" spans="1:10" x14ac:dyDescent="0.2">
      <c r="A1357" s="5">
        <v>84</v>
      </c>
      <c r="B1357" s="5" t="s">
        <v>202</v>
      </c>
      <c r="C1357" s="5">
        <v>53</v>
      </c>
      <c r="D1357" s="5">
        <f t="shared" si="84"/>
        <v>349.23506143398839</v>
      </c>
      <c r="E1357" s="5">
        <f t="shared" si="86"/>
        <v>1</v>
      </c>
      <c r="F1357" s="5">
        <v>82</v>
      </c>
      <c r="G1357" s="5" t="s">
        <v>386</v>
      </c>
      <c r="H1357" s="5">
        <v>48</v>
      </c>
      <c r="I1357" s="5">
        <f t="shared" si="85"/>
        <v>261.62956379894968</v>
      </c>
      <c r="J1357" s="5">
        <f t="shared" si="87"/>
        <v>2</v>
      </c>
    </row>
    <row r="1358" spans="1:10" x14ac:dyDescent="0.2">
      <c r="A1358" s="5">
        <v>85</v>
      </c>
      <c r="B1358" s="5" t="s">
        <v>250</v>
      </c>
      <c r="C1358" s="5">
        <v>55</v>
      </c>
      <c r="D1358" s="5">
        <f t="shared" si="84"/>
        <v>392.00377257605692</v>
      </c>
      <c r="E1358" s="5">
        <f t="shared" si="86"/>
        <v>2</v>
      </c>
      <c r="F1358" s="5">
        <v>84</v>
      </c>
      <c r="G1358" s="5" t="s">
        <v>271</v>
      </c>
      <c r="H1358" s="5">
        <v>45</v>
      </c>
      <c r="I1358" s="5">
        <f t="shared" si="85"/>
        <v>220.00279814001337</v>
      </c>
      <c r="J1358" s="5">
        <f t="shared" si="87"/>
        <v>3</v>
      </c>
    </row>
    <row r="1359" spans="1:10" x14ac:dyDescent="0.2">
      <c r="A1359" s="5">
        <v>86.5</v>
      </c>
      <c r="B1359" s="5" t="s">
        <v>250</v>
      </c>
      <c r="C1359" s="5">
        <v>55</v>
      </c>
      <c r="D1359" s="5">
        <f t="shared" si="84"/>
        <v>392.00377257605692</v>
      </c>
      <c r="E1359" s="5">
        <f t="shared" si="86"/>
        <v>0</v>
      </c>
      <c r="F1359" s="5">
        <v>85</v>
      </c>
      <c r="G1359" s="5" t="s">
        <v>274</v>
      </c>
      <c r="H1359" s="5">
        <v>59</v>
      </c>
      <c r="I1359" s="5">
        <f t="shared" si="85"/>
        <v>493.89549345236594</v>
      </c>
      <c r="J1359" s="5">
        <f t="shared" si="87"/>
        <v>14</v>
      </c>
    </row>
    <row r="1360" spans="1:10" x14ac:dyDescent="0.2">
      <c r="A1360" s="5">
        <v>88</v>
      </c>
      <c r="B1360" s="5" t="s">
        <v>202</v>
      </c>
      <c r="C1360" s="5">
        <v>53</v>
      </c>
      <c r="D1360" s="5">
        <f t="shared" si="84"/>
        <v>349.23506143398839</v>
      </c>
      <c r="E1360" s="5">
        <f t="shared" si="86"/>
        <v>2</v>
      </c>
      <c r="F1360" s="5">
        <v>86.5</v>
      </c>
      <c r="G1360" s="5" t="s">
        <v>272</v>
      </c>
      <c r="H1360" s="5">
        <v>47</v>
      </c>
      <c r="I1360" s="5">
        <f t="shared" si="85"/>
        <v>246.94521361646048</v>
      </c>
      <c r="J1360" s="5">
        <f t="shared" si="87"/>
        <v>12</v>
      </c>
    </row>
    <row r="1361" spans="1:10" x14ac:dyDescent="0.2">
      <c r="A1361" s="5">
        <v>89</v>
      </c>
      <c r="B1361" s="5" t="s">
        <v>250</v>
      </c>
      <c r="C1361" s="5">
        <v>55</v>
      </c>
      <c r="D1361" s="5">
        <f t="shared" si="84"/>
        <v>392.00377257605692</v>
      </c>
      <c r="E1361" s="5">
        <f t="shared" si="86"/>
        <v>2</v>
      </c>
      <c r="F1361" s="5">
        <v>88</v>
      </c>
      <c r="G1361" s="5" t="s">
        <v>271</v>
      </c>
      <c r="H1361" s="5">
        <v>45</v>
      </c>
      <c r="I1361" s="5">
        <f t="shared" si="85"/>
        <v>220.00279814001337</v>
      </c>
      <c r="J1361" s="5">
        <f t="shared" si="87"/>
        <v>2</v>
      </c>
    </row>
    <row r="1362" spans="1:10" x14ac:dyDescent="0.2">
      <c r="A1362" s="5">
        <v>90.5</v>
      </c>
      <c r="B1362" s="5" t="s">
        <v>250</v>
      </c>
      <c r="C1362" s="5">
        <v>55</v>
      </c>
      <c r="D1362" s="5">
        <f t="shared" si="84"/>
        <v>392.00377257605692</v>
      </c>
      <c r="E1362" s="5">
        <f t="shared" si="86"/>
        <v>0</v>
      </c>
      <c r="F1362" s="5">
        <v>89</v>
      </c>
      <c r="G1362" s="5" t="s">
        <v>274</v>
      </c>
      <c r="H1362" s="5">
        <v>59</v>
      </c>
      <c r="I1362" s="5">
        <f t="shared" si="85"/>
        <v>493.89549345236594</v>
      </c>
      <c r="J1362" s="5">
        <f t="shared" si="87"/>
        <v>14</v>
      </c>
    </row>
    <row r="1363" spans="1:10" x14ac:dyDescent="0.2">
      <c r="A1363" s="5">
        <v>92</v>
      </c>
      <c r="B1363" s="5" t="s">
        <v>247</v>
      </c>
      <c r="C1363" s="5">
        <v>50</v>
      </c>
      <c r="D1363" s="5">
        <f t="shared" si="84"/>
        <v>293.66975814369101</v>
      </c>
      <c r="E1363" s="5">
        <f t="shared" si="86"/>
        <v>5</v>
      </c>
      <c r="F1363" s="5">
        <v>90.5</v>
      </c>
      <c r="G1363" s="5" t="s">
        <v>272</v>
      </c>
      <c r="H1363" s="5">
        <v>47</v>
      </c>
      <c r="I1363" s="5">
        <f t="shared" si="85"/>
        <v>246.94521361646048</v>
      </c>
      <c r="J1363" s="5">
        <f t="shared" si="87"/>
        <v>12</v>
      </c>
    </row>
    <row r="1364" spans="1:10" x14ac:dyDescent="0.2">
      <c r="A1364" s="5">
        <v>93</v>
      </c>
      <c r="B1364" s="5" t="s">
        <v>428</v>
      </c>
      <c r="C1364" s="5">
        <v>50</v>
      </c>
      <c r="D1364" s="5">
        <f t="shared" si="84"/>
        <v>293.66975814369101</v>
      </c>
      <c r="E1364" s="5">
        <f t="shared" si="86"/>
        <v>0</v>
      </c>
      <c r="F1364" s="5">
        <v>92</v>
      </c>
      <c r="G1364" s="5" t="s">
        <v>55</v>
      </c>
      <c r="H1364" s="5">
        <v>40</v>
      </c>
      <c r="I1364" s="5">
        <f t="shared" si="85"/>
        <v>164.8151702626221</v>
      </c>
      <c r="J1364" s="5">
        <f t="shared" si="87"/>
        <v>7</v>
      </c>
    </row>
    <row r="1365" spans="1:10" x14ac:dyDescent="0.2">
      <c r="A1365" s="5">
        <v>94</v>
      </c>
      <c r="B1365" s="5" t="s">
        <v>429</v>
      </c>
      <c r="C1365" s="5">
        <v>50</v>
      </c>
      <c r="D1365" s="5">
        <f t="shared" si="84"/>
        <v>293.66975814369101</v>
      </c>
      <c r="E1365" s="5">
        <f t="shared" si="86"/>
        <v>0</v>
      </c>
      <c r="F1365" s="5">
        <v>93</v>
      </c>
      <c r="G1365" s="5" t="s">
        <v>58</v>
      </c>
      <c r="H1365" s="5">
        <v>40</v>
      </c>
      <c r="I1365" s="5">
        <f t="shared" si="85"/>
        <v>164.8151702626221</v>
      </c>
      <c r="J1365" s="5">
        <f t="shared" si="87"/>
        <v>0</v>
      </c>
    </row>
    <row r="1366" spans="1:10" x14ac:dyDescent="0.2">
      <c r="A1366" s="5">
        <v>95</v>
      </c>
      <c r="B1366" s="5" t="s">
        <v>247</v>
      </c>
      <c r="C1366" s="5">
        <v>50</v>
      </c>
      <c r="D1366" s="5">
        <f t="shared" si="84"/>
        <v>293.66975814369101</v>
      </c>
      <c r="E1366" s="5">
        <f t="shared" si="86"/>
        <v>0</v>
      </c>
      <c r="F1366" s="5">
        <v>94</v>
      </c>
      <c r="G1366" s="5" t="s">
        <v>59</v>
      </c>
      <c r="H1366" s="5">
        <v>40</v>
      </c>
      <c r="I1366" s="5">
        <f t="shared" si="85"/>
        <v>164.8151702626221</v>
      </c>
      <c r="J1366" s="5">
        <f t="shared" si="87"/>
        <v>0</v>
      </c>
    </row>
    <row r="1367" spans="1:10" x14ac:dyDescent="0.2">
      <c r="A1367" s="5">
        <v>96</v>
      </c>
      <c r="B1367" s="5" t="s">
        <v>285</v>
      </c>
      <c r="C1367" s="5">
        <v>62</v>
      </c>
      <c r="D1367" s="5">
        <f t="shared" si="84"/>
        <v>587.34554108704231</v>
      </c>
      <c r="E1367" s="5">
        <f t="shared" si="86"/>
        <v>12</v>
      </c>
      <c r="F1367" s="5">
        <v>95</v>
      </c>
      <c r="G1367" s="5" t="s">
        <v>59</v>
      </c>
      <c r="H1367" s="5">
        <v>40</v>
      </c>
      <c r="I1367" s="5">
        <f t="shared" si="85"/>
        <v>164.8151702626221</v>
      </c>
      <c r="J1367" s="5">
        <f t="shared" si="87"/>
        <v>0</v>
      </c>
    </row>
    <row r="1368" spans="1:10" x14ac:dyDescent="0.2">
      <c r="A1368" s="5">
        <v>98</v>
      </c>
      <c r="B1368" s="5" t="s">
        <v>285</v>
      </c>
      <c r="C1368" s="5">
        <v>62</v>
      </c>
      <c r="D1368" s="5">
        <f t="shared" ref="D1368:D1431" si="88">16.35117682*1.059464^C1368</f>
        <v>587.34554108704231</v>
      </c>
      <c r="E1368" s="5">
        <f t="shared" si="86"/>
        <v>0</v>
      </c>
      <c r="F1368" s="5">
        <v>96</v>
      </c>
      <c r="G1368" s="5" t="s">
        <v>59</v>
      </c>
      <c r="H1368" s="5">
        <v>40</v>
      </c>
      <c r="I1368" s="5">
        <f t="shared" ref="I1368:I1431" si="89">16.35117682*1.059464^H1368</f>
        <v>164.8151702626221</v>
      </c>
      <c r="J1368" s="5">
        <f t="shared" si="87"/>
        <v>0</v>
      </c>
    </row>
    <row r="1369" spans="1:10" x14ac:dyDescent="0.2">
      <c r="A1369" s="5">
        <v>100</v>
      </c>
      <c r="B1369" s="5" t="s">
        <v>247</v>
      </c>
      <c r="C1369" s="5">
        <v>50</v>
      </c>
      <c r="D1369" s="5">
        <f t="shared" si="88"/>
        <v>293.66975814369101</v>
      </c>
      <c r="E1369" s="5">
        <f t="shared" ref="E1369:E1432" si="90">ABS( C1369-C1368)</f>
        <v>12</v>
      </c>
      <c r="F1369" s="5">
        <v>97</v>
      </c>
      <c r="G1369" s="5" t="s">
        <v>57</v>
      </c>
      <c r="H1369" s="5">
        <v>43</v>
      </c>
      <c r="I1369" s="5">
        <f t="shared" si="89"/>
        <v>195.99987576438383</v>
      </c>
      <c r="J1369" s="5">
        <f t="shared" ref="J1369:J1432" si="91">ABS( H1369-H1368)</f>
        <v>3</v>
      </c>
    </row>
    <row r="1370" spans="1:10" x14ac:dyDescent="0.2">
      <c r="A1370" s="5">
        <v>101</v>
      </c>
      <c r="B1370" s="5" t="s">
        <v>428</v>
      </c>
      <c r="C1370" s="5">
        <v>50</v>
      </c>
      <c r="D1370" s="5">
        <f t="shared" si="88"/>
        <v>293.66975814369101</v>
      </c>
      <c r="E1370" s="5">
        <f t="shared" si="90"/>
        <v>0</v>
      </c>
      <c r="F1370" s="5">
        <v>99</v>
      </c>
      <c r="G1370" s="5" t="s">
        <v>57</v>
      </c>
      <c r="H1370" s="5">
        <v>43</v>
      </c>
      <c r="I1370" s="5">
        <f t="shared" si="89"/>
        <v>195.99987576438383</v>
      </c>
      <c r="J1370" s="5">
        <f t="shared" si="91"/>
        <v>0</v>
      </c>
    </row>
    <row r="1371" spans="1:10" x14ac:dyDescent="0.2">
      <c r="A1371" s="5">
        <v>102</v>
      </c>
      <c r="B1371" s="5" t="s">
        <v>429</v>
      </c>
      <c r="C1371" s="5">
        <v>50</v>
      </c>
      <c r="D1371" s="5">
        <f t="shared" si="88"/>
        <v>293.66975814369101</v>
      </c>
      <c r="E1371" s="5">
        <f t="shared" si="90"/>
        <v>0</v>
      </c>
      <c r="F1371" s="5">
        <v>100.5</v>
      </c>
      <c r="G1371" s="5" t="s">
        <v>57</v>
      </c>
      <c r="H1371" s="5">
        <v>43</v>
      </c>
      <c r="I1371" s="5">
        <f t="shared" si="89"/>
        <v>195.99987576438383</v>
      </c>
      <c r="J1371" s="5">
        <f t="shared" si="91"/>
        <v>0</v>
      </c>
    </row>
    <row r="1372" spans="1:10" x14ac:dyDescent="0.2">
      <c r="A1372" s="5">
        <v>103</v>
      </c>
      <c r="B1372" s="5" t="s">
        <v>247</v>
      </c>
      <c r="C1372" s="5">
        <v>50</v>
      </c>
      <c r="D1372" s="5">
        <f t="shared" si="88"/>
        <v>293.66975814369101</v>
      </c>
      <c r="E1372" s="5">
        <f t="shared" si="90"/>
        <v>0</v>
      </c>
      <c r="F1372" s="5">
        <v>101.5</v>
      </c>
      <c r="G1372" s="5" t="s">
        <v>54</v>
      </c>
      <c r="H1372" s="5">
        <v>45</v>
      </c>
      <c r="I1372" s="5">
        <f t="shared" si="89"/>
        <v>220.00279814001337</v>
      </c>
      <c r="J1372" s="5">
        <f t="shared" si="91"/>
        <v>2</v>
      </c>
    </row>
    <row r="1373" spans="1:10" x14ac:dyDescent="0.2">
      <c r="A1373" s="5">
        <v>104</v>
      </c>
      <c r="B1373" s="5" t="s">
        <v>285</v>
      </c>
      <c r="C1373" s="5">
        <v>62</v>
      </c>
      <c r="D1373" s="5">
        <f t="shared" si="88"/>
        <v>587.34554108704231</v>
      </c>
      <c r="E1373" s="5">
        <f t="shared" si="90"/>
        <v>12</v>
      </c>
      <c r="F1373" s="5">
        <v>102.5</v>
      </c>
      <c r="G1373" s="5" t="s">
        <v>272</v>
      </c>
      <c r="H1373" s="5">
        <v>47</v>
      </c>
      <c r="I1373" s="5">
        <f t="shared" si="89"/>
        <v>246.94521361646048</v>
      </c>
      <c r="J1373" s="5">
        <f t="shared" si="91"/>
        <v>2</v>
      </c>
    </row>
    <row r="1374" spans="1:10" x14ac:dyDescent="0.2">
      <c r="A1374" s="5">
        <v>106</v>
      </c>
      <c r="B1374" s="5" t="s">
        <v>285</v>
      </c>
      <c r="C1374" s="5">
        <v>62</v>
      </c>
      <c r="D1374" s="5">
        <f t="shared" si="88"/>
        <v>587.34554108704231</v>
      </c>
      <c r="E1374" s="5">
        <f t="shared" si="90"/>
        <v>0</v>
      </c>
      <c r="F1374" s="5">
        <v>103.5</v>
      </c>
      <c r="G1374" s="5" t="s">
        <v>272</v>
      </c>
      <c r="H1374" s="5">
        <v>47</v>
      </c>
      <c r="I1374" s="5">
        <f t="shared" si="89"/>
        <v>246.94521361646048</v>
      </c>
      <c r="J1374" s="5">
        <f t="shared" si="91"/>
        <v>0</v>
      </c>
    </row>
    <row r="1375" spans="1:10" x14ac:dyDescent="0.2">
      <c r="A1375" s="5">
        <v>108</v>
      </c>
      <c r="B1375" s="5" t="s">
        <v>247</v>
      </c>
      <c r="C1375" s="5">
        <v>50</v>
      </c>
      <c r="D1375" s="5">
        <f t="shared" si="88"/>
        <v>293.66975814369101</v>
      </c>
      <c r="E1375" s="5">
        <f t="shared" si="90"/>
        <v>12</v>
      </c>
      <c r="F1375" s="5">
        <v>104.5</v>
      </c>
      <c r="G1375" s="5" t="s">
        <v>57</v>
      </c>
      <c r="H1375" s="5">
        <v>43</v>
      </c>
      <c r="I1375" s="5">
        <f t="shared" si="89"/>
        <v>195.99987576438383</v>
      </c>
      <c r="J1375" s="5">
        <f t="shared" si="91"/>
        <v>4</v>
      </c>
    </row>
    <row r="1376" spans="1:10" x14ac:dyDescent="0.2">
      <c r="A1376" s="5">
        <v>109</v>
      </c>
      <c r="B1376" s="5" t="s">
        <v>428</v>
      </c>
      <c r="C1376" s="5">
        <v>50</v>
      </c>
      <c r="D1376" s="5">
        <f t="shared" si="88"/>
        <v>293.66975814369101</v>
      </c>
      <c r="E1376" s="5">
        <f t="shared" si="90"/>
        <v>0</v>
      </c>
      <c r="F1376" s="5">
        <v>106</v>
      </c>
      <c r="G1376" s="5" t="s">
        <v>57</v>
      </c>
      <c r="H1376" s="5">
        <v>43</v>
      </c>
      <c r="I1376" s="5">
        <f t="shared" si="89"/>
        <v>195.99987576438383</v>
      </c>
      <c r="J1376" s="5">
        <f t="shared" si="91"/>
        <v>0</v>
      </c>
    </row>
    <row r="1377" spans="1:10" x14ac:dyDescent="0.2">
      <c r="A1377" s="5">
        <v>110</v>
      </c>
      <c r="B1377" s="5" t="s">
        <v>429</v>
      </c>
      <c r="C1377" s="5">
        <v>50</v>
      </c>
      <c r="D1377" s="5">
        <f t="shared" si="88"/>
        <v>293.66975814369101</v>
      </c>
      <c r="E1377" s="5">
        <f t="shared" si="90"/>
        <v>0</v>
      </c>
      <c r="F1377" s="5">
        <v>108</v>
      </c>
      <c r="G1377" s="5" t="s">
        <v>55</v>
      </c>
      <c r="H1377" s="5">
        <v>40</v>
      </c>
      <c r="I1377" s="5">
        <f t="shared" si="89"/>
        <v>164.8151702626221</v>
      </c>
      <c r="J1377" s="5">
        <f t="shared" si="91"/>
        <v>3</v>
      </c>
    </row>
    <row r="1378" spans="1:10" x14ac:dyDescent="0.2">
      <c r="A1378" s="5">
        <v>111</v>
      </c>
      <c r="B1378" s="5" t="s">
        <v>247</v>
      </c>
      <c r="C1378" s="5">
        <v>50</v>
      </c>
      <c r="D1378" s="5">
        <f t="shared" si="88"/>
        <v>293.66975814369101</v>
      </c>
      <c r="E1378" s="5">
        <f t="shared" si="90"/>
        <v>0</v>
      </c>
      <c r="F1378" s="5">
        <v>109</v>
      </c>
      <c r="G1378" s="5" t="s">
        <v>58</v>
      </c>
      <c r="H1378" s="5">
        <v>40</v>
      </c>
      <c r="I1378" s="5">
        <f t="shared" si="89"/>
        <v>164.8151702626221</v>
      </c>
      <c r="J1378" s="5">
        <f t="shared" si="91"/>
        <v>0</v>
      </c>
    </row>
    <row r="1379" spans="1:10" x14ac:dyDescent="0.2">
      <c r="A1379" s="5">
        <v>112</v>
      </c>
      <c r="B1379" s="5" t="s">
        <v>285</v>
      </c>
      <c r="C1379" s="5">
        <v>62</v>
      </c>
      <c r="D1379" s="5">
        <f t="shared" si="88"/>
        <v>587.34554108704231</v>
      </c>
      <c r="E1379" s="5">
        <f t="shared" si="90"/>
        <v>12</v>
      </c>
      <c r="F1379" s="5">
        <v>110</v>
      </c>
      <c r="G1379" s="5" t="s">
        <v>59</v>
      </c>
      <c r="H1379" s="5">
        <v>40</v>
      </c>
      <c r="I1379" s="5">
        <f t="shared" si="89"/>
        <v>164.8151702626221</v>
      </c>
      <c r="J1379" s="5">
        <f t="shared" si="91"/>
        <v>0</v>
      </c>
    </row>
    <row r="1380" spans="1:10" x14ac:dyDescent="0.2">
      <c r="A1380" s="5">
        <v>114</v>
      </c>
      <c r="B1380" s="5" t="s">
        <v>285</v>
      </c>
      <c r="C1380" s="5">
        <v>62</v>
      </c>
      <c r="D1380" s="5">
        <f t="shared" si="88"/>
        <v>587.34554108704231</v>
      </c>
      <c r="E1380" s="5">
        <f t="shared" si="90"/>
        <v>0</v>
      </c>
      <c r="F1380" s="5">
        <v>111</v>
      </c>
      <c r="G1380" s="5" t="s">
        <v>59</v>
      </c>
      <c r="H1380" s="5">
        <v>40</v>
      </c>
      <c r="I1380" s="5">
        <f t="shared" si="89"/>
        <v>164.8151702626221</v>
      </c>
      <c r="J1380" s="5">
        <f t="shared" si="91"/>
        <v>0</v>
      </c>
    </row>
    <row r="1381" spans="1:10" x14ac:dyDescent="0.2">
      <c r="A1381" s="5">
        <v>116</v>
      </c>
      <c r="B1381" s="5" t="s">
        <v>247</v>
      </c>
      <c r="C1381" s="5">
        <v>50</v>
      </c>
      <c r="D1381" s="5">
        <f t="shared" si="88"/>
        <v>293.66975814369101</v>
      </c>
      <c r="E1381" s="5">
        <f t="shared" si="90"/>
        <v>12</v>
      </c>
      <c r="F1381" s="5">
        <v>112</v>
      </c>
      <c r="G1381" s="5" t="s">
        <v>59</v>
      </c>
      <c r="H1381" s="5">
        <v>40</v>
      </c>
      <c r="I1381" s="5">
        <f t="shared" si="89"/>
        <v>164.8151702626221</v>
      </c>
      <c r="J1381" s="5">
        <f t="shared" si="91"/>
        <v>0</v>
      </c>
    </row>
    <row r="1382" spans="1:10" x14ac:dyDescent="0.2">
      <c r="A1382" s="5">
        <v>117</v>
      </c>
      <c r="B1382" s="5" t="s">
        <v>428</v>
      </c>
      <c r="C1382" s="5">
        <v>50</v>
      </c>
      <c r="D1382" s="5">
        <f t="shared" si="88"/>
        <v>293.66975814369101</v>
      </c>
      <c r="E1382" s="5">
        <f t="shared" si="90"/>
        <v>0</v>
      </c>
      <c r="F1382" s="5">
        <v>113</v>
      </c>
      <c r="G1382" s="5" t="s">
        <v>57</v>
      </c>
      <c r="H1382" s="5">
        <v>43</v>
      </c>
      <c r="I1382" s="5">
        <f t="shared" si="89"/>
        <v>195.99987576438383</v>
      </c>
      <c r="J1382" s="5">
        <f t="shared" si="91"/>
        <v>3</v>
      </c>
    </row>
    <row r="1383" spans="1:10" x14ac:dyDescent="0.2">
      <c r="A1383" s="5">
        <v>118</v>
      </c>
      <c r="B1383" s="5" t="s">
        <v>429</v>
      </c>
      <c r="C1383" s="5">
        <v>50</v>
      </c>
      <c r="D1383" s="5">
        <f t="shared" si="88"/>
        <v>293.66975814369101</v>
      </c>
      <c r="E1383" s="5">
        <f t="shared" si="90"/>
        <v>0</v>
      </c>
      <c r="F1383" s="5">
        <v>115</v>
      </c>
      <c r="G1383" s="5" t="s">
        <v>57</v>
      </c>
      <c r="H1383" s="5">
        <v>43</v>
      </c>
      <c r="I1383" s="5">
        <f t="shared" si="89"/>
        <v>195.99987576438383</v>
      </c>
      <c r="J1383" s="5">
        <f t="shared" si="91"/>
        <v>0</v>
      </c>
    </row>
    <row r="1384" spans="1:10" x14ac:dyDescent="0.2">
      <c r="A1384" s="5">
        <v>119</v>
      </c>
      <c r="B1384" s="5" t="s">
        <v>247</v>
      </c>
      <c r="C1384" s="5">
        <v>50</v>
      </c>
      <c r="D1384" s="5">
        <f t="shared" si="88"/>
        <v>293.66975814369101</v>
      </c>
      <c r="E1384" s="5">
        <f t="shared" si="90"/>
        <v>0</v>
      </c>
      <c r="F1384" s="5">
        <v>116.5</v>
      </c>
      <c r="G1384" s="5" t="s">
        <v>57</v>
      </c>
      <c r="H1384" s="5">
        <v>43</v>
      </c>
      <c r="I1384" s="5">
        <f t="shared" si="89"/>
        <v>195.99987576438383</v>
      </c>
      <c r="J1384" s="5">
        <f t="shared" si="91"/>
        <v>0</v>
      </c>
    </row>
    <row r="1385" spans="1:10" x14ac:dyDescent="0.2">
      <c r="A1385" s="5">
        <v>120</v>
      </c>
      <c r="B1385" s="5" t="s">
        <v>285</v>
      </c>
      <c r="C1385" s="5">
        <v>62</v>
      </c>
      <c r="D1385" s="5">
        <f t="shared" si="88"/>
        <v>587.34554108704231</v>
      </c>
      <c r="E1385" s="5">
        <f t="shared" si="90"/>
        <v>12</v>
      </c>
      <c r="F1385" s="5">
        <v>117.5</v>
      </c>
      <c r="G1385" s="5" t="s">
        <v>54</v>
      </c>
      <c r="H1385" s="5">
        <v>45</v>
      </c>
      <c r="I1385" s="5">
        <f t="shared" si="89"/>
        <v>220.00279814001337</v>
      </c>
      <c r="J1385" s="5">
        <f t="shared" si="91"/>
        <v>2</v>
      </c>
    </row>
    <row r="1386" spans="1:10" x14ac:dyDescent="0.2">
      <c r="A1386" s="5">
        <v>122</v>
      </c>
      <c r="B1386" s="5" t="s">
        <v>285</v>
      </c>
      <c r="C1386" s="5">
        <v>62</v>
      </c>
      <c r="D1386" s="5">
        <f t="shared" si="88"/>
        <v>587.34554108704231</v>
      </c>
      <c r="E1386" s="5">
        <f t="shared" si="90"/>
        <v>0</v>
      </c>
      <c r="F1386" s="5">
        <v>118.5</v>
      </c>
      <c r="G1386" s="5" t="s">
        <v>272</v>
      </c>
      <c r="H1386" s="5">
        <v>47</v>
      </c>
      <c r="I1386" s="5">
        <f t="shared" si="89"/>
        <v>246.94521361646048</v>
      </c>
      <c r="J1386" s="5">
        <f t="shared" si="91"/>
        <v>2</v>
      </c>
    </row>
    <row r="1387" spans="1:10" x14ac:dyDescent="0.2">
      <c r="A1387" s="5">
        <v>124</v>
      </c>
      <c r="B1387" s="5" t="s">
        <v>247</v>
      </c>
      <c r="C1387" s="5">
        <v>50</v>
      </c>
      <c r="D1387" s="5">
        <f t="shared" si="88"/>
        <v>293.66975814369101</v>
      </c>
      <c r="E1387" s="5">
        <f t="shared" si="90"/>
        <v>12</v>
      </c>
      <c r="F1387" s="5">
        <v>119.5</v>
      </c>
      <c r="G1387" s="5" t="s">
        <v>272</v>
      </c>
      <c r="H1387" s="5">
        <v>47</v>
      </c>
      <c r="I1387" s="5">
        <f t="shared" si="89"/>
        <v>246.94521361646048</v>
      </c>
      <c r="J1387" s="5">
        <f t="shared" si="91"/>
        <v>0</v>
      </c>
    </row>
    <row r="1388" spans="1:10" x14ac:dyDescent="0.2">
      <c r="A1388" s="5">
        <v>125</v>
      </c>
      <c r="B1388" s="5" t="s">
        <v>249</v>
      </c>
      <c r="C1388" s="5">
        <v>59</v>
      </c>
      <c r="D1388" s="5">
        <f t="shared" si="88"/>
        <v>493.89549345236594</v>
      </c>
      <c r="E1388" s="5">
        <f t="shared" si="90"/>
        <v>9</v>
      </c>
      <c r="F1388" s="5">
        <v>120.5</v>
      </c>
      <c r="G1388" s="5" t="s">
        <v>57</v>
      </c>
      <c r="H1388" s="5">
        <v>43</v>
      </c>
      <c r="I1388" s="5">
        <f t="shared" si="89"/>
        <v>195.99987576438383</v>
      </c>
      <c r="J1388" s="5">
        <f t="shared" si="91"/>
        <v>4</v>
      </c>
    </row>
    <row r="1389" spans="1:10" x14ac:dyDescent="0.2">
      <c r="A1389" s="5">
        <v>126.5</v>
      </c>
      <c r="B1389" s="5" t="s">
        <v>250</v>
      </c>
      <c r="C1389" s="5">
        <v>55</v>
      </c>
      <c r="D1389" s="5">
        <f t="shared" si="88"/>
        <v>392.00377257605692</v>
      </c>
      <c r="E1389" s="5">
        <f t="shared" si="90"/>
        <v>4</v>
      </c>
      <c r="F1389" s="5">
        <v>122</v>
      </c>
      <c r="G1389" s="5" t="s">
        <v>57</v>
      </c>
      <c r="H1389" s="5">
        <v>43</v>
      </c>
      <c r="I1389" s="5">
        <f t="shared" si="89"/>
        <v>195.99987576438383</v>
      </c>
      <c r="J1389" s="5">
        <f t="shared" si="91"/>
        <v>0</v>
      </c>
    </row>
    <row r="1390" spans="1:10" x14ac:dyDescent="0.2">
      <c r="A1390" s="5">
        <v>128.25</v>
      </c>
      <c r="B1390" s="5" t="s">
        <v>248</v>
      </c>
      <c r="C1390" s="5">
        <v>57</v>
      </c>
      <c r="D1390" s="5">
        <f t="shared" si="88"/>
        <v>440.01010976071973</v>
      </c>
      <c r="E1390" s="5">
        <f t="shared" si="90"/>
        <v>2</v>
      </c>
      <c r="F1390" s="5">
        <v>124</v>
      </c>
      <c r="G1390" s="5" t="s">
        <v>337</v>
      </c>
      <c r="H1390" s="5">
        <v>45</v>
      </c>
      <c r="I1390" s="5">
        <f t="shared" si="89"/>
        <v>220.00279814001337</v>
      </c>
      <c r="J1390" s="5">
        <f t="shared" si="91"/>
        <v>2</v>
      </c>
    </row>
    <row r="1391" spans="1:10" x14ac:dyDescent="0.2">
      <c r="A1391" s="5">
        <v>129.5</v>
      </c>
      <c r="B1391" s="5" t="s">
        <v>250</v>
      </c>
      <c r="C1391" s="5">
        <v>55</v>
      </c>
      <c r="D1391" s="5">
        <f t="shared" si="88"/>
        <v>392.00377257605692</v>
      </c>
      <c r="E1391" s="5">
        <f t="shared" si="90"/>
        <v>2</v>
      </c>
      <c r="F1391" s="5">
        <v>125</v>
      </c>
      <c r="G1391" s="5" t="s">
        <v>250</v>
      </c>
      <c r="H1391" s="5">
        <v>55</v>
      </c>
      <c r="I1391" s="5">
        <f t="shared" si="89"/>
        <v>392.00377257605692</v>
      </c>
      <c r="J1391" s="5">
        <f t="shared" si="91"/>
        <v>10</v>
      </c>
    </row>
    <row r="1392" spans="1:10" x14ac:dyDescent="0.2">
      <c r="A1392" s="5">
        <v>131</v>
      </c>
      <c r="B1392" s="5" t="s">
        <v>285</v>
      </c>
      <c r="C1392" s="5">
        <v>62</v>
      </c>
      <c r="D1392" s="5">
        <f t="shared" si="88"/>
        <v>587.34554108704231</v>
      </c>
      <c r="E1392" s="5">
        <f t="shared" si="90"/>
        <v>7</v>
      </c>
      <c r="F1392" s="5">
        <v>126.5</v>
      </c>
      <c r="G1392" s="5" t="s">
        <v>250</v>
      </c>
      <c r="H1392" s="5">
        <v>55</v>
      </c>
      <c r="I1392" s="5">
        <f t="shared" si="89"/>
        <v>392.00377257605692</v>
      </c>
      <c r="J1392" s="5">
        <f t="shared" si="91"/>
        <v>0</v>
      </c>
    </row>
    <row r="1393" spans="1:10" x14ac:dyDescent="0.2">
      <c r="A1393" s="5">
        <v>132.5</v>
      </c>
      <c r="B1393" s="5" t="s">
        <v>381</v>
      </c>
      <c r="C1393" s="5">
        <v>57</v>
      </c>
      <c r="D1393" s="5">
        <f t="shared" si="88"/>
        <v>440.01010976071973</v>
      </c>
      <c r="E1393" s="5">
        <f t="shared" si="90"/>
        <v>5</v>
      </c>
      <c r="F1393" s="5">
        <v>128.25</v>
      </c>
      <c r="G1393" s="5" t="s">
        <v>202</v>
      </c>
      <c r="H1393" s="5">
        <v>53</v>
      </c>
      <c r="I1393" s="5">
        <f t="shared" si="89"/>
        <v>349.23506143398839</v>
      </c>
      <c r="J1393" s="5">
        <f t="shared" si="91"/>
        <v>2</v>
      </c>
    </row>
    <row r="1394" spans="1:10" x14ac:dyDescent="0.2">
      <c r="A1394" s="5">
        <v>133.75</v>
      </c>
      <c r="B1394" s="5" t="s">
        <v>247</v>
      </c>
      <c r="C1394" s="5">
        <v>50</v>
      </c>
      <c r="D1394" s="5">
        <f t="shared" si="88"/>
        <v>293.66975814369101</v>
      </c>
      <c r="E1394" s="5">
        <f t="shared" si="90"/>
        <v>7</v>
      </c>
      <c r="F1394" s="5">
        <v>129.5</v>
      </c>
      <c r="G1394" s="5" t="s">
        <v>341</v>
      </c>
      <c r="H1394" s="5">
        <v>59</v>
      </c>
      <c r="I1394" s="5">
        <f t="shared" si="89"/>
        <v>493.89549345236594</v>
      </c>
      <c r="J1394" s="5">
        <f t="shared" si="91"/>
        <v>6</v>
      </c>
    </row>
    <row r="1395" spans="1:10" x14ac:dyDescent="0.2">
      <c r="A1395" s="5">
        <v>135.5</v>
      </c>
      <c r="B1395" s="5" t="s">
        <v>250</v>
      </c>
      <c r="C1395" s="5">
        <v>55</v>
      </c>
      <c r="D1395" s="5">
        <f t="shared" si="88"/>
        <v>392.00377257605692</v>
      </c>
      <c r="E1395" s="5">
        <f t="shared" si="90"/>
        <v>5</v>
      </c>
      <c r="F1395" s="5">
        <v>131</v>
      </c>
      <c r="G1395" s="5" t="s">
        <v>249</v>
      </c>
      <c r="H1395" s="5">
        <v>59</v>
      </c>
      <c r="I1395" s="5">
        <f t="shared" si="89"/>
        <v>493.89549345236594</v>
      </c>
      <c r="J1395" s="5">
        <f t="shared" si="91"/>
        <v>0</v>
      </c>
    </row>
    <row r="1396" spans="1:10" x14ac:dyDescent="0.2">
      <c r="A1396" s="5">
        <v>136.75</v>
      </c>
      <c r="B1396" s="5" t="s">
        <v>250</v>
      </c>
      <c r="C1396" s="5">
        <v>55</v>
      </c>
      <c r="D1396" s="5">
        <f t="shared" si="88"/>
        <v>392.00377257605692</v>
      </c>
      <c r="E1396" s="5">
        <f t="shared" si="90"/>
        <v>0</v>
      </c>
      <c r="F1396" s="5">
        <v>132.5</v>
      </c>
      <c r="G1396" s="5" t="s">
        <v>202</v>
      </c>
      <c r="H1396" s="5">
        <v>53</v>
      </c>
      <c r="I1396" s="5">
        <f t="shared" si="89"/>
        <v>349.23506143398839</v>
      </c>
      <c r="J1396" s="5">
        <f t="shared" si="91"/>
        <v>6</v>
      </c>
    </row>
    <row r="1397" spans="1:10" x14ac:dyDescent="0.2">
      <c r="A1397" s="5">
        <v>138.5</v>
      </c>
      <c r="B1397" s="5" t="s">
        <v>250</v>
      </c>
      <c r="C1397" s="5">
        <v>55</v>
      </c>
      <c r="D1397" s="5">
        <f t="shared" si="88"/>
        <v>392.00377257605692</v>
      </c>
      <c r="E1397" s="5">
        <f t="shared" si="90"/>
        <v>0</v>
      </c>
      <c r="F1397" s="5">
        <v>133.75</v>
      </c>
      <c r="G1397" s="5" t="s">
        <v>247</v>
      </c>
      <c r="H1397" s="5">
        <v>50</v>
      </c>
      <c r="I1397" s="5">
        <f t="shared" si="89"/>
        <v>293.66975814369101</v>
      </c>
      <c r="J1397" s="5">
        <f t="shared" si="91"/>
        <v>3</v>
      </c>
    </row>
    <row r="1398" spans="1:10" x14ac:dyDescent="0.2">
      <c r="A1398" s="5">
        <v>140.25</v>
      </c>
      <c r="B1398" s="5" t="s">
        <v>248</v>
      </c>
      <c r="C1398" s="5">
        <v>57</v>
      </c>
      <c r="D1398" s="5">
        <f t="shared" si="88"/>
        <v>440.01010976071973</v>
      </c>
      <c r="E1398" s="5">
        <f t="shared" si="90"/>
        <v>2</v>
      </c>
      <c r="F1398" s="5">
        <v>135.5</v>
      </c>
      <c r="G1398" s="5" t="s">
        <v>247</v>
      </c>
      <c r="H1398" s="5">
        <v>50</v>
      </c>
      <c r="I1398" s="5">
        <f t="shared" si="89"/>
        <v>293.66975814369101</v>
      </c>
      <c r="J1398" s="5">
        <f t="shared" si="91"/>
        <v>0</v>
      </c>
    </row>
    <row r="1399" spans="1:10" x14ac:dyDescent="0.2">
      <c r="A1399" s="5">
        <v>141.5</v>
      </c>
      <c r="B1399" s="5" t="s">
        <v>250</v>
      </c>
      <c r="C1399" s="5">
        <v>55</v>
      </c>
      <c r="D1399" s="5">
        <f t="shared" si="88"/>
        <v>392.00377257605692</v>
      </c>
      <c r="E1399" s="5">
        <f t="shared" si="90"/>
        <v>2</v>
      </c>
      <c r="F1399" s="5">
        <v>136.75</v>
      </c>
      <c r="G1399" s="5" t="s">
        <v>247</v>
      </c>
      <c r="H1399" s="5">
        <v>50</v>
      </c>
      <c r="I1399" s="5">
        <f t="shared" si="89"/>
        <v>293.66975814369101</v>
      </c>
      <c r="J1399" s="5">
        <f t="shared" si="91"/>
        <v>0</v>
      </c>
    </row>
    <row r="1400" spans="1:10" x14ac:dyDescent="0.2">
      <c r="A1400" s="5">
        <v>143</v>
      </c>
      <c r="B1400" s="5" t="s">
        <v>285</v>
      </c>
      <c r="C1400" s="5">
        <v>62</v>
      </c>
      <c r="D1400" s="5">
        <f t="shared" si="88"/>
        <v>587.34554108704231</v>
      </c>
      <c r="E1400" s="5">
        <f t="shared" si="90"/>
        <v>7</v>
      </c>
      <c r="F1400" s="5">
        <v>138</v>
      </c>
      <c r="G1400" s="5" t="s">
        <v>386</v>
      </c>
      <c r="H1400" s="5">
        <v>48</v>
      </c>
      <c r="I1400" s="5">
        <f t="shared" si="89"/>
        <v>261.62956379894968</v>
      </c>
      <c r="J1400" s="5">
        <f t="shared" si="91"/>
        <v>2</v>
      </c>
    </row>
    <row r="1401" spans="1:10" x14ac:dyDescent="0.2">
      <c r="A1401" s="5">
        <v>144.5</v>
      </c>
      <c r="B1401" s="5" t="s">
        <v>249</v>
      </c>
      <c r="C1401" s="5">
        <v>59</v>
      </c>
      <c r="D1401" s="5">
        <f t="shared" si="88"/>
        <v>493.89549345236594</v>
      </c>
      <c r="E1401" s="5">
        <f t="shared" si="90"/>
        <v>3</v>
      </c>
      <c r="F1401" s="5">
        <v>140</v>
      </c>
      <c r="G1401" s="5" t="s">
        <v>337</v>
      </c>
      <c r="H1401" s="5">
        <v>45</v>
      </c>
      <c r="I1401" s="5">
        <f t="shared" si="89"/>
        <v>220.00279814001337</v>
      </c>
      <c r="J1401" s="5">
        <f t="shared" si="91"/>
        <v>3</v>
      </c>
    </row>
    <row r="1402" spans="1:10" x14ac:dyDescent="0.2">
      <c r="A1402" s="5">
        <v>145.75</v>
      </c>
      <c r="B1402" s="5" t="s">
        <v>373</v>
      </c>
      <c r="C1402" s="5">
        <v>50</v>
      </c>
      <c r="D1402" s="5">
        <f t="shared" si="88"/>
        <v>293.66975814369101</v>
      </c>
      <c r="E1402" s="5">
        <f t="shared" si="90"/>
        <v>9</v>
      </c>
      <c r="F1402" s="5">
        <v>141</v>
      </c>
      <c r="G1402" s="5" t="s">
        <v>250</v>
      </c>
      <c r="H1402" s="5">
        <v>55</v>
      </c>
      <c r="I1402" s="5">
        <f t="shared" si="89"/>
        <v>392.00377257605692</v>
      </c>
      <c r="J1402" s="5">
        <f t="shared" si="91"/>
        <v>10</v>
      </c>
    </row>
    <row r="1403" spans="1:10" x14ac:dyDescent="0.2">
      <c r="A1403" s="5">
        <v>147.5</v>
      </c>
      <c r="B1403" s="5" t="s">
        <v>250</v>
      </c>
      <c r="C1403" s="5">
        <v>55</v>
      </c>
      <c r="D1403" s="5">
        <f t="shared" si="88"/>
        <v>392.00377257605692</v>
      </c>
      <c r="E1403" s="5">
        <f t="shared" si="90"/>
        <v>5</v>
      </c>
      <c r="F1403" s="5">
        <v>142.5</v>
      </c>
      <c r="G1403" s="5" t="s">
        <v>250</v>
      </c>
      <c r="H1403" s="5">
        <v>55</v>
      </c>
      <c r="I1403" s="5">
        <f t="shared" si="89"/>
        <v>392.00377257605692</v>
      </c>
      <c r="J1403" s="5">
        <f t="shared" si="91"/>
        <v>0</v>
      </c>
    </row>
    <row r="1404" spans="1:10" x14ac:dyDescent="0.2">
      <c r="A1404" s="5">
        <v>148.75</v>
      </c>
      <c r="B1404" s="5" t="s">
        <v>374</v>
      </c>
      <c r="C1404" s="5">
        <v>55</v>
      </c>
      <c r="D1404" s="5">
        <f t="shared" si="88"/>
        <v>392.00377257605692</v>
      </c>
      <c r="E1404" s="5">
        <f t="shared" si="90"/>
        <v>0</v>
      </c>
      <c r="F1404" s="5">
        <v>144.25</v>
      </c>
      <c r="G1404" s="5" t="s">
        <v>202</v>
      </c>
      <c r="H1404" s="5">
        <v>53</v>
      </c>
      <c r="I1404" s="5">
        <f t="shared" si="89"/>
        <v>349.23506143398839</v>
      </c>
      <c r="J1404" s="5">
        <f t="shared" si="91"/>
        <v>2</v>
      </c>
    </row>
    <row r="1405" spans="1:10" x14ac:dyDescent="0.2">
      <c r="A1405" s="5">
        <v>150</v>
      </c>
      <c r="B1405" s="5" t="s">
        <v>248</v>
      </c>
      <c r="C1405" s="5">
        <v>57</v>
      </c>
      <c r="D1405" s="5">
        <f t="shared" si="88"/>
        <v>440.01010976071973</v>
      </c>
      <c r="E1405" s="5">
        <f t="shared" si="90"/>
        <v>2</v>
      </c>
      <c r="F1405" s="5">
        <v>145.5</v>
      </c>
      <c r="G1405" s="5" t="s">
        <v>341</v>
      </c>
      <c r="H1405" s="5">
        <v>59</v>
      </c>
      <c r="I1405" s="5">
        <f t="shared" si="89"/>
        <v>493.89549345236594</v>
      </c>
      <c r="J1405" s="5">
        <f t="shared" si="91"/>
        <v>6</v>
      </c>
    </row>
    <row r="1406" spans="1:10" x14ac:dyDescent="0.2">
      <c r="A1406" s="5">
        <v>152</v>
      </c>
      <c r="B1406" s="5" t="s">
        <v>247</v>
      </c>
      <c r="C1406" s="5">
        <v>50</v>
      </c>
      <c r="D1406" s="5">
        <f t="shared" si="88"/>
        <v>293.66975814369101</v>
      </c>
      <c r="E1406" s="5">
        <f t="shared" si="90"/>
        <v>7</v>
      </c>
      <c r="F1406" s="5">
        <v>147</v>
      </c>
      <c r="G1406" s="5" t="s">
        <v>249</v>
      </c>
      <c r="H1406" s="5">
        <v>59</v>
      </c>
      <c r="I1406" s="5">
        <f t="shared" si="89"/>
        <v>493.89549345236594</v>
      </c>
      <c r="J1406" s="5">
        <f t="shared" si="91"/>
        <v>0</v>
      </c>
    </row>
    <row r="1407" spans="1:10" x14ac:dyDescent="0.2">
      <c r="A1407" s="5">
        <v>153</v>
      </c>
      <c r="B1407" s="5" t="s">
        <v>423</v>
      </c>
      <c r="C1407" s="5">
        <v>52</v>
      </c>
      <c r="D1407" s="5">
        <f t="shared" si="88"/>
        <v>329.63372180082422</v>
      </c>
      <c r="E1407" s="5">
        <f t="shared" si="90"/>
        <v>2</v>
      </c>
      <c r="F1407" s="5">
        <v>148.5</v>
      </c>
      <c r="G1407" s="5" t="s">
        <v>202</v>
      </c>
      <c r="H1407" s="5">
        <v>53</v>
      </c>
      <c r="I1407" s="5">
        <f t="shared" si="89"/>
        <v>349.23506143398839</v>
      </c>
      <c r="J1407" s="5">
        <f t="shared" si="91"/>
        <v>6</v>
      </c>
    </row>
    <row r="1408" spans="1:10" x14ac:dyDescent="0.2">
      <c r="A1408" s="5">
        <v>155</v>
      </c>
      <c r="B1408" s="5" t="s">
        <v>424</v>
      </c>
      <c r="C1408" s="5">
        <v>52</v>
      </c>
      <c r="D1408" s="5">
        <f t="shared" si="88"/>
        <v>329.63372180082422</v>
      </c>
      <c r="E1408" s="5">
        <f t="shared" si="90"/>
        <v>0</v>
      </c>
      <c r="F1408" s="5">
        <v>149.75</v>
      </c>
      <c r="G1408" s="5" t="s">
        <v>247</v>
      </c>
      <c r="H1408" s="5">
        <v>50</v>
      </c>
      <c r="I1408" s="5">
        <f t="shared" si="89"/>
        <v>293.66975814369101</v>
      </c>
      <c r="J1408" s="5">
        <f t="shared" si="91"/>
        <v>3</v>
      </c>
    </row>
    <row r="1409" spans="1:10" x14ac:dyDescent="0.2">
      <c r="A1409" s="5">
        <v>156.5</v>
      </c>
      <c r="B1409" s="5" t="s">
        <v>249</v>
      </c>
      <c r="C1409" s="5">
        <v>59</v>
      </c>
      <c r="D1409" s="5">
        <f t="shared" si="88"/>
        <v>493.89549345236594</v>
      </c>
      <c r="E1409" s="5">
        <f t="shared" si="90"/>
        <v>7</v>
      </c>
      <c r="F1409" s="5">
        <v>151.5</v>
      </c>
      <c r="G1409" s="5" t="s">
        <v>247</v>
      </c>
      <c r="H1409" s="5">
        <v>50</v>
      </c>
      <c r="I1409" s="5">
        <f t="shared" si="89"/>
        <v>293.66975814369101</v>
      </c>
      <c r="J1409" s="5">
        <f t="shared" si="91"/>
        <v>0</v>
      </c>
    </row>
    <row r="1410" spans="1:10" x14ac:dyDescent="0.2">
      <c r="A1410" s="5">
        <v>157.75</v>
      </c>
      <c r="B1410" s="5" t="s">
        <v>247</v>
      </c>
      <c r="C1410" s="5">
        <v>50</v>
      </c>
      <c r="D1410" s="5">
        <f t="shared" si="88"/>
        <v>293.66975814369101</v>
      </c>
      <c r="E1410" s="5">
        <f t="shared" si="90"/>
        <v>9</v>
      </c>
      <c r="F1410" s="5">
        <v>152.75</v>
      </c>
      <c r="G1410" s="5" t="s">
        <v>247</v>
      </c>
      <c r="H1410" s="5">
        <v>50</v>
      </c>
      <c r="I1410" s="5">
        <f t="shared" si="89"/>
        <v>293.66975814369101</v>
      </c>
      <c r="J1410" s="5">
        <f t="shared" si="91"/>
        <v>0</v>
      </c>
    </row>
    <row r="1411" spans="1:10" x14ac:dyDescent="0.2">
      <c r="A1411" s="5">
        <v>159.5</v>
      </c>
      <c r="B1411" s="5" t="s">
        <v>250</v>
      </c>
      <c r="C1411" s="5">
        <v>55</v>
      </c>
      <c r="D1411" s="5">
        <f t="shared" si="88"/>
        <v>392.00377257605692</v>
      </c>
      <c r="E1411" s="5">
        <f t="shared" si="90"/>
        <v>5</v>
      </c>
      <c r="F1411" s="5">
        <v>154</v>
      </c>
      <c r="G1411" s="5" t="s">
        <v>386</v>
      </c>
      <c r="H1411" s="5">
        <v>48</v>
      </c>
      <c r="I1411" s="5">
        <f t="shared" si="89"/>
        <v>261.62956379894968</v>
      </c>
      <c r="J1411" s="5">
        <f t="shared" si="91"/>
        <v>2</v>
      </c>
    </row>
    <row r="1412" spans="1:10" x14ac:dyDescent="0.2">
      <c r="A1412" s="5">
        <v>160.75</v>
      </c>
      <c r="B1412" s="5" t="s">
        <v>250</v>
      </c>
      <c r="C1412" s="5">
        <v>55</v>
      </c>
      <c r="D1412" s="5">
        <f t="shared" si="88"/>
        <v>392.00377257605692</v>
      </c>
      <c r="E1412" s="5">
        <f t="shared" si="90"/>
        <v>0</v>
      </c>
      <c r="F1412" s="5">
        <v>156</v>
      </c>
      <c r="G1412" s="5" t="s">
        <v>337</v>
      </c>
      <c r="H1412" s="5">
        <v>45</v>
      </c>
      <c r="I1412" s="5">
        <f t="shared" si="89"/>
        <v>220.00279814001337</v>
      </c>
      <c r="J1412" s="5">
        <f t="shared" si="91"/>
        <v>3</v>
      </c>
    </row>
    <row r="1413" spans="1:10" x14ac:dyDescent="0.2">
      <c r="A1413" s="5">
        <v>162</v>
      </c>
      <c r="B1413" s="5" t="s">
        <v>249</v>
      </c>
      <c r="C1413" s="5">
        <v>59</v>
      </c>
      <c r="D1413" s="5">
        <f t="shared" si="88"/>
        <v>493.89549345236594</v>
      </c>
      <c r="E1413" s="5">
        <f t="shared" si="90"/>
        <v>4</v>
      </c>
      <c r="F1413" s="5">
        <v>157</v>
      </c>
      <c r="G1413" s="5" t="s">
        <v>250</v>
      </c>
      <c r="H1413" s="5">
        <v>55</v>
      </c>
      <c r="I1413" s="5">
        <f t="shared" si="89"/>
        <v>392.00377257605692</v>
      </c>
      <c r="J1413" s="5">
        <f t="shared" si="91"/>
        <v>10</v>
      </c>
    </row>
    <row r="1414" spans="1:10" x14ac:dyDescent="0.2">
      <c r="A1414" s="5">
        <v>164</v>
      </c>
      <c r="B1414" s="5" t="s">
        <v>375</v>
      </c>
      <c r="C1414" s="5">
        <v>50</v>
      </c>
      <c r="D1414" s="5">
        <f t="shared" si="88"/>
        <v>293.66975814369101</v>
      </c>
      <c r="E1414" s="5">
        <f t="shared" si="90"/>
        <v>9</v>
      </c>
      <c r="F1414" s="5">
        <v>158.5</v>
      </c>
      <c r="G1414" s="5" t="s">
        <v>250</v>
      </c>
      <c r="H1414" s="5">
        <v>55</v>
      </c>
      <c r="I1414" s="5">
        <f t="shared" si="89"/>
        <v>392.00377257605692</v>
      </c>
      <c r="J1414" s="5">
        <f t="shared" si="91"/>
        <v>0</v>
      </c>
    </row>
    <row r="1415" spans="1:10" x14ac:dyDescent="0.2">
      <c r="A1415" s="5">
        <v>165</v>
      </c>
      <c r="B1415" s="5" t="s">
        <v>248</v>
      </c>
      <c r="C1415" s="5">
        <v>57</v>
      </c>
      <c r="D1415" s="5">
        <f t="shared" si="88"/>
        <v>440.01010976071973</v>
      </c>
      <c r="E1415" s="5">
        <f t="shared" si="90"/>
        <v>7</v>
      </c>
      <c r="F1415" s="5">
        <v>160.25</v>
      </c>
      <c r="G1415" s="5" t="s">
        <v>202</v>
      </c>
      <c r="H1415" s="5">
        <v>53</v>
      </c>
      <c r="I1415" s="5">
        <f t="shared" si="89"/>
        <v>349.23506143398839</v>
      </c>
      <c r="J1415" s="5">
        <f t="shared" si="91"/>
        <v>2</v>
      </c>
    </row>
    <row r="1416" spans="1:10" x14ac:dyDescent="0.2">
      <c r="A1416" s="5">
        <v>166.5</v>
      </c>
      <c r="B1416" s="5" t="s">
        <v>250</v>
      </c>
      <c r="C1416" s="5">
        <v>55</v>
      </c>
      <c r="D1416" s="5">
        <f t="shared" si="88"/>
        <v>392.00377257605692</v>
      </c>
      <c r="E1416" s="5">
        <f t="shared" si="90"/>
        <v>2</v>
      </c>
      <c r="F1416" s="5">
        <v>161.5</v>
      </c>
      <c r="G1416" s="5" t="s">
        <v>341</v>
      </c>
      <c r="H1416" s="5">
        <v>59</v>
      </c>
      <c r="I1416" s="5">
        <f t="shared" si="89"/>
        <v>493.89549345236594</v>
      </c>
      <c r="J1416" s="5">
        <f t="shared" si="91"/>
        <v>6</v>
      </c>
    </row>
    <row r="1417" spans="1:10" x14ac:dyDescent="0.2">
      <c r="A1417" s="5">
        <v>168.25</v>
      </c>
      <c r="B1417" s="5" t="s">
        <v>423</v>
      </c>
      <c r="C1417" s="5">
        <v>52</v>
      </c>
      <c r="D1417" s="5">
        <f t="shared" si="88"/>
        <v>329.63372180082422</v>
      </c>
      <c r="E1417" s="5">
        <f t="shared" si="90"/>
        <v>3</v>
      </c>
      <c r="F1417" s="5">
        <v>163</v>
      </c>
      <c r="G1417" s="5" t="s">
        <v>249</v>
      </c>
      <c r="H1417" s="5">
        <v>59</v>
      </c>
      <c r="I1417" s="5">
        <f t="shared" si="89"/>
        <v>493.89549345236594</v>
      </c>
      <c r="J1417" s="5">
        <f t="shared" si="91"/>
        <v>0</v>
      </c>
    </row>
    <row r="1418" spans="1:10" x14ac:dyDescent="0.2">
      <c r="A1418" s="5">
        <v>169.5</v>
      </c>
      <c r="B1418" s="5" t="s">
        <v>250</v>
      </c>
      <c r="C1418" s="5">
        <v>55</v>
      </c>
      <c r="D1418" s="5">
        <f t="shared" si="88"/>
        <v>392.00377257605692</v>
      </c>
      <c r="E1418" s="5">
        <f t="shared" si="90"/>
        <v>3</v>
      </c>
      <c r="F1418" s="5">
        <v>164.5</v>
      </c>
      <c r="G1418" s="5" t="s">
        <v>202</v>
      </c>
      <c r="H1418" s="5">
        <v>53</v>
      </c>
      <c r="I1418" s="5">
        <f t="shared" si="89"/>
        <v>349.23506143398839</v>
      </c>
      <c r="J1418" s="5">
        <f t="shared" si="91"/>
        <v>6</v>
      </c>
    </row>
    <row r="1419" spans="1:10" x14ac:dyDescent="0.2">
      <c r="A1419" s="5">
        <v>171.5</v>
      </c>
      <c r="B1419" s="5" t="s">
        <v>250</v>
      </c>
      <c r="C1419" s="5">
        <v>55</v>
      </c>
      <c r="D1419" s="5">
        <f t="shared" si="88"/>
        <v>392.00377257605692</v>
      </c>
      <c r="E1419" s="5">
        <f t="shared" si="90"/>
        <v>0</v>
      </c>
      <c r="F1419" s="5">
        <v>165.75</v>
      </c>
      <c r="G1419" s="5" t="s">
        <v>247</v>
      </c>
      <c r="H1419" s="5">
        <v>50</v>
      </c>
      <c r="I1419" s="5">
        <f t="shared" si="89"/>
        <v>293.66975814369101</v>
      </c>
      <c r="J1419" s="5">
        <f t="shared" si="91"/>
        <v>3</v>
      </c>
    </row>
    <row r="1420" spans="1:10" x14ac:dyDescent="0.2">
      <c r="A1420" s="5">
        <v>172.75</v>
      </c>
      <c r="B1420" s="5" t="s">
        <v>250</v>
      </c>
      <c r="C1420" s="5">
        <v>55</v>
      </c>
      <c r="D1420" s="5">
        <f t="shared" si="88"/>
        <v>392.00377257605692</v>
      </c>
      <c r="E1420" s="5">
        <f t="shared" si="90"/>
        <v>0</v>
      </c>
      <c r="F1420" s="5">
        <v>167.5</v>
      </c>
      <c r="G1420" s="5" t="s">
        <v>247</v>
      </c>
      <c r="H1420" s="5">
        <v>50</v>
      </c>
      <c r="I1420" s="5">
        <f t="shared" si="89"/>
        <v>293.66975814369101</v>
      </c>
      <c r="J1420" s="5">
        <f t="shared" si="91"/>
        <v>0</v>
      </c>
    </row>
    <row r="1421" spans="1:10" x14ac:dyDescent="0.2">
      <c r="A1421" s="5">
        <v>174</v>
      </c>
      <c r="B1421" s="5" t="s">
        <v>249</v>
      </c>
      <c r="C1421" s="5">
        <v>59</v>
      </c>
      <c r="D1421" s="5">
        <f t="shared" si="88"/>
        <v>493.89549345236594</v>
      </c>
      <c r="E1421" s="5">
        <f t="shared" si="90"/>
        <v>4</v>
      </c>
      <c r="F1421" s="5">
        <v>168.75</v>
      </c>
      <c r="G1421" s="5" t="s">
        <v>247</v>
      </c>
      <c r="H1421" s="5">
        <v>50</v>
      </c>
      <c r="I1421" s="5">
        <f t="shared" si="89"/>
        <v>293.66975814369101</v>
      </c>
      <c r="J1421" s="5">
        <f t="shared" si="91"/>
        <v>0</v>
      </c>
    </row>
    <row r="1422" spans="1:10" x14ac:dyDescent="0.2">
      <c r="A1422" s="5">
        <v>176</v>
      </c>
      <c r="B1422" s="5" t="s">
        <v>288</v>
      </c>
      <c r="C1422" s="5">
        <v>50</v>
      </c>
      <c r="D1422" s="5">
        <f t="shared" si="88"/>
        <v>293.66975814369101</v>
      </c>
      <c r="E1422" s="5">
        <f t="shared" si="90"/>
        <v>9</v>
      </c>
      <c r="F1422" s="5">
        <v>170</v>
      </c>
      <c r="G1422" s="5" t="s">
        <v>386</v>
      </c>
      <c r="H1422" s="5">
        <v>48</v>
      </c>
      <c r="I1422" s="5">
        <f t="shared" si="89"/>
        <v>261.62956379894968</v>
      </c>
      <c r="J1422" s="5">
        <f t="shared" si="91"/>
        <v>2</v>
      </c>
    </row>
    <row r="1423" spans="1:10" x14ac:dyDescent="0.2">
      <c r="A1423" s="5">
        <v>177</v>
      </c>
      <c r="B1423" s="5" t="s">
        <v>249</v>
      </c>
      <c r="C1423" s="5">
        <v>59</v>
      </c>
      <c r="D1423" s="5">
        <f t="shared" si="88"/>
        <v>493.89549345236594</v>
      </c>
      <c r="E1423" s="5">
        <f t="shared" si="90"/>
        <v>9</v>
      </c>
      <c r="F1423" s="5">
        <v>172</v>
      </c>
      <c r="G1423" s="5" t="s">
        <v>337</v>
      </c>
      <c r="H1423" s="5">
        <v>45</v>
      </c>
      <c r="I1423" s="5">
        <f t="shared" si="89"/>
        <v>220.00279814001337</v>
      </c>
      <c r="J1423" s="5">
        <f t="shared" si="91"/>
        <v>3</v>
      </c>
    </row>
    <row r="1424" spans="1:10" x14ac:dyDescent="0.2">
      <c r="A1424" s="5">
        <v>178.5</v>
      </c>
      <c r="B1424" s="5" t="s">
        <v>250</v>
      </c>
      <c r="C1424" s="5">
        <v>55</v>
      </c>
      <c r="D1424" s="5">
        <f t="shared" si="88"/>
        <v>392.00377257605692</v>
      </c>
      <c r="E1424" s="5">
        <f t="shared" si="90"/>
        <v>4</v>
      </c>
      <c r="F1424" s="5">
        <v>173</v>
      </c>
      <c r="G1424" s="5" t="s">
        <v>250</v>
      </c>
      <c r="H1424" s="5">
        <v>55</v>
      </c>
      <c r="I1424" s="5">
        <f t="shared" si="89"/>
        <v>392.00377257605692</v>
      </c>
      <c r="J1424" s="5">
        <f t="shared" si="91"/>
        <v>10</v>
      </c>
    </row>
    <row r="1425" spans="1:10" x14ac:dyDescent="0.2">
      <c r="A1425" s="5">
        <v>180.25</v>
      </c>
      <c r="B1425" s="5" t="s">
        <v>374</v>
      </c>
      <c r="C1425" s="5">
        <v>55</v>
      </c>
      <c r="D1425" s="5">
        <f t="shared" si="88"/>
        <v>392.00377257605692</v>
      </c>
      <c r="E1425" s="5">
        <f t="shared" si="90"/>
        <v>0</v>
      </c>
      <c r="F1425" s="5">
        <v>174.5</v>
      </c>
      <c r="G1425" s="5" t="s">
        <v>250</v>
      </c>
      <c r="H1425" s="5">
        <v>55</v>
      </c>
      <c r="I1425" s="5">
        <f t="shared" si="89"/>
        <v>392.00377257605692</v>
      </c>
      <c r="J1425" s="5">
        <f t="shared" si="91"/>
        <v>0</v>
      </c>
    </row>
    <row r="1426" spans="1:10" x14ac:dyDescent="0.2">
      <c r="A1426" s="5">
        <v>181.5</v>
      </c>
      <c r="B1426" s="5" t="s">
        <v>382</v>
      </c>
      <c r="C1426" s="5">
        <v>55</v>
      </c>
      <c r="D1426" s="5">
        <f t="shared" si="88"/>
        <v>392.00377257605692</v>
      </c>
      <c r="E1426" s="5">
        <f t="shared" si="90"/>
        <v>0</v>
      </c>
      <c r="F1426" s="5">
        <v>176.25</v>
      </c>
      <c r="G1426" s="5" t="s">
        <v>202</v>
      </c>
      <c r="H1426" s="5">
        <v>53</v>
      </c>
      <c r="I1426" s="5">
        <f t="shared" si="89"/>
        <v>349.23506143398839</v>
      </c>
      <c r="J1426" s="5">
        <f t="shared" si="91"/>
        <v>2</v>
      </c>
    </row>
    <row r="1427" spans="1:10" x14ac:dyDescent="0.2">
      <c r="A1427" s="5">
        <v>183</v>
      </c>
      <c r="B1427" s="5" t="s">
        <v>383</v>
      </c>
      <c r="C1427" s="5">
        <v>60</v>
      </c>
      <c r="D1427" s="5">
        <f t="shared" si="88"/>
        <v>523.26449507501752</v>
      </c>
      <c r="E1427" s="5">
        <f t="shared" si="90"/>
        <v>5</v>
      </c>
      <c r="F1427" s="5">
        <v>177.5</v>
      </c>
      <c r="G1427" s="5" t="s">
        <v>341</v>
      </c>
      <c r="H1427" s="5">
        <v>59</v>
      </c>
      <c r="I1427" s="5">
        <f t="shared" si="89"/>
        <v>493.89549345236594</v>
      </c>
      <c r="J1427" s="5">
        <f t="shared" si="91"/>
        <v>6</v>
      </c>
    </row>
    <row r="1428" spans="1:10" x14ac:dyDescent="0.2">
      <c r="A1428" s="5">
        <v>184.5</v>
      </c>
      <c r="B1428" s="5" t="s">
        <v>202</v>
      </c>
      <c r="C1428" s="5">
        <v>53</v>
      </c>
      <c r="D1428" s="5">
        <f t="shared" si="88"/>
        <v>349.23506143398839</v>
      </c>
      <c r="E1428" s="5">
        <f t="shared" si="90"/>
        <v>7</v>
      </c>
      <c r="F1428" s="5">
        <v>179</v>
      </c>
      <c r="G1428" s="5" t="s">
        <v>249</v>
      </c>
      <c r="H1428" s="5">
        <v>59</v>
      </c>
      <c r="I1428" s="5">
        <f t="shared" si="89"/>
        <v>493.89549345236594</v>
      </c>
      <c r="J1428" s="5">
        <f t="shared" si="91"/>
        <v>0</v>
      </c>
    </row>
    <row r="1429" spans="1:10" x14ac:dyDescent="0.2">
      <c r="A1429" s="5">
        <v>186</v>
      </c>
      <c r="B1429" s="5" t="s">
        <v>423</v>
      </c>
      <c r="C1429" s="5">
        <v>52</v>
      </c>
      <c r="D1429" s="5">
        <f t="shared" si="88"/>
        <v>329.63372180082422</v>
      </c>
      <c r="E1429" s="5">
        <f t="shared" si="90"/>
        <v>1</v>
      </c>
      <c r="F1429" s="5">
        <v>180.5</v>
      </c>
      <c r="G1429" s="5" t="s">
        <v>202</v>
      </c>
      <c r="H1429" s="5">
        <v>53</v>
      </c>
      <c r="I1429" s="5">
        <f t="shared" si="89"/>
        <v>349.23506143398839</v>
      </c>
      <c r="J1429" s="5">
        <f t="shared" si="91"/>
        <v>6</v>
      </c>
    </row>
    <row r="1430" spans="1:10" x14ac:dyDescent="0.2">
      <c r="A1430" s="5">
        <v>188</v>
      </c>
      <c r="B1430" s="5" t="s">
        <v>202</v>
      </c>
      <c r="C1430" s="5">
        <v>53</v>
      </c>
      <c r="D1430" s="5">
        <f t="shared" si="88"/>
        <v>349.23506143398839</v>
      </c>
      <c r="E1430" s="5">
        <f t="shared" si="90"/>
        <v>1</v>
      </c>
      <c r="F1430" s="5">
        <v>181.75</v>
      </c>
      <c r="G1430" s="5" t="s">
        <v>247</v>
      </c>
      <c r="H1430" s="5">
        <v>50</v>
      </c>
      <c r="I1430" s="5">
        <f t="shared" si="89"/>
        <v>293.66975814369101</v>
      </c>
      <c r="J1430" s="5">
        <f t="shared" si="91"/>
        <v>3</v>
      </c>
    </row>
    <row r="1431" spans="1:10" x14ac:dyDescent="0.2">
      <c r="A1431" s="5">
        <v>189</v>
      </c>
      <c r="B1431" s="5" t="s">
        <v>250</v>
      </c>
      <c r="C1431" s="5">
        <v>55</v>
      </c>
      <c r="D1431" s="5">
        <f t="shared" si="88"/>
        <v>392.00377257605692</v>
      </c>
      <c r="E1431" s="5">
        <f t="shared" si="90"/>
        <v>2</v>
      </c>
      <c r="F1431" s="5">
        <v>183.5</v>
      </c>
      <c r="G1431" s="5" t="s">
        <v>247</v>
      </c>
      <c r="H1431" s="5">
        <v>50</v>
      </c>
      <c r="I1431" s="5">
        <f t="shared" si="89"/>
        <v>293.66975814369101</v>
      </c>
      <c r="J1431" s="5">
        <f t="shared" si="91"/>
        <v>0</v>
      </c>
    </row>
    <row r="1432" spans="1:10" x14ac:dyDescent="0.2">
      <c r="A1432" s="5">
        <v>190.5</v>
      </c>
      <c r="B1432" s="5" t="s">
        <v>250</v>
      </c>
      <c r="C1432" s="5">
        <v>55</v>
      </c>
      <c r="D1432" s="5">
        <f t="shared" ref="D1432:D1495" si="92">16.35117682*1.059464^C1432</f>
        <v>392.00377257605692</v>
      </c>
      <c r="E1432" s="5">
        <f t="shared" si="90"/>
        <v>0</v>
      </c>
      <c r="F1432" s="5">
        <v>184.75</v>
      </c>
      <c r="G1432" s="5" t="s">
        <v>247</v>
      </c>
      <c r="H1432" s="5">
        <v>50</v>
      </c>
      <c r="I1432" s="5">
        <f t="shared" ref="I1432:I1495" si="93">16.35117682*1.059464^H1432</f>
        <v>293.66975814369101</v>
      </c>
      <c r="J1432" s="5">
        <f t="shared" si="91"/>
        <v>0</v>
      </c>
    </row>
    <row r="1433" spans="1:10" x14ac:dyDescent="0.2">
      <c r="A1433" s="5">
        <v>192</v>
      </c>
      <c r="B1433" s="5" t="s">
        <v>202</v>
      </c>
      <c r="C1433" s="5">
        <v>53</v>
      </c>
      <c r="D1433" s="5">
        <f t="shared" si="92"/>
        <v>349.23506143398839</v>
      </c>
      <c r="E1433" s="5">
        <f t="shared" ref="E1433:E1496" si="94">ABS( C1433-C1432)</f>
        <v>2</v>
      </c>
      <c r="F1433" s="5">
        <v>186</v>
      </c>
      <c r="G1433" s="5" t="s">
        <v>386</v>
      </c>
      <c r="H1433" s="5">
        <v>48</v>
      </c>
      <c r="I1433" s="5">
        <f t="shared" si="93"/>
        <v>261.62956379894968</v>
      </c>
      <c r="J1433" s="5">
        <f t="shared" ref="J1433:J1496" si="95">ABS( H1433-H1432)</f>
        <v>2</v>
      </c>
    </row>
    <row r="1434" spans="1:10" x14ac:dyDescent="0.2">
      <c r="A1434" s="5">
        <v>193</v>
      </c>
      <c r="B1434" s="5" t="s">
        <v>250</v>
      </c>
      <c r="C1434" s="5">
        <v>55</v>
      </c>
      <c r="D1434" s="5">
        <f t="shared" si="92"/>
        <v>392.00377257605692</v>
      </c>
      <c r="E1434" s="5">
        <f t="shared" si="94"/>
        <v>2</v>
      </c>
      <c r="F1434" s="5">
        <v>188</v>
      </c>
      <c r="G1434" s="5" t="s">
        <v>271</v>
      </c>
      <c r="H1434" s="5">
        <v>45</v>
      </c>
      <c r="I1434" s="5">
        <f t="shared" si="93"/>
        <v>220.00279814001337</v>
      </c>
      <c r="J1434" s="5">
        <f t="shared" si="95"/>
        <v>3</v>
      </c>
    </row>
    <row r="1435" spans="1:10" x14ac:dyDescent="0.2">
      <c r="A1435" s="5">
        <v>194.5</v>
      </c>
      <c r="B1435" s="5" t="s">
        <v>250</v>
      </c>
      <c r="C1435" s="5">
        <v>55</v>
      </c>
      <c r="D1435" s="5">
        <f t="shared" si="92"/>
        <v>392.00377257605692</v>
      </c>
      <c r="E1435" s="5">
        <f t="shared" si="94"/>
        <v>0</v>
      </c>
      <c r="F1435" s="5">
        <v>189</v>
      </c>
      <c r="G1435" s="5" t="s">
        <v>274</v>
      </c>
      <c r="H1435" s="5">
        <v>59</v>
      </c>
      <c r="I1435" s="5">
        <f t="shared" si="93"/>
        <v>493.89549345236594</v>
      </c>
      <c r="J1435" s="5">
        <f t="shared" si="95"/>
        <v>14</v>
      </c>
    </row>
    <row r="1436" spans="1:10" x14ac:dyDescent="0.2">
      <c r="A1436" s="5">
        <v>196</v>
      </c>
      <c r="B1436" s="5" t="s">
        <v>247</v>
      </c>
      <c r="C1436" s="5">
        <v>50</v>
      </c>
      <c r="D1436" s="5">
        <f t="shared" si="92"/>
        <v>293.66975814369101</v>
      </c>
      <c r="E1436" s="5">
        <f t="shared" si="94"/>
        <v>5</v>
      </c>
      <c r="F1436" s="5">
        <v>190.5</v>
      </c>
      <c r="G1436" s="5" t="s">
        <v>272</v>
      </c>
      <c r="H1436" s="5">
        <v>47</v>
      </c>
      <c r="I1436" s="5">
        <f t="shared" si="93"/>
        <v>246.94521361646048</v>
      </c>
      <c r="J1436" s="5">
        <f t="shared" si="95"/>
        <v>12</v>
      </c>
    </row>
    <row r="1437" spans="1:10" x14ac:dyDescent="0.2">
      <c r="A1437" s="5">
        <v>197</v>
      </c>
      <c r="B1437" s="5" t="s">
        <v>247</v>
      </c>
      <c r="C1437" s="5">
        <v>50</v>
      </c>
      <c r="D1437" s="5">
        <f t="shared" si="92"/>
        <v>293.66975814369101</v>
      </c>
      <c r="E1437" s="5">
        <f t="shared" si="94"/>
        <v>0</v>
      </c>
      <c r="F1437" s="5">
        <v>192</v>
      </c>
      <c r="G1437" s="5" t="s">
        <v>271</v>
      </c>
      <c r="H1437" s="5">
        <v>45</v>
      </c>
      <c r="I1437" s="5">
        <f t="shared" si="93"/>
        <v>220.00279814001337</v>
      </c>
      <c r="J1437" s="5">
        <f t="shared" si="95"/>
        <v>2</v>
      </c>
    </row>
    <row r="1438" spans="1:10" x14ac:dyDescent="0.2">
      <c r="A1438" s="5">
        <v>198</v>
      </c>
      <c r="B1438" s="5" t="s">
        <v>431</v>
      </c>
      <c r="C1438" s="5">
        <v>50</v>
      </c>
      <c r="D1438" s="5">
        <f t="shared" si="92"/>
        <v>293.66975814369101</v>
      </c>
      <c r="E1438" s="5">
        <f t="shared" si="94"/>
        <v>0</v>
      </c>
      <c r="F1438" s="5">
        <v>193</v>
      </c>
      <c r="G1438" s="5" t="s">
        <v>274</v>
      </c>
      <c r="H1438" s="5">
        <v>59</v>
      </c>
      <c r="I1438" s="5">
        <f t="shared" si="93"/>
        <v>493.89549345236594</v>
      </c>
      <c r="J1438" s="5">
        <f t="shared" si="95"/>
        <v>14</v>
      </c>
    </row>
    <row r="1439" spans="1:10" x14ac:dyDescent="0.2">
      <c r="A1439" s="5">
        <v>199</v>
      </c>
      <c r="B1439" s="5" t="s">
        <v>429</v>
      </c>
      <c r="C1439" s="5">
        <v>50</v>
      </c>
      <c r="D1439" s="5">
        <f t="shared" si="92"/>
        <v>293.66975814369101</v>
      </c>
      <c r="E1439" s="5">
        <f t="shared" si="94"/>
        <v>0</v>
      </c>
      <c r="F1439" s="5">
        <v>194.5</v>
      </c>
      <c r="G1439" s="5" t="s">
        <v>272</v>
      </c>
      <c r="H1439" s="5">
        <v>47</v>
      </c>
      <c r="I1439" s="5">
        <f t="shared" si="93"/>
        <v>246.94521361646048</v>
      </c>
      <c r="J1439" s="5">
        <f t="shared" si="95"/>
        <v>12</v>
      </c>
    </row>
    <row r="1440" spans="1:10" x14ac:dyDescent="0.2">
      <c r="A1440" s="5">
        <v>200</v>
      </c>
      <c r="B1440" s="5" t="s">
        <v>285</v>
      </c>
      <c r="C1440" s="5">
        <v>62</v>
      </c>
      <c r="D1440" s="5">
        <f t="shared" si="92"/>
        <v>587.34554108704231</v>
      </c>
      <c r="E1440" s="5">
        <f t="shared" si="94"/>
        <v>12</v>
      </c>
      <c r="F1440" s="5">
        <v>196</v>
      </c>
      <c r="G1440" s="5" t="s">
        <v>59</v>
      </c>
      <c r="H1440" s="5">
        <v>40</v>
      </c>
      <c r="I1440" s="5">
        <f t="shared" si="93"/>
        <v>164.8151702626221</v>
      </c>
      <c r="J1440" s="5">
        <f t="shared" si="95"/>
        <v>7</v>
      </c>
    </row>
    <row r="1441" spans="1:10" x14ac:dyDescent="0.2">
      <c r="A1441" s="5">
        <v>202</v>
      </c>
      <c r="B1441" s="5" t="s">
        <v>285</v>
      </c>
      <c r="C1441" s="5">
        <v>62</v>
      </c>
      <c r="D1441" s="5">
        <f t="shared" si="92"/>
        <v>587.34554108704231</v>
      </c>
      <c r="E1441" s="5">
        <f t="shared" si="94"/>
        <v>0</v>
      </c>
      <c r="F1441" s="5">
        <v>197</v>
      </c>
      <c r="G1441" s="5" t="s">
        <v>59</v>
      </c>
      <c r="H1441" s="5">
        <v>40</v>
      </c>
      <c r="I1441" s="5">
        <f t="shared" si="93"/>
        <v>164.8151702626221</v>
      </c>
      <c r="J1441" s="5">
        <f t="shared" si="95"/>
        <v>0</v>
      </c>
    </row>
    <row r="1442" spans="1:10" x14ac:dyDescent="0.2">
      <c r="A1442" s="5">
        <v>204</v>
      </c>
      <c r="B1442" s="5" t="s">
        <v>247</v>
      </c>
      <c r="C1442" s="5">
        <v>50</v>
      </c>
      <c r="D1442" s="5">
        <f t="shared" si="92"/>
        <v>293.66975814369101</v>
      </c>
      <c r="E1442" s="5">
        <f t="shared" si="94"/>
        <v>12</v>
      </c>
      <c r="F1442" s="5">
        <v>198</v>
      </c>
      <c r="G1442" s="5" t="s">
        <v>59</v>
      </c>
      <c r="H1442" s="5">
        <v>40</v>
      </c>
      <c r="I1442" s="5">
        <f t="shared" si="93"/>
        <v>164.8151702626221</v>
      </c>
      <c r="J1442" s="5">
        <f t="shared" si="95"/>
        <v>0</v>
      </c>
    </row>
    <row r="1443" spans="1:10" x14ac:dyDescent="0.2">
      <c r="A1443" s="5">
        <v>205</v>
      </c>
      <c r="B1443" s="5" t="s">
        <v>429</v>
      </c>
      <c r="C1443" s="5">
        <v>50</v>
      </c>
      <c r="D1443" s="5">
        <f t="shared" si="92"/>
        <v>293.66975814369101</v>
      </c>
      <c r="E1443" s="5">
        <f t="shared" si="94"/>
        <v>0</v>
      </c>
      <c r="F1443" s="5">
        <v>199</v>
      </c>
      <c r="G1443" s="5" t="s">
        <v>59</v>
      </c>
      <c r="H1443" s="5">
        <v>40</v>
      </c>
      <c r="I1443" s="5">
        <f t="shared" si="93"/>
        <v>164.8151702626221</v>
      </c>
      <c r="J1443" s="5">
        <f t="shared" si="95"/>
        <v>0</v>
      </c>
    </row>
    <row r="1444" spans="1:10" x14ac:dyDescent="0.2">
      <c r="A1444" s="5">
        <v>206</v>
      </c>
      <c r="B1444" s="5" t="s">
        <v>247</v>
      </c>
      <c r="C1444" s="5">
        <v>50</v>
      </c>
      <c r="D1444" s="5">
        <f t="shared" si="92"/>
        <v>293.66975814369101</v>
      </c>
      <c r="E1444" s="5">
        <f t="shared" si="94"/>
        <v>0</v>
      </c>
      <c r="F1444" s="5">
        <v>200</v>
      </c>
      <c r="G1444" s="5" t="s">
        <v>59</v>
      </c>
      <c r="H1444" s="5">
        <v>40</v>
      </c>
      <c r="I1444" s="5">
        <f t="shared" si="93"/>
        <v>164.8151702626221</v>
      </c>
      <c r="J1444" s="5">
        <f t="shared" si="95"/>
        <v>0</v>
      </c>
    </row>
    <row r="1445" spans="1:10" x14ac:dyDescent="0.2">
      <c r="A1445" s="5">
        <v>207</v>
      </c>
      <c r="B1445" s="5" t="s">
        <v>247</v>
      </c>
      <c r="C1445" s="5">
        <v>50</v>
      </c>
      <c r="D1445" s="5">
        <f t="shared" si="92"/>
        <v>293.66975814369101</v>
      </c>
      <c r="E1445" s="5">
        <f t="shared" si="94"/>
        <v>0</v>
      </c>
      <c r="F1445" s="5">
        <v>201</v>
      </c>
      <c r="G1445" s="5" t="s">
        <v>57</v>
      </c>
      <c r="H1445" s="5">
        <v>43</v>
      </c>
      <c r="I1445" s="5">
        <f t="shared" si="93"/>
        <v>195.99987576438383</v>
      </c>
      <c r="J1445" s="5">
        <f t="shared" si="95"/>
        <v>3</v>
      </c>
    </row>
    <row r="1446" spans="1:10" x14ac:dyDescent="0.2">
      <c r="A1446" s="5">
        <v>208</v>
      </c>
      <c r="B1446" s="5" t="s">
        <v>285</v>
      </c>
      <c r="C1446" s="5">
        <v>62</v>
      </c>
      <c r="D1446" s="5">
        <f t="shared" si="92"/>
        <v>587.34554108704231</v>
      </c>
      <c r="E1446" s="5">
        <f t="shared" si="94"/>
        <v>12</v>
      </c>
      <c r="F1446" s="5">
        <v>203</v>
      </c>
      <c r="G1446" s="5" t="s">
        <v>57</v>
      </c>
      <c r="H1446" s="5">
        <v>43</v>
      </c>
      <c r="I1446" s="5">
        <f t="shared" si="93"/>
        <v>195.99987576438383</v>
      </c>
      <c r="J1446" s="5">
        <f t="shared" si="95"/>
        <v>0</v>
      </c>
    </row>
    <row r="1447" spans="1:10" x14ac:dyDescent="0.2">
      <c r="A1447" s="5">
        <v>210</v>
      </c>
      <c r="B1447" s="5" t="s">
        <v>247</v>
      </c>
      <c r="C1447" s="5">
        <v>50</v>
      </c>
      <c r="D1447" s="5">
        <f t="shared" si="92"/>
        <v>293.66975814369101</v>
      </c>
      <c r="E1447" s="5">
        <f t="shared" si="94"/>
        <v>12</v>
      </c>
      <c r="F1447" s="5">
        <v>204.5</v>
      </c>
      <c r="G1447" s="5" t="s">
        <v>57</v>
      </c>
      <c r="H1447" s="5">
        <v>43</v>
      </c>
      <c r="I1447" s="5">
        <f t="shared" si="93"/>
        <v>195.99987576438383</v>
      </c>
      <c r="J1447" s="5">
        <f t="shared" si="95"/>
        <v>0</v>
      </c>
    </row>
    <row r="1448" spans="1:10" x14ac:dyDescent="0.2">
      <c r="A1448" s="5">
        <v>212</v>
      </c>
      <c r="B1448" s="5" t="s">
        <v>247</v>
      </c>
      <c r="C1448" s="5">
        <v>50</v>
      </c>
      <c r="D1448" s="5">
        <f t="shared" si="92"/>
        <v>293.66975814369101</v>
      </c>
      <c r="E1448" s="5">
        <f t="shared" si="94"/>
        <v>0</v>
      </c>
      <c r="F1448" s="5">
        <v>205.5</v>
      </c>
      <c r="G1448" s="5" t="s">
        <v>54</v>
      </c>
      <c r="H1448" s="5">
        <v>45</v>
      </c>
      <c r="I1448" s="5">
        <f t="shared" si="93"/>
        <v>220.00279814001337</v>
      </c>
      <c r="J1448" s="5">
        <f t="shared" si="95"/>
        <v>2</v>
      </c>
    </row>
    <row r="1449" spans="1:10" x14ac:dyDescent="0.2">
      <c r="A1449" s="5">
        <v>213</v>
      </c>
      <c r="B1449" s="5" t="s">
        <v>247</v>
      </c>
      <c r="C1449" s="5">
        <v>50</v>
      </c>
      <c r="D1449" s="5">
        <f t="shared" si="92"/>
        <v>293.66975814369101</v>
      </c>
      <c r="E1449" s="5">
        <f t="shared" si="94"/>
        <v>0</v>
      </c>
      <c r="F1449" s="5">
        <v>206.5</v>
      </c>
      <c r="G1449" s="5" t="s">
        <v>272</v>
      </c>
      <c r="H1449" s="5">
        <v>47</v>
      </c>
      <c r="I1449" s="5">
        <f t="shared" si="93"/>
        <v>246.94521361646048</v>
      </c>
      <c r="J1449" s="5">
        <f t="shared" si="95"/>
        <v>2</v>
      </c>
    </row>
    <row r="1450" spans="1:10" x14ac:dyDescent="0.2">
      <c r="A1450" s="5">
        <v>214</v>
      </c>
      <c r="B1450" s="5" t="s">
        <v>429</v>
      </c>
      <c r="C1450" s="5">
        <v>50</v>
      </c>
      <c r="D1450" s="5">
        <f t="shared" si="92"/>
        <v>293.66975814369101</v>
      </c>
      <c r="E1450" s="5">
        <f t="shared" si="94"/>
        <v>0</v>
      </c>
      <c r="F1450" s="5">
        <v>207.5</v>
      </c>
      <c r="G1450" s="5" t="s">
        <v>54</v>
      </c>
      <c r="H1450" s="5">
        <v>45</v>
      </c>
      <c r="I1450" s="5">
        <f t="shared" si="93"/>
        <v>220.00279814001337</v>
      </c>
      <c r="J1450" s="5">
        <f t="shared" si="95"/>
        <v>2</v>
      </c>
    </row>
    <row r="1451" spans="1:10" x14ac:dyDescent="0.2">
      <c r="A1451" s="5">
        <v>215</v>
      </c>
      <c r="B1451" s="5" t="s">
        <v>247</v>
      </c>
      <c r="C1451" s="5">
        <v>50</v>
      </c>
      <c r="D1451" s="5">
        <f t="shared" si="92"/>
        <v>293.66975814369101</v>
      </c>
      <c r="E1451" s="5">
        <f t="shared" si="94"/>
        <v>0</v>
      </c>
      <c r="F1451" s="5">
        <v>208.5</v>
      </c>
      <c r="G1451" s="5" t="s">
        <v>57</v>
      </c>
      <c r="H1451" s="5">
        <v>43</v>
      </c>
      <c r="I1451" s="5">
        <f t="shared" si="93"/>
        <v>195.99987576438383</v>
      </c>
      <c r="J1451" s="5">
        <f t="shared" si="95"/>
        <v>2</v>
      </c>
    </row>
    <row r="1452" spans="1:10" x14ac:dyDescent="0.2">
      <c r="A1452" s="5">
        <v>216</v>
      </c>
      <c r="B1452" s="5" t="s">
        <v>285</v>
      </c>
      <c r="C1452" s="5">
        <v>62</v>
      </c>
      <c r="D1452" s="5">
        <f t="shared" si="92"/>
        <v>587.34554108704231</v>
      </c>
      <c r="E1452" s="5">
        <f t="shared" si="94"/>
        <v>12</v>
      </c>
      <c r="F1452" s="5">
        <v>210</v>
      </c>
      <c r="G1452" s="5" t="s">
        <v>57</v>
      </c>
      <c r="H1452" s="5">
        <v>43</v>
      </c>
      <c r="I1452" s="5">
        <f t="shared" si="93"/>
        <v>195.99987576438383</v>
      </c>
      <c r="J1452" s="5">
        <f t="shared" si="95"/>
        <v>0</v>
      </c>
    </row>
    <row r="1453" spans="1:10" x14ac:dyDescent="0.2">
      <c r="A1453" s="5">
        <v>218</v>
      </c>
      <c r="B1453" s="5" t="s">
        <v>438</v>
      </c>
      <c r="C1453" s="5">
        <v>62</v>
      </c>
      <c r="D1453" s="5">
        <f t="shared" si="92"/>
        <v>587.34554108704231</v>
      </c>
      <c r="E1453" s="5">
        <f t="shared" si="94"/>
        <v>0</v>
      </c>
      <c r="F1453" s="5">
        <v>212</v>
      </c>
      <c r="G1453" s="5" t="s">
        <v>59</v>
      </c>
      <c r="H1453" s="5">
        <v>40</v>
      </c>
      <c r="I1453" s="5">
        <f t="shared" si="93"/>
        <v>164.8151702626221</v>
      </c>
      <c r="J1453" s="5">
        <f t="shared" si="95"/>
        <v>3</v>
      </c>
    </row>
    <row r="1454" spans="1:10" x14ac:dyDescent="0.2">
      <c r="A1454" s="5">
        <v>220</v>
      </c>
      <c r="B1454" s="5" t="s">
        <v>247</v>
      </c>
      <c r="C1454" s="5">
        <v>50</v>
      </c>
      <c r="D1454" s="5">
        <f t="shared" si="92"/>
        <v>293.66975814369101</v>
      </c>
      <c r="E1454" s="5">
        <f t="shared" si="94"/>
        <v>12</v>
      </c>
      <c r="F1454" s="5">
        <v>213</v>
      </c>
      <c r="G1454" s="5" t="s">
        <v>59</v>
      </c>
      <c r="H1454" s="5">
        <v>40</v>
      </c>
      <c r="I1454" s="5">
        <f t="shared" si="93"/>
        <v>164.8151702626221</v>
      </c>
      <c r="J1454" s="5">
        <f t="shared" si="95"/>
        <v>0</v>
      </c>
    </row>
    <row r="1455" spans="1:10" x14ac:dyDescent="0.2">
      <c r="A1455" s="5">
        <v>221</v>
      </c>
      <c r="B1455" s="5" t="s">
        <v>247</v>
      </c>
      <c r="C1455" s="5">
        <v>50</v>
      </c>
      <c r="D1455" s="5">
        <f t="shared" si="92"/>
        <v>293.66975814369101</v>
      </c>
      <c r="E1455" s="5">
        <f t="shared" si="94"/>
        <v>0</v>
      </c>
      <c r="F1455" s="5">
        <v>214</v>
      </c>
      <c r="G1455" s="5" t="s">
        <v>59</v>
      </c>
      <c r="H1455" s="5">
        <v>40</v>
      </c>
      <c r="I1455" s="5">
        <f t="shared" si="93"/>
        <v>164.8151702626221</v>
      </c>
      <c r="J1455" s="5">
        <f t="shared" si="95"/>
        <v>0</v>
      </c>
    </row>
    <row r="1456" spans="1:10" x14ac:dyDescent="0.2">
      <c r="A1456" s="5">
        <v>222</v>
      </c>
      <c r="B1456" s="5" t="s">
        <v>247</v>
      </c>
      <c r="C1456" s="5">
        <v>50</v>
      </c>
      <c r="D1456" s="5">
        <f t="shared" si="92"/>
        <v>293.66975814369101</v>
      </c>
      <c r="E1456" s="5">
        <f t="shared" si="94"/>
        <v>0</v>
      </c>
      <c r="F1456" s="5">
        <v>215</v>
      </c>
      <c r="G1456" s="5" t="s">
        <v>59</v>
      </c>
      <c r="H1456" s="5">
        <v>40</v>
      </c>
      <c r="I1456" s="5">
        <f t="shared" si="93"/>
        <v>164.8151702626221</v>
      </c>
      <c r="J1456" s="5">
        <f t="shared" si="95"/>
        <v>0</v>
      </c>
    </row>
    <row r="1457" spans="1:10" x14ac:dyDescent="0.2">
      <c r="A1457" s="5">
        <v>223</v>
      </c>
      <c r="B1457" s="5" t="s">
        <v>429</v>
      </c>
      <c r="C1457" s="5">
        <v>50</v>
      </c>
      <c r="D1457" s="5">
        <f t="shared" si="92"/>
        <v>293.66975814369101</v>
      </c>
      <c r="E1457" s="5">
        <f t="shared" si="94"/>
        <v>0</v>
      </c>
      <c r="F1457" s="5">
        <v>216</v>
      </c>
      <c r="G1457" s="5" t="s">
        <v>59</v>
      </c>
      <c r="H1457" s="5">
        <v>40</v>
      </c>
      <c r="I1457" s="5">
        <f t="shared" si="93"/>
        <v>164.8151702626221</v>
      </c>
      <c r="J1457" s="5">
        <f t="shared" si="95"/>
        <v>0</v>
      </c>
    </row>
    <row r="1458" spans="1:10" x14ac:dyDescent="0.2">
      <c r="A1458" s="5">
        <v>224</v>
      </c>
      <c r="B1458" s="5" t="s">
        <v>285</v>
      </c>
      <c r="C1458" s="5">
        <v>62</v>
      </c>
      <c r="D1458" s="5">
        <f t="shared" si="92"/>
        <v>587.34554108704231</v>
      </c>
      <c r="E1458" s="5">
        <f t="shared" si="94"/>
        <v>12</v>
      </c>
      <c r="F1458" s="5">
        <v>217</v>
      </c>
      <c r="G1458" s="5" t="s">
        <v>57</v>
      </c>
      <c r="H1458" s="5">
        <v>43</v>
      </c>
      <c r="I1458" s="5">
        <f t="shared" si="93"/>
        <v>195.99987576438383</v>
      </c>
      <c r="J1458" s="5">
        <f t="shared" si="95"/>
        <v>3</v>
      </c>
    </row>
    <row r="1459" spans="1:10" x14ac:dyDescent="0.2">
      <c r="A1459" s="5">
        <v>226</v>
      </c>
      <c r="B1459" s="5" t="s">
        <v>285</v>
      </c>
      <c r="C1459" s="5">
        <v>62</v>
      </c>
      <c r="D1459" s="5">
        <f t="shared" si="92"/>
        <v>587.34554108704231</v>
      </c>
      <c r="E1459" s="5">
        <f t="shared" si="94"/>
        <v>0</v>
      </c>
      <c r="F1459" s="5">
        <v>219</v>
      </c>
      <c r="G1459" s="5" t="s">
        <v>57</v>
      </c>
      <c r="H1459" s="5">
        <v>43</v>
      </c>
      <c r="I1459" s="5">
        <f t="shared" si="93"/>
        <v>195.99987576438383</v>
      </c>
      <c r="J1459" s="5">
        <f t="shared" si="95"/>
        <v>0</v>
      </c>
    </row>
    <row r="1460" spans="1:10" x14ac:dyDescent="0.2">
      <c r="A1460" s="5">
        <v>228</v>
      </c>
      <c r="B1460" s="5" t="s">
        <v>247</v>
      </c>
      <c r="C1460" s="5">
        <v>50</v>
      </c>
      <c r="D1460" s="5">
        <f t="shared" si="92"/>
        <v>293.66975814369101</v>
      </c>
      <c r="E1460" s="5">
        <f t="shared" si="94"/>
        <v>12</v>
      </c>
      <c r="F1460" s="5">
        <v>220.5</v>
      </c>
      <c r="G1460" s="5" t="s">
        <v>57</v>
      </c>
      <c r="H1460" s="5">
        <v>43</v>
      </c>
      <c r="I1460" s="5">
        <f t="shared" si="93"/>
        <v>195.99987576438383</v>
      </c>
      <c r="J1460" s="5">
        <f t="shared" si="95"/>
        <v>0</v>
      </c>
    </row>
    <row r="1461" spans="1:10" x14ac:dyDescent="0.2">
      <c r="A1461" s="5">
        <v>229</v>
      </c>
      <c r="B1461" s="5" t="s">
        <v>249</v>
      </c>
      <c r="C1461" s="5">
        <v>59</v>
      </c>
      <c r="D1461" s="5">
        <f t="shared" si="92"/>
        <v>493.89549345236594</v>
      </c>
      <c r="E1461" s="5">
        <f t="shared" si="94"/>
        <v>9</v>
      </c>
      <c r="F1461" s="5">
        <v>221.5</v>
      </c>
      <c r="G1461" s="5" t="s">
        <v>54</v>
      </c>
      <c r="H1461" s="5">
        <v>45</v>
      </c>
      <c r="I1461" s="5">
        <f t="shared" si="93"/>
        <v>220.00279814001337</v>
      </c>
      <c r="J1461" s="5">
        <f t="shared" si="95"/>
        <v>2</v>
      </c>
    </row>
    <row r="1462" spans="1:10" x14ac:dyDescent="0.2">
      <c r="A1462" s="5">
        <v>231</v>
      </c>
      <c r="B1462" s="5" t="s">
        <v>285</v>
      </c>
      <c r="C1462" s="5">
        <v>62</v>
      </c>
      <c r="D1462" s="5">
        <f t="shared" si="92"/>
        <v>587.34554108704231</v>
      </c>
      <c r="E1462" s="5">
        <f t="shared" si="94"/>
        <v>3</v>
      </c>
      <c r="F1462" s="5">
        <v>222.5</v>
      </c>
      <c r="G1462" s="5" t="s">
        <v>272</v>
      </c>
      <c r="H1462" s="5">
        <v>47</v>
      </c>
      <c r="I1462" s="5">
        <f t="shared" si="93"/>
        <v>246.94521361646048</v>
      </c>
      <c r="J1462" s="5">
        <f t="shared" si="95"/>
        <v>2</v>
      </c>
    </row>
    <row r="1463" spans="1:10" x14ac:dyDescent="0.2">
      <c r="A1463" s="5">
        <v>232.5</v>
      </c>
      <c r="B1463" s="5" t="s">
        <v>249</v>
      </c>
      <c r="C1463" s="5">
        <v>59</v>
      </c>
      <c r="D1463" s="5">
        <f t="shared" si="92"/>
        <v>493.89549345236594</v>
      </c>
      <c r="E1463" s="5">
        <f t="shared" si="94"/>
        <v>3</v>
      </c>
      <c r="F1463" s="5">
        <v>223.5</v>
      </c>
      <c r="G1463" s="5" t="s">
        <v>54</v>
      </c>
      <c r="H1463" s="5">
        <v>45</v>
      </c>
      <c r="I1463" s="5">
        <f t="shared" si="93"/>
        <v>220.00279814001337</v>
      </c>
      <c r="J1463" s="5">
        <f t="shared" si="95"/>
        <v>2</v>
      </c>
    </row>
    <row r="1464" spans="1:10" x14ac:dyDescent="0.2">
      <c r="A1464" s="5">
        <v>234</v>
      </c>
      <c r="B1464" s="5" t="s">
        <v>285</v>
      </c>
      <c r="C1464" s="5">
        <v>62</v>
      </c>
      <c r="D1464" s="5">
        <f t="shared" si="92"/>
        <v>587.34554108704231</v>
      </c>
      <c r="E1464" s="5">
        <f t="shared" si="94"/>
        <v>3</v>
      </c>
      <c r="F1464" s="5">
        <v>224.5</v>
      </c>
      <c r="G1464" s="5" t="s">
        <v>57</v>
      </c>
      <c r="H1464" s="5">
        <v>43</v>
      </c>
      <c r="I1464" s="5">
        <f t="shared" si="93"/>
        <v>195.99987576438383</v>
      </c>
      <c r="J1464" s="5">
        <f t="shared" si="95"/>
        <v>2</v>
      </c>
    </row>
    <row r="1465" spans="1:10" x14ac:dyDescent="0.2">
      <c r="A1465" s="5">
        <v>236</v>
      </c>
      <c r="B1465" s="5" t="s">
        <v>247</v>
      </c>
      <c r="C1465" s="5">
        <v>50</v>
      </c>
      <c r="D1465" s="5">
        <f t="shared" si="92"/>
        <v>293.66975814369101</v>
      </c>
      <c r="E1465" s="5">
        <f t="shared" si="94"/>
        <v>12</v>
      </c>
      <c r="F1465" s="5">
        <v>226</v>
      </c>
      <c r="G1465" s="5" t="s">
        <v>57</v>
      </c>
      <c r="H1465" s="5">
        <v>43</v>
      </c>
      <c r="I1465" s="5">
        <f t="shared" si="93"/>
        <v>195.99987576438383</v>
      </c>
      <c r="J1465" s="5">
        <f t="shared" si="95"/>
        <v>0</v>
      </c>
    </row>
    <row r="1466" spans="1:10" x14ac:dyDescent="0.2">
      <c r="A1466" s="5">
        <v>237</v>
      </c>
      <c r="B1466" s="5" t="s">
        <v>249</v>
      </c>
      <c r="C1466" s="5">
        <v>59</v>
      </c>
      <c r="D1466" s="5">
        <f t="shared" si="92"/>
        <v>493.89549345236594</v>
      </c>
      <c r="E1466" s="5">
        <f t="shared" si="94"/>
        <v>9</v>
      </c>
      <c r="F1466" s="5">
        <v>228</v>
      </c>
      <c r="G1466" s="5" t="s">
        <v>54</v>
      </c>
      <c r="H1466" s="5">
        <v>45</v>
      </c>
      <c r="I1466" s="5">
        <f t="shared" si="93"/>
        <v>220.00279814001337</v>
      </c>
      <c r="J1466" s="5">
        <f t="shared" si="95"/>
        <v>2</v>
      </c>
    </row>
    <row r="1467" spans="1:10" x14ac:dyDescent="0.2">
      <c r="A1467" s="5">
        <v>239</v>
      </c>
      <c r="B1467" s="5" t="s">
        <v>285</v>
      </c>
      <c r="C1467" s="5">
        <v>62</v>
      </c>
      <c r="D1467" s="5">
        <f t="shared" si="92"/>
        <v>587.34554108704231</v>
      </c>
      <c r="E1467" s="5">
        <f t="shared" si="94"/>
        <v>3</v>
      </c>
      <c r="F1467" s="5">
        <v>229</v>
      </c>
      <c r="G1467" s="5" t="s">
        <v>53</v>
      </c>
      <c r="H1467" s="5">
        <v>55</v>
      </c>
      <c r="I1467" s="5">
        <f t="shared" si="93"/>
        <v>392.00377257605692</v>
      </c>
      <c r="J1467" s="5">
        <f t="shared" si="95"/>
        <v>10</v>
      </c>
    </row>
    <row r="1468" spans="1:10" x14ac:dyDescent="0.2">
      <c r="A1468" s="5">
        <v>240.5</v>
      </c>
      <c r="B1468" s="5" t="s">
        <v>249</v>
      </c>
      <c r="C1468" s="5">
        <v>59</v>
      </c>
      <c r="D1468" s="5">
        <f t="shared" si="92"/>
        <v>493.89549345236594</v>
      </c>
      <c r="E1468" s="5">
        <f t="shared" si="94"/>
        <v>3</v>
      </c>
      <c r="F1468" s="5">
        <v>231</v>
      </c>
      <c r="G1468" s="5" t="s">
        <v>63</v>
      </c>
      <c r="H1468" s="5">
        <v>59</v>
      </c>
      <c r="I1468" s="5">
        <f t="shared" si="93"/>
        <v>493.89549345236594</v>
      </c>
      <c r="J1468" s="5">
        <f t="shared" si="95"/>
        <v>4</v>
      </c>
    </row>
    <row r="1469" spans="1:10" x14ac:dyDescent="0.2">
      <c r="A1469" s="5">
        <v>242</v>
      </c>
      <c r="B1469" s="5" t="s">
        <v>285</v>
      </c>
      <c r="C1469" s="5">
        <v>62</v>
      </c>
      <c r="D1469" s="5">
        <f t="shared" si="92"/>
        <v>587.34554108704231</v>
      </c>
      <c r="E1469" s="5">
        <f t="shared" si="94"/>
        <v>3</v>
      </c>
      <c r="F1469" s="5">
        <v>232.5</v>
      </c>
      <c r="G1469" s="5" t="s">
        <v>66</v>
      </c>
      <c r="H1469" s="5">
        <v>55</v>
      </c>
      <c r="I1469" s="5">
        <f t="shared" si="93"/>
        <v>392.00377257605692</v>
      </c>
      <c r="J1469" s="5">
        <f t="shared" si="95"/>
        <v>4</v>
      </c>
    </row>
    <row r="1470" spans="1:10" x14ac:dyDescent="0.2">
      <c r="A1470" s="5">
        <v>244</v>
      </c>
      <c r="B1470" s="5" t="s">
        <v>247</v>
      </c>
      <c r="C1470" s="5">
        <v>50</v>
      </c>
      <c r="D1470" s="5">
        <f t="shared" si="92"/>
        <v>293.66975814369101</v>
      </c>
      <c r="E1470" s="5">
        <f t="shared" si="94"/>
        <v>12</v>
      </c>
      <c r="F1470" s="5">
        <v>234</v>
      </c>
      <c r="G1470" s="5" t="s">
        <v>274</v>
      </c>
      <c r="H1470" s="5">
        <v>59</v>
      </c>
      <c r="I1470" s="5">
        <f t="shared" si="93"/>
        <v>493.89549345236594</v>
      </c>
      <c r="J1470" s="5">
        <f t="shared" si="95"/>
        <v>4</v>
      </c>
    </row>
    <row r="1471" spans="1:10" x14ac:dyDescent="0.2">
      <c r="A1471" s="5">
        <v>245</v>
      </c>
      <c r="B1471" s="5" t="s">
        <v>249</v>
      </c>
      <c r="C1471" s="5">
        <v>59</v>
      </c>
      <c r="D1471" s="5">
        <f t="shared" si="92"/>
        <v>493.89549345236594</v>
      </c>
      <c r="E1471" s="5">
        <f t="shared" si="94"/>
        <v>9</v>
      </c>
      <c r="F1471" s="5">
        <v>236</v>
      </c>
      <c r="G1471" s="5" t="s">
        <v>54</v>
      </c>
      <c r="H1471" s="5">
        <v>45</v>
      </c>
      <c r="I1471" s="5">
        <f t="shared" si="93"/>
        <v>220.00279814001337</v>
      </c>
      <c r="J1471" s="5">
        <f t="shared" si="95"/>
        <v>14</v>
      </c>
    </row>
    <row r="1472" spans="1:10" x14ac:dyDescent="0.2">
      <c r="A1472" s="5">
        <v>246.5</v>
      </c>
      <c r="B1472" s="5" t="s">
        <v>249</v>
      </c>
      <c r="C1472" s="5">
        <v>59</v>
      </c>
      <c r="D1472" s="5">
        <f t="shared" si="92"/>
        <v>493.89549345236594</v>
      </c>
      <c r="E1472" s="5">
        <f t="shared" si="94"/>
        <v>0</v>
      </c>
      <c r="F1472" s="5">
        <v>237</v>
      </c>
      <c r="G1472" s="5" t="s">
        <v>53</v>
      </c>
      <c r="H1472" s="5">
        <v>55</v>
      </c>
      <c r="I1472" s="5">
        <f t="shared" si="93"/>
        <v>392.00377257605692</v>
      </c>
      <c r="J1472" s="5">
        <f t="shared" si="95"/>
        <v>10</v>
      </c>
    </row>
    <row r="1473" spans="1:10" x14ac:dyDescent="0.2">
      <c r="A1473" s="5">
        <v>248</v>
      </c>
      <c r="B1473" s="5" t="s">
        <v>247</v>
      </c>
      <c r="C1473" s="5">
        <v>50</v>
      </c>
      <c r="D1473" s="5">
        <f t="shared" si="92"/>
        <v>293.66975814369101</v>
      </c>
      <c r="E1473" s="5">
        <f t="shared" si="94"/>
        <v>9</v>
      </c>
      <c r="F1473" s="5">
        <v>239</v>
      </c>
      <c r="G1473" s="5" t="s">
        <v>119</v>
      </c>
      <c r="H1473" s="5">
        <v>59</v>
      </c>
      <c r="I1473" s="5">
        <f t="shared" si="93"/>
        <v>493.89549345236594</v>
      </c>
      <c r="J1473" s="5">
        <f t="shared" si="95"/>
        <v>4</v>
      </c>
    </row>
    <row r="1474" spans="1:10" x14ac:dyDescent="0.2">
      <c r="A1474" s="5">
        <v>249</v>
      </c>
      <c r="B1474" s="5" t="s">
        <v>249</v>
      </c>
      <c r="C1474" s="5">
        <v>59</v>
      </c>
      <c r="D1474" s="5">
        <f t="shared" si="92"/>
        <v>493.89549345236594</v>
      </c>
      <c r="E1474" s="5">
        <f t="shared" si="94"/>
        <v>9</v>
      </c>
      <c r="F1474" s="5">
        <v>240.5</v>
      </c>
      <c r="G1474" s="5" t="s">
        <v>53</v>
      </c>
      <c r="H1474" s="5">
        <v>55</v>
      </c>
      <c r="I1474" s="5">
        <f t="shared" si="93"/>
        <v>392.00377257605692</v>
      </c>
      <c r="J1474" s="5">
        <f t="shared" si="95"/>
        <v>4</v>
      </c>
    </row>
    <row r="1475" spans="1:10" x14ac:dyDescent="0.2">
      <c r="A1475" s="5">
        <v>250.5</v>
      </c>
      <c r="B1475" s="5" t="s">
        <v>249</v>
      </c>
      <c r="C1475" s="5">
        <v>59</v>
      </c>
      <c r="D1475" s="5">
        <f t="shared" si="92"/>
        <v>493.89549345236594</v>
      </c>
      <c r="E1475" s="5">
        <f t="shared" si="94"/>
        <v>0</v>
      </c>
      <c r="F1475" s="5">
        <v>242</v>
      </c>
      <c r="G1475" s="5" t="s">
        <v>63</v>
      </c>
      <c r="H1475" s="5">
        <v>59</v>
      </c>
      <c r="I1475" s="5">
        <f t="shared" si="93"/>
        <v>493.89549345236594</v>
      </c>
      <c r="J1475" s="5">
        <f t="shared" si="95"/>
        <v>4</v>
      </c>
    </row>
    <row r="1476" spans="1:10" x14ac:dyDescent="0.2">
      <c r="A1476" s="5">
        <v>252</v>
      </c>
      <c r="B1476" s="5" t="s">
        <v>247</v>
      </c>
      <c r="C1476" s="5">
        <v>50</v>
      </c>
      <c r="D1476" s="5">
        <f t="shared" si="92"/>
        <v>293.66975814369101</v>
      </c>
      <c r="E1476" s="5">
        <f t="shared" si="94"/>
        <v>9</v>
      </c>
      <c r="F1476" s="5">
        <v>244</v>
      </c>
      <c r="G1476" s="5" t="s">
        <v>54</v>
      </c>
      <c r="H1476" s="5">
        <v>45</v>
      </c>
      <c r="I1476" s="5">
        <f t="shared" si="93"/>
        <v>220.00279814001337</v>
      </c>
      <c r="J1476" s="5">
        <f t="shared" si="95"/>
        <v>14</v>
      </c>
    </row>
    <row r="1477" spans="1:10" x14ac:dyDescent="0.2">
      <c r="A1477" s="5">
        <v>253</v>
      </c>
      <c r="B1477" s="5" t="s">
        <v>249</v>
      </c>
      <c r="C1477" s="5">
        <v>59</v>
      </c>
      <c r="D1477" s="5">
        <f t="shared" si="92"/>
        <v>493.89549345236594</v>
      </c>
      <c r="E1477" s="5">
        <f t="shared" si="94"/>
        <v>9</v>
      </c>
      <c r="F1477" s="5">
        <v>245</v>
      </c>
      <c r="G1477" s="5" t="s">
        <v>53</v>
      </c>
      <c r="H1477" s="5">
        <v>55</v>
      </c>
      <c r="I1477" s="5">
        <f t="shared" si="93"/>
        <v>392.00377257605692</v>
      </c>
      <c r="J1477" s="5">
        <f t="shared" si="95"/>
        <v>10</v>
      </c>
    </row>
    <row r="1478" spans="1:10" x14ac:dyDescent="0.2">
      <c r="A1478" s="5">
        <v>255</v>
      </c>
      <c r="B1478" s="5" t="s">
        <v>285</v>
      </c>
      <c r="C1478" s="5">
        <v>62</v>
      </c>
      <c r="D1478" s="5">
        <f t="shared" si="92"/>
        <v>587.34554108704231</v>
      </c>
      <c r="E1478" s="5">
        <f t="shared" si="94"/>
        <v>3</v>
      </c>
      <c r="F1478" s="5">
        <v>246.5</v>
      </c>
      <c r="G1478" s="5" t="s">
        <v>53</v>
      </c>
      <c r="H1478" s="5">
        <v>55</v>
      </c>
      <c r="I1478" s="5">
        <f t="shared" si="93"/>
        <v>392.00377257605692</v>
      </c>
      <c r="J1478" s="5">
        <f t="shared" si="95"/>
        <v>0</v>
      </c>
    </row>
    <row r="1479" spans="1:10" x14ac:dyDescent="0.2">
      <c r="A1479" s="5">
        <v>256.5</v>
      </c>
      <c r="B1479" s="5" t="s">
        <v>249</v>
      </c>
      <c r="C1479" s="5">
        <v>59</v>
      </c>
      <c r="D1479" s="5">
        <f t="shared" si="92"/>
        <v>493.89549345236594</v>
      </c>
      <c r="E1479" s="5">
        <f t="shared" si="94"/>
        <v>3</v>
      </c>
      <c r="F1479" s="5">
        <v>248</v>
      </c>
      <c r="G1479" s="5" t="s">
        <v>54</v>
      </c>
      <c r="H1479" s="5">
        <v>45</v>
      </c>
      <c r="I1479" s="5">
        <f t="shared" si="93"/>
        <v>220.00279814001337</v>
      </c>
      <c r="J1479" s="5">
        <f t="shared" si="95"/>
        <v>10</v>
      </c>
    </row>
    <row r="1480" spans="1:10" x14ac:dyDescent="0.2">
      <c r="A1480" s="5">
        <v>258</v>
      </c>
      <c r="B1480" s="5" t="s">
        <v>285</v>
      </c>
      <c r="C1480" s="5">
        <v>62</v>
      </c>
      <c r="D1480" s="5">
        <f t="shared" si="92"/>
        <v>587.34554108704231</v>
      </c>
      <c r="E1480" s="5">
        <f t="shared" si="94"/>
        <v>3</v>
      </c>
      <c r="F1480" s="5">
        <v>249</v>
      </c>
      <c r="G1480" s="5" t="s">
        <v>53</v>
      </c>
      <c r="H1480" s="5">
        <v>55</v>
      </c>
      <c r="I1480" s="5">
        <f t="shared" si="93"/>
        <v>392.00377257605692</v>
      </c>
      <c r="J1480" s="5">
        <f t="shared" si="95"/>
        <v>10</v>
      </c>
    </row>
    <row r="1481" spans="1:10" x14ac:dyDescent="0.2">
      <c r="A1481" s="5">
        <v>260</v>
      </c>
      <c r="B1481" s="5" t="s">
        <v>247</v>
      </c>
      <c r="C1481" s="5">
        <v>50</v>
      </c>
      <c r="D1481" s="5">
        <f t="shared" si="92"/>
        <v>293.66975814369101</v>
      </c>
      <c r="E1481" s="5">
        <f t="shared" si="94"/>
        <v>12</v>
      </c>
      <c r="F1481" s="5">
        <v>250.5</v>
      </c>
      <c r="G1481" s="5" t="s">
        <v>53</v>
      </c>
      <c r="H1481" s="5">
        <v>55</v>
      </c>
      <c r="I1481" s="5">
        <f t="shared" si="93"/>
        <v>392.00377257605692</v>
      </c>
      <c r="J1481" s="5">
        <f t="shared" si="95"/>
        <v>0</v>
      </c>
    </row>
    <row r="1482" spans="1:10" x14ac:dyDescent="0.2">
      <c r="A1482" s="5">
        <v>261</v>
      </c>
      <c r="B1482" s="5" t="s">
        <v>249</v>
      </c>
      <c r="C1482" s="5">
        <v>59</v>
      </c>
      <c r="D1482" s="5">
        <f t="shared" si="92"/>
        <v>493.89549345236594</v>
      </c>
      <c r="E1482" s="5">
        <f t="shared" si="94"/>
        <v>9</v>
      </c>
      <c r="F1482" s="5">
        <v>252</v>
      </c>
      <c r="G1482" s="5" t="s">
        <v>54</v>
      </c>
      <c r="H1482" s="5">
        <v>45</v>
      </c>
      <c r="I1482" s="5">
        <f t="shared" si="93"/>
        <v>220.00279814001337</v>
      </c>
      <c r="J1482" s="5">
        <f t="shared" si="95"/>
        <v>10</v>
      </c>
    </row>
    <row r="1483" spans="1:10" x14ac:dyDescent="0.2">
      <c r="A1483" s="5">
        <v>263</v>
      </c>
      <c r="B1483" s="5" t="s">
        <v>285</v>
      </c>
      <c r="C1483" s="5">
        <v>62</v>
      </c>
      <c r="D1483" s="5">
        <f t="shared" si="92"/>
        <v>587.34554108704231</v>
      </c>
      <c r="E1483" s="5">
        <f t="shared" si="94"/>
        <v>3</v>
      </c>
      <c r="F1483" s="5">
        <v>253</v>
      </c>
      <c r="G1483" s="5" t="s">
        <v>53</v>
      </c>
      <c r="H1483" s="5">
        <v>55</v>
      </c>
      <c r="I1483" s="5">
        <f t="shared" si="93"/>
        <v>392.00377257605692</v>
      </c>
      <c r="J1483" s="5">
        <f t="shared" si="95"/>
        <v>10</v>
      </c>
    </row>
    <row r="1484" spans="1:10" x14ac:dyDescent="0.2">
      <c r="A1484" s="5">
        <v>264.5</v>
      </c>
      <c r="B1484" s="5" t="s">
        <v>249</v>
      </c>
      <c r="C1484" s="5">
        <v>59</v>
      </c>
      <c r="D1484" s="5">
        <f t="shared" si="92"/>
        <v>493.89549345236594</v>
      </c>
      <c r="E1484" s="5">
        <f t="shared" si="94"/>
        <v>3</v>
      </c>
      <c r="F1484" s="5">
        <v>255</v>
      </c>
      <c r="G1484" s="5" t="s">
        <v>63</v>
      </c>
      <c r="H1484" s="5">
        <v>59</v>
      </c>
      <c r="I1484" s="5">
        <f t="shared" si="93"/>
        <v>493.89549345236594</v>
      </c>
      <c r="J1484" s="5">
        <f t="shared" si="95"/>
        <v>4</v>
      </c>
    </row>
    <row r="1485" spans="1:10" x14ac:dyDescent="0.2">
      <c r="A1485" s="5">
        <v>266</v>
      </c>
      <c r="B1485" s="5" t="s">
        <v>285</v>
      </c>
      <c r="C1485" s="5">
        <v>62</v>
      </c>
      <c r="D1485" s="5">
        <f t="shared" si="92"/>
        <v>587.34554108704231</v>
      </c>
      <c r="E1485" s="5">
        <f t="shared" si="94"/>
        <v>3</v>
      </c>
      <c r="F1485" s="5">
        <v>256.5</v>
      </c>
      <c r="G1485" s="5" t="s">
        <v>66</v>
      </c>
      <c r="H1485" s="5">
        <v>55</v>
      </c>
      <c r="I1485" s="5">
        <f t="shared" si="93"/>
        <v>392.00377257605692</v>
      </c>
      <c r="J1485" s="5">
        <f t="shared" si="95"/>
        <v>4</v>
      </c>
    </row>
    <row r="1486" spans="1:10" x14ac:dyDescent="0.2">
      <c r="A1486" s="5">
        <v>268</v>
      </c>
      <c r="B1486" s="5" t="s">
        <v>247</v>
      </c>
      <c r="C1486" s="5">
        <v>50</v>
      </c>
      <c r="D1486" s="5">
        <f t="shared" si="92"/>
        <v>293.66975814369101</v>
      </c>
      <c r="E1486" s="5">
        <f t="shared" si="94"/>
        <v>12</v>
      </c>
      <c r="F1486" s="5">
        <v>258</v>
      </c>
      <c r="G1486" s="5" t="s">
        <v>274</v>
      </c>
      <c r="H1486" s="5">
        <v>59</v>
      </c>
      <c r="I1486" s="5">
        <f t="shared" si="93"/>
        <v>493.89549345236594</v>
      </c>
      <c r="J1486" s="5">
        <f t="shared" si="95"/>
        <v>4</v>
      </c>
    </row>
    <row r="1487" spans="1:10" x14ac:dyDescent="0.2">
      <c r="A1487" s="5">
        <v>269</v>
      </c>
      <c r="B1487" s="5" t="s">
        <v>249</v>
      </c>
      <c r="C1487" s="5">
        <v>59</v>
      </c>
      <c r="D1487" s="5">
        <f t="shared" si="92"/>
        <v>493.89549345236594</v>
      </c>
      <c r="E1487" s="5">
        <f t="shared" si="94"/>
        <v>9</v>
      </c>
      <c r="F1487" s="5">
        <v>260</v>
      </c>
      <c r="G1487" s="5" t="s">
        <v>54</v>
      </c>
      <c r="H1487" s="5">
        <v>45</v>
      </c>
      <c r="I1487" s="5">
        <f t="shared" si="93"/>
        <v>220.00279814001337</v>
      </c>
      <c r="J1487" s="5">
        <f t="shared" si="95"/>
        <v>14</v>
      </c>
    </row>
    <row r="1488" spans="1:10" x14ac:dyDescent="0.2">
      <c r="A1488" s="5">
        <v>270.5</v>
      </c>
      <c r="B1488" s="5" t="s">
        <v>249</v>
      </c>
      <c r="C1488" s="5">
        <v>59</v>
      </c>
      <c r="D1488" s="5">
        <f t="shared" si="92"/>
        <v>493.89549345236594</v>
      </c>
      <c r="E1488" s="5">
        <f t="shared" si="94"/>
        <v>0</v>
      </c>
      <c r="F1488" s="5">
        <v>261</v>
      </c>
      <c r="G1488" s="5" t="s">
        <v>53</v>
      </c>
      <c r="H1488" s="5">
        <v>55</v>
      </c>
      <c r="I1488" s="5">
        <f t="shared" si="93"/>
        <v>392.00377257605692</v>
      </c>
      <c r="J1488" s="5">
        <f t="shared" si="95"/>
        <v>10</v>
      </c>
    </row>
    <row r="1489" spans="1:10" x14ac:dyDescent="0.2">
      <c r="A1489" s="5">
        <v>272</v>
      </c>
      <c r="B1489" s="5" t="s">
        <v>247</v>
      </c>
      <c r="C1489" s="5">
        <v>50</v>
      </c>
      <c r="D1489" s="5">
        <f t="shared" si="92"/>
        <v>293.66975814369101</v>
      </c>
      <c r="E1489" s="5">
        <f t="shared" si="94"/>
        <v>9</v>
      </c>
      <c r="F1489" s="5">
        <v>263</v>
      </c>
      <c r="G1489" s="5" t="s">
        <v>119</v>
      </c>
      <c r="H1489" s="5">
        <v>59</v>
      </c>
      <c r="I1489" s="5">
        <f t="shared" si="93"/>
        <v>493.89549345236594</v>
      </c>
      <c r="J1489" s="5">
        <f t="shared" si="95"/>
        <v>4</v>
      </c>
    </row>
    <row r="1490" spans="1:10" x14ac:dyDescent="0.2">
      <c r="A1490" s="5">
        <v>273</v>
      </c>
      <c r="B1490" s="5" t="s">
        <v>249</v>
      </c>
      <c r="C1490" s="5">
        <v>59</v>
      </c>
      <c r="D1490" s="5">
        <f t="shared" si="92"/>
        <v>493.89549345236594</v>
      </c>
      <c r="E1490" s="5">
        <f t="shared" si="94"/>
        <v>9</v>
      </c>
      <c r="F1490" s="5">
        <v>264.5</v>
      </c>
      <c r="G1490" s="5" t="s">
        <v>53</v>
      </c>
      <c r="H1490" s="5">
        <v>55</v>
      </c>
      <c r="I1490" s="5">
        <f t="shared" si="93"/>
        <v>392.00377257605692</v>
      </c>
      <c r="J1490" s="5">
        <f t="shared" si="95"/>
        <v>4</v>
      </c>
    </row>
    <row r="1491" spans="1:10" x14ac:dyDescent="0.2">
      <c r="A1491" s="5">
        <v>274.5</v>
      </c>
      <c r="B1491" s="5" t="s">
        <v>249</v>
      </c>
      <c r="C1491" s="5">
        <v>59</v>
      </c>
      <c r="D1491" s="5">
        <f t="shared" si="92"/>
        <v>493.89549345236594</v>
      </c>
      <c r="E1491" s="5">
        <f t="shared" si="94"/>
        <v>0</v>
      </c>
      <c r="F1491" s="5">
        <v>266</v>
      </c>
      <c r="G1491" s="5" t="s">
        <v>63</v>
      </c>
      <c r="H1491" s="5">
        <v>59</v>
      </c>
      <c r="I1491" s="5">
        <f t="shared" si="93"/>
        <v>493.89549345236594</v>
      </c>
      <c r="J1491" s="5">
        <f t="shared" si="95"/>
        <v>4</v>
      </c>
    </row>
    <row r="1492" spans="1:10" x14ac:dyDescent="0.2">
      <c r="A1492" s="5">
        <v>276</v>
      </c>
      <c r="B1492" s="5" t="s">
        <v>247</v>
      </c>
      <c r="C1492" s="5">
        <v>50</v>
      </c>
      <c r="D1492" s="5">
        <f t="shared" si="92"/>
        <v>293.66975814369101</v>
      </c>
      <c r="E1492" s="5">
        <f t="shared" si="94"/>
        <v>9</v>
      </c>
      <c r="F1492" s="5">
        <v>268</v>
      </c>
      <c r="G1492" s="5" t="s">
        <v>54</v>
      </c>
      <c r="H1492" s="5">
        <v>45</v>
      </c>
      <c r="I1492" s="5">
        <f t="shared" si="93"/>
        <v>220.00279814001337</v>
      </c>
      <c r="J1492" s="5">
        <f t="shared" si="95"/>
        <v>14</v>
      </c>
    </row>
    <row r="1493" spans="1:10" x14ac:dyDescent="0.2">
      <c r="A1493" s="5">
        <v>277</v>
      </c>
      <c r="B1493" s="5" t="s">
        <v>249</v>
      </c>
      <c r="C1493" s="5">
        <v>59</v>
      </c>
      <c r="D1493" s="5">
        <f t="shared" si="92"/>
        <v>493.89549345236594</v>
      </c>
      <c r="E1493" s="5">
        <f t="shared" si="94"/>
        <v>9</v>
      </c>
      <c r="F1493" s="5">
        <v>269</v>
      </c>
      <c r="G1493" s="5" t="s">
        <v>53</v>
      </c>
      <c r="H1493" s="5">
        <v>55</v>
      </c>
      <c r="I1493" s="5">
        <f t="shared" si="93"/>
        <v>392.00377257605692</v>
      </c>
      <c r="J1493" s="5">
        <f t="shared" si="95"/>
        <v>10</v>
      </c>
    </row>
    <row r="1494" spans="1:10" x14ac:dyDescent="0.2">
      <c r="A1494" s="5">
        <v>278.5</v>
      </c>
      <c r="B1494" s="5" t="s">
        <v>249</v>
      </c>
      <c r="C1494" s="5">
        <v>59</v>
      </c>
      <c r="D1494" s="5">
        <f t="shared" si="92"/>
        <v>493.89549345236594</v>
      </c>
      <c r="E1494" s="5">
        <f t="shared" si="94"/>
        <v>0</v>
      </c>
      <c r="F1494" s="5">
        <v>270.5</v>
      </c>
      <c r="G1494" s="5" t="s">
        <v>53</v>
      </c>
      <c r="H1494" s="5">
        <v>55</v>
      </c>
      <c r="I1494" s="5">
        <f t="shared" si="93"/>
        <v>392.00377257605692</v>
      </c>
      <c r="J1494" s="5">
        <f t="shared" si="95"/>
        <v>0</v>
      </c>
    </row>
    <row r="1495" spans="1:10" x14ac:dyDescent="0.2">
      <c r="A1495" s="5">
        <v>280</v>
      </c>
      <c r="B1495" s="5" t="s">
        <v>247</v>
      </c>
      <c r="C1495" s="5">
        <v>50</v>
      </c>
      <c r="D1495" s="5">
        <f t="shared" si="92"/>
        <v>293.66975814369101</v>
      </c>
      <c r="E1495" s="5">
        <f t="shared" si="94"/>
        <v>9</v>
      </c>
      <c r="F1495" s="5">
        <v>272</v>
      </c>
      <c r="G1495" s="5" t="s">
        <v>54</v>
      </c>
      <c r="H1495" s="5">
        <v>45</v>
      </c>
      <c r="I1495" s="5">
        <f t="shared" si="93"/>
        <v>220.00279814001337</v>
      </c>
      <c r="J1495" s="5">
        <f t="shared" si="95"/>
        <v>10</v>
      </c>
    </row>
    <row r="1496" spans="1:10" x14ac:dyDescent="0.2">
      <c r="A1496" s="5">
        <v>281</v>
      </c>
      <c r="B1496" s="5" t="s">
        <v>249</v>
      </c>
      <c r="C1496" s="5">
        <v>59</v>
      </c>
      <c r="D1496" s="5">
        <f t="shared" ref="D1496:D1515" si="96">16.35117682*1.059464^C1496</f>
        <v>493.89549345236594</v>
      </c>
      <c r="E1496" s="5">
        <f t="shared" si="94"/>
        <v>9</v>
      </c>
      <c r="F1496" s="5">
        <v>273</v>
      </c>
      <c r="G1496" s="5" t="s">
        <v>53</v>
      </c>
      <c r="H1496" s="5">
        <v>55</v>
      </c>
      <c r="I1496" s="5">
        <f t="shared" ref="I1496:I1519" si="97">16.35117682*1.059464^H1496</f>
        <v>392.00377257605692</v>
      </c>
      <c r="J1496" s="5">
        <f t="shared" si="95"/>
        <v>10</v>
      </c>
    </row>
    <row r="1497" spans="1:10" x14ac:dyDescent="0.2">
      <c r="A1497" s="5">
        <v>282.5</v>
      </c>
      <c r="B1497" s="5" t="s">
        <v>249</v>
      </c>
      <c r="C1497" s="5">
        <v>59</v>
      </c>
      <c r="D1497" s="5">
        <f t="shared" si="96"/>
        <v>493.89549345236594</v>
      </c>
      <c r="E1497" s="5">
        <f t="shared" ref="E1497:E1515" si="98">ABS( C1497-C1496)</f>
        <v>0</v>
      </c>
      <c r="F1497" s="5">
        <v>274.5</v>
      </c>
      <c r="G1497" s="5" t="s">
        <v>53</v>
      </c>
      <c r="H1497" s="5">
        <v>55</v>
      </c>
      <c r="I1497" s="5">
        <f t="shared" si="97"/>
        <v>392.00377257605692</v>
      </c>
      <c r="J1497" s="5">
        <f t="shared" ref="J1497:J1519" si="99">ABS( H1497-H1496)</f>
        <v>0</v>
      </c>
    </row>
    <row r="1498" spans="1:10" x14ac:dyDescent="0.2">
      <c r="A1498" s="5">
        <v>284</v>
      </c>
      <c r="B1498" s="5" t="s">
        <v>247</v>
      </c>
      <c r="C1498" s="5">
        <v>50</v>
      </c>
      <c r="D1498" s="5">
        <f t="shared" si="96"/>
        <v>293.66975814369101</v>
      </c>
      <c r="E1498" s="5">
        <f t="shared" si="98"/>
        <v>9</v>
      </c>
      <c r="F1498" s="5">
        <v>276</v>
      </c>
      <c r="G1498" s="5" t="s">
        <v>54</v>
      </c>
      <c r="H1498" s="5">
        <v>45</v>
      </c>
      <c r="I1498" s="5">
        <f t="shared" si="97"/>
        <v>220.00279814001337</v>
      </c>
      <c r="J1498" s="5">
        <f t="shared" si="99"/>
        <v>10</v>
      </c>
    </row>
    <row r="1499" spans="1:10" x14ac:dyDescent="0.2">
      <c r="A1499" s="5">
        <v>285</v>
      </c>
      <c r="B1499" s="5" t="s">
        <v>249</v>
      </c>
      <c r="C1499" s="5">
        <v>59</v>
      </c>
      <c r="D1499" s="5">
        <f t="shared" si="96"/>
        <v>493.89549345236594</v>
      </c>
      <c r="E1499" s="5">
        <f t="shared" si="98"/>
        <v>9</v>
      </c>
      <c r="F1499" s="5">
        <v>277</v>
      </c>
      <c r="G1499" s="5" t="s">
        <v>53</v>
      </c>
      <c r="H1499" s="5">
        <v>55</v>
      </c>
      <c r="I1499" s="5">
        <f t="shared" si="97"/>
        <v>392.00377257605692</v>
      </c>
      <c r="J1499" s="5">
        <f t="shared" si="99"/>
        <v>10</v>
      </c>
    </row>
    <row r="1500" spans="1:10" x14ac:dyDescent="0.2">
      <c r="A1500" s="5">
        <v>286.5</v>
      </c>
      <c r="B1500" s="5" t="s">
        <v>249</v>
      </c>
      <c r="C1500" s="5">
        <v>59</v>
      </c>
      <c r="D1500" s="5">
        <f t="shared" si="96"/>
        <v>493.89549345236594</v>
      </c>
      <c r="E1500" s="5">
        <f t="shared" si="98"/>
        <v>0</v>
      </c>
      <c r="F1500" s="5">
        <v>278.5</v>
      </c>
      <c r="G1500" s="5" t="s">
        <v>53</v>
      </c>
      <c r="H1500" s="5">
        <v>55</v>
      </c>
      <c r="I1500" s="5">
        <f t="shared" si="97"/>
        <v>392.00377257605692</v>
      </c>
      <c r="J1500" s="5">
        <f t="shared" si="99"/>
        <v>0</v>
      </c>
    </row>
    <row r="1501" spans="1:10" x14ac:dyDescent="0.2">
      <c r="A1501" s="5">
        <v>288</v>
      </c>
      <c r="B1501" s="5" t="s">
        <v>247</v>
      </c>
      <c r="C1501" s="5">
        <v>50</v>
      </c>
      <c r="D1501" s="5">
        <f t="shared" si="96"/>
        <v>293.66975814369101</v>
      </c>
      <c r="E1501" s="5">
        <f t="shared" si="98"/>
        <v>9</v>
      </c>
      <c r="F1501" s="5">
        <v>280</v>
      </c>
      <c r="G1501" s="5" t="s">
        <v>54</v>
      </c>
      <c r="H1501" s="5">
        <v>45</v>
      </c>
      <c r="I1501" s="5">
        <f t="shared" si="97"/>
        <v>220.00279814001337</v>
      </c>
      <c r="J1501" s="5">
        <f t="shared" si="99"/>
        <v>10</v>
      </c>
    </row>
    <row r="1502" spans="1:10" x14ac:dyDescent="0.2">
      <c r="A1502" s="5">
        <v>289</v>
      </c>
      <c r="B1502" s="5" t="s">
        <v>249</v>
      </c>
      <c r="C1502" s="5">
        <v>59</v>
      </c>
      <c r="D1502" s="5">
        <f t="shared" si="96"/>
        <v>493.89549345236594</v>
      </c>
      <c r="E1502" s="5">
        <f t="shared" si="98"/>
        <v>9</v>
      </c>
      <c r="F1502" s="5">
        <v>281</v>
      </c>
      <c r="G1502" s="5" t="s">
        <v>53</v>
      </c>
      <c r="H1502" s="5">
        <v>55</v>
      </c>
      <c r="I1502" s="5">
        <f t="shared" si="97"/>
        <v>392.00377257605692</v>
      </c>
      <c r="J1502" s="5">
        <f t="shared" si="99"/>
        <v>10</v>
      </c>
    </row>
    <row r="1503" spans="1:10" x14ac:dyDescent="0.2">
      <c r="A1503" s="5">
        <v>290.5</v>
      </c>
      <c r="B1503" s="5" t="s">
        <v>249</v>
      </c>
      <c r="C1503" s="5">
        <v>59</v>
      </c>
      <c r="D1503" s="5">
        <f t="shared" si="96"/>
        <v>493.89549345236594</v>
      </c>
      <c r="E1503" s="5">
        <f t="shared" si="98"/>
        <v>0</v>
      </c>
      <c r="F1503" s="5">
        <v>282.5</v>
      </c>
      <c r="G1503" s="5" t="s">
        <v>53</v>
      </c>
      <c r="H1503" s="5">
        <v>55</v>
      </c>
      <c r="I1503" s="5">
        <f t="shared" si="97"/>
        <v>392.00377257605692</v>
      </c>
      <c r="J1503" s="5">
        <f t="shared" si="99"/>
        <v>0</v>
      </c>
    </row>
    <row r="1504" spans="1:10" x14ac:dyDescent="0.2">
      <c r="A1504" s="5">
        <v>292</v>
      </c>
      <c r="B1504" s="5" t="s">
        <v>247</v>
      </c>
      <c r="C1504" s="5">
        <v>50</v>
      </c>
      <c r="D1504" s="5">
        <f t="shared" si="96"/>
        <v>293.66975814369101</v>
      </c>
      <c r="E1504" s="5">
        <f t="shared" si="98"/>
        <v>9</v>
      </c>
      <c r="F1504" s="5">
        <v>284</v>
      </c>
      <c r="G1504" s="5" t="s">
        <v>54</v>
      </c>
      <c r="H1504" s="5">
        <v>45</v>
      </c>
      <c r="I1504" s="5">
        <f t="shared" si="97"/>
        <v>220.00279814001337</v>
      </c>
      <c r="J1504" s="5">
        <f t="shared" si="99"/>
        <v>10</v>
      </c>
    </row>
    <row r="1505" spans="1:10" x14ac:dyDescent="0.2">
      <c r="A1505" s="5">
        <v>293</v>
      </c>
      <c r="B1505" s="5" t="s">
        <v>249</v>
      </c>
      <c r="C1505" s="5">
        <v>59</v>
      </c>
      <c r="D1505" s="5">
        <f t="shared" si="96"/>
        <v>493.89549345236594</v>
      </c>
      <c r="E1505" s="5">
        <f t="shared" si="98"/>
        <v>9</v>
      </c>
      <c r="F1505" s="5">
        <v>285</v>
      </c>
      <c r="G1505" s="5" t="s">
        <v>53</v>
      </c>
      <c r="H1505" s="5">
        <v>55</v>
      </c>
      <c r="I1505" s="5">
        <f t="shared" si="97"/>
        <v>392.00377257605692</v>
      </c>
      <c r="J1505" s="5">
        <f t="shared" si="99"/>
        <v>10</v>
      </c>
    </row>
    <row r="1506" spans="1:10" x14ac:dyDescent="0.2">
      <c r="A1506" s="5">
        <v>294.5</v>
      </c>
      <c r="B1506" s="5" t="s">
        <v>249</v>
      </c>
      <c r="C1506" s="5">
        <v>59</v>
      </c>
      <c r="D1506" s="5">
        <f t="shared" si="96"/>
        <v>493.89549345236594</v>
      </c>
      <c r="E1506" s="5">
        <f t="shared" si="98"/>
        <v>0</v>
      </c>
      <c r="F1506" s="5">
        <v>286.5</v>
      </c>
      <c r="G1506" s="5" t="s">
        <v>53</v>
      </c>
      <c r="H1506" s="5">
        <v>55</v>
      </c>
      <c r="I1506" s="5">
        <f t="shared" si="97"/>
        <v>392.00377257605692</v>
      </c>
      <c r="J1506" s="5">
        <f t="shared" si="99"/>
        <v>0</v>
      </c>
    </row>
    <row r="1507" spans="1:10" x14ac:dyDescent="0.2">
      <c r="A1507" s="5">
        <v>296</v>
      </c>
      <c r="B1507" s="5" t="s">
        <v>247</v>
      </c>
      <c r="C1507" s="5">
        <v>50</v>
      </c>
      <c r="D1507" s="5">
        <f t="shared" si="96"/>
        <v>293.66975814369101</v>
      </c>
      <c r="E1507" s="5">
        <f t="shared" si="98"/>
        <v>9</v>
      </c>
      <c r="F1507" s="5">
        <v>288</v>
      </c>
      <c r="G1507" s="5" t="s">
        <v>54</v>
      </c>
      <c r="H1507" s="5">
        <v>45</v>
      </c>
      <c r="I1507" s="5">
        <f t="shared" si="97"/>
        <v>220.00279814001337</v>
      </c>
      <c r="J1507" s="5">
        <f t="shared" si="99"/>
        <v>10</v>
      </c>
    </row>
    <row r="1508" spans="1:10" x14ac:dyDescent="0.2">
      <c r="A1508" s="5">
        <v>297</v>
      </c>
      <c r="B1508" s="5" t="s">
        <v>249</v>
      </c>
      <c r="C1508" s="5">
        <v>59</v>
      </c>
      <c r="D1508" s="5">
        <f t="shared" si="96"/>
        <v>493.89549345236594</v>
      </c>
      <c r="E1508" s="5">
        <f t="shared" si="98"/>
        <v>9</v>
      </c>
      <c r="F1508" s="5">
        <v>289</v>
      </c>
      <c r="G1508" s="5" t="s">
        <v>53</v>
      </c>
      <c r="H1508" s="5">
        <v>55</v>
      </c>
      <c r="I1508" s="5">
        <f t="shared" si="97"/>
        <v>392.00377257605692</v>
      </c>
      <c r="J1508" s="5">
        <f t="shared" si="99"/>
        <v>10</v>
      </c>
    </row>
    <row r="1509" spans="1:10" x14ac:dyDescent="0.2">
      <c r="A1509" s="5">
        <v>298.5</v>
      </c>
      <c r="B1509" s="5" t="s">
        <v>249</v>
      </c>
      <c r="C1509" s="5">
        <v>59</v>
      </c>
      <c r="D1509" s="5">
        <f t="shared" si="96"/>
        <v>493.89549345236594</v>
      </c>
      <c r="E1509" s="5">
        <f t="shared" si="98"/>
        <v>0</v>
      </c>
      <c r="F1509" s="5">
        <v>290.5</v>
      </c>
      <c r="G1509" s="5" t="s">
        <v>53</v>
      </c>
      <c r="H1509" s="5">
        <v>55</v>
      </c>
      <c r="I1509" s="5">
        <f t="shared" si="97"/>
        <v>392.00377257605692</v>
      </c>
      <c r="J1509" s="5">
        <f t="shared" si="99"/>
        <v>0</v>
      </c>
    </row>
    <row r="1510" spans="1:10" x14ac:dyDescent="0.2">
      <c r="A1510" s="5">
        <v>301</v>
      </c>
      <c r="B1510" s="5" t="s">
        <v>38</v>
      </c>
      <c r="C1510" s="5">
        <v>52</v>
      </c>
      <c r="D1510" s="5">
        <f t="shared" si="96"/>
        <v>329.63372180082422</v>
      </c>
      <c r="E1510" s="5">
        <f t="shared" si="98"/>
        <v>7</v>
      </c>
      <c r="F1510" s="5">
        <v>292</v>
      </c>
      <c r="G1510" s="5" t="s">
        <v>54</v>
      </c>
      <c r="H1510" s="5">
        <v>45</v>
      </c>
      <c r="I1510" s="5">
        <f t="shared" si="97"/>
        <v>220.00279814001337</v>
      </c>
      <c r="J1510" s="5">
        <f t="shared" si="99"/>
        <v>10</v>
      </c>
    </row>
    <row r="1511" spans="1:10" x14ac:dyDescent="0.2">
      <c r="A1511" s="5">
        <v>303.5</v>
      </c>
      <c r="B1511" s="5" t="s">
        <v>38</v>
      </c>
      <c r="C1511" s="5">
        <v>52</v>
      </c>
      <c r="D1511" s="5">
        <f t="shared" si="96"/>
        <v>329.63372180082422</v>
      </c>
      <c r="E1511" s="5">
        <f t="shared" si="98"/>
        <v>0</v>
      </c>
      <c r="F1511" s="5">
        <v>293</v>
      </c>
      <c r="G1511" s="5" t="s">
        <v>53</v>
      </c>
      <c r="H1511" s="5">
        <v>55</v>
      </c>
      <c r="I1511" s="5">
        <f t="shared" si="97"/>
        <v>392.00377257605692</v>
      </c>
      <c r="J1511" s="5">
        <f t="shared" si="99"/>
        <v>10</v>
      </c>
    </row>
    <row r="1512" spans="1:10" x14ac:dyDescent="0.2">
      <c r="A1512" s="5">
        <v>305</v>
      </c>
      <c r="B1512" s="5" t="s">
        <v>250</v>
      </c>
      <c r="C1512" s="5">
        <v>55</v>
      </c>
      <c r="D1512" s="5">
        <f t="shared" si="96"/>
        <v>392.00377257605692</v>
      </c>
      <c r="E1512" s="5">
        <f t="shared" si="98"/>
        <v>3</v>
      </c>
      <c r="F1512" s="5">
        <v>294.5</v>
      </c>
      <c r="G1512" s="5" t="s">
        <v>53</v>
      </c>
      <c r="H1512" s="5">
        <v>55</v>
      </c>
      <c r="I1512" s="5">
        <f t="shared" si="97"/>
        <v>392.00377257605692</v>
      </c>
      <c r="J1512" s="5">
        <f t="shared" si="99"/>
        <v>0</v>
      </c>
    </row>
    <row r="1513" spans="1:10" x14ac:dyDescent="0.2">
      <c r="A1513" s="5">
        <v>309.5</v>
      </c>
      <c r="B1513" s="5" t="s">
        <v>208</v>
      </c>
      <c r="C1513" s="5">
        <v>67</v>
      </c>
      <c r="D1513" s="5">
        <f t="shared" si="96"/>
        <v>784.01558732918636</v>
      </c>
      <c r="E1513" s="5">
        <f t="shared" si="98"/>
        <v>12</v>
      </c>
      <c r="F1513" s="5">
        <v>296</v>
      </c>
      <c r="G1513" s="5" t="s">
        <v>54</v>
      </c>
      <c r="H1513" s="5">
        <v>45</v>
      </c>
      <c r="I1513" s="5">
        <f t="shared" si="97"/>
        <v>220.00279814001337</v>
      </c>
      <c r="J1513" s="5">
        <f t="shared" si="99"/>
        <v>10</v>
      </c>
    </row>
    <row r="1514" spans="1:10" x14ac:dyDescent="0.2">
      <c r="A1514" s="5">
        <v>315</v>
      </c>
      <c r="B1514" s="5" t="s">
        <v>79</v>
      </c>
      <c r="C1514" s="5">
        <v>70</v>
      </c>
      <c r="D1514" s="5">
        <f t="shared" si="96"/>
        <v>932.35930569378297</v>
      </c>
      <c r="E1514" s="5">
        <f t="shared" si="98"/>
        <v>3</v>
      </c>
      <c r="F1514" s="5">
        <v>297</v>
      </c>
      <c r="G1514" s="5" t="s">
        <v>53</v>
      </c>
      <c r="H1514" s="5">
        <v>55</v>
      </c>
      <c r="I1514" s="5">
        <f t="shared" si="97"/>
        <v>392.00377257605692</v>
      </c>
      <c r="J1514" s="5">
        <f t="shared" si="99"/>
        <v>10</v>
      </c>
    </row>
    <row r="1515" spans="1:10" x14ac:dyDescent="0.2">
      <c r="A1515" s="5">
        <v>321</v>
      </c>
      <c r="B1515" s="5" t="s">
        <v>117</v>
      </c>
      <c r="C1515" s="5">
        <v>71</v>
      </c>
      <c r="D1515" s="5">
        <f t="shared" si="96"/>
        <v>987.80111944755811</v>
      </c>
      <c r="E1515" s="5">
        <f t="shared" si="98"/>
        <v>1</v>
      </c>
      <c r="F1515" s="5">
        <v>298.5</v>
      </c>
      <c r="G1515" s="5" t="s">
        <v>53</v>
      </c>
      <c r="H1515" s="5">
        <v>55</v>
      </c>
      <c r="I1515" s="5">
        <f t="shared" si="97"/>
        <v>392.00377257605692</v>
      </c>
      <c r="J1515" s="5">
        <f t="shared" si="99"/>
        <v>0</v>
      </c>
    </row>
    <row r="1516" spans="1:10" x14ac:dyDescent="0.2">
      <c r="A1516" s="5"/>
      <c r="B1516" s="5"/>
      <c r="C1516" s="5"/>
      <c r="D1516" s="5"/>
      <c r="E1516" s="5"/>
      <c r="F1516" s="5">
        <v>300</v>
      </c>
      <c r="G1516" s="5" t="s">
        <v>120</v>
      </c>
      <c r="H1516" s="5">
        <v>48</v>
      </c>
      <c r="I1516" s="5">
        <f t="shared" si="97"/>
        <v>261.62956379894968</v>
      </c>
      <c r="J1516" s="5">
        <f t="shared" si="99"/>
        <v>7</v>
      </c>
    </row>
    <row r="1517" spans="1:10" x14ac:dyDescent="0.2">
      <c r="A1517" s="5"/>
      <c r="B1517" s="5"/>
      <c r="C1517" s="5"/>
      <c r="D1517" s="5"/>
      <c r="E1517" s="5"/>
      <c r="F1517" s="5">
        <v>310.75</v>
      </c>
      <c r="G1517" s="5" t="s">
        <v>53</v>
      </c>
      <c r="H1517" s="5">
        <v>55</v>
      </c>
      <c r="I1517" s="5">
        <f t="shared" si="97"/>
        <v>392.00377257605692</v>
      </c>
      <c r="J1517" s="5">
        <f t="shared" si="99"/>
        <v>7</v>
      </c>
    </row>
    <row r="1518" spans="1:10" x14ac:dyDescent="0.2">
      <c r="A1518" s="5"/>
      <c r="B1518" s="5"/>
      <c r="C1518" s="5"/>
      <c r="D1518" s="5"/>
      <c r="E1518" s="5"/>
      <c r="F1518" s="5">
        <v>314</v>
      </c>
      <c r="G1518" s="5" t="s">
        <v>92</v>
      </c>
      <c r="H1518" s="5">
        <v>58</v>
      </c>
      <c r="I1518" s="5">
        <f t="shared" si="97"/>
        <v>466.17487092753117</v>
      </c>
      <c r="J1518" s="5">
        <f t="shared" si="99"/>
        <v>3</v>
      </c>
    </row>
    <row r="1519" spans="1:10" x14ac:dyDescent="0.2">
      <c r="A1519" s="5"/>
      <c r="B1519" s="5"/>
      <c r="C1519" s="5"/>
      <c r="D1519" s="5"/>
      <c r="E1519" s="5"/>
      <c r="F1519" s="5">
        <v>317.5</v>
      </c>
      <c r="G1519" s="5" t="s">
        <v>96</v>
      </c>
      <c r="H1519" s="5">
        <v>69</v>
      </c>
      <c r="I1519" s="5">
        <f t="shared" si="97"/>
        <v>880.02924657542201</v>
      </c>
      <c r="J1519" s="5">
        <f t="shared" si="99"/>
        <v>11</v>
      </c>
    </row>
    <row r="1520" spans="1:10" x14ac:dyDescent="0.2">
      <c r="A1520" s="5"/>
    </row>
    <row r="1521" spans="1:12" x14ac:dyDescent="0.2">
      <c r="A1521" s="5" t="s">
        <v>353</v>
      </c>
      <c r="B1521" s="5" t="s">
        <v>214</v>
      </c>
      <c r="C1521" s="5" t="s">
        <v>215</v>
      </c>
      <c r="D1521" s="5" t="s">
        <v>216</v>
      </c>
      <c r="E1521" s="5"/>
      <c r="F1521" s="5" t="s">
        <v>353</v>
      </c>
      <c r="G1521" s="5" t="s">
        <v>98</v>
      </c>
      <c r="H1521" s="5" t="s">
        <v>99</v>
      </c>
      <c r="I1521" s="5" t="s">
        <v>216</v>
      </c>
      <c r="J1521" s="5"/>
      <c r="K1521" s="5" t="s">
        <v>402</v>
      </c>
      <c r="L1521" s="5"/>
    </row>
    <row r="1522" spans="1:12" x14ac:dyDescent="0.2">
      <c r="A1522" s="5">
        <v>4</v>
      </c>
      <c r="B1522" s="5" t="s">
        <v>247</v>
      </c>
      <c r="C1522" s="5">
        <v>50</v>
      </c>
      <c r="D1522" s="5">
        <f t="shared" ref="D1522:D1553" si="100">16.35117682*1.059464^C1522</f>
        <v>293.66975814369101</v>
      </c>
      <c r="E1522" s="5"/>
      <c r="F1522" s="5">
        <v>4</v>
      </c>
      <c r="G1522" s="5" t="s">
        <v>335</v>
      </c>
      <c r="H1522" s="5">
        <v>45</v>
      </c>
      <c r="I1522" s="5">
        <f t="shared" ref="I1522:I1553" si="101">16.35117682*1.059464^H1522</f>
        <v>220.00279814001337</v>
      </c>
      <c r="J1522" s="5"/>
      <c r="K1522" s="5"/>
      <c r="L1522" s="5"/>
    </row>
    <row r="1523" spans="1:12" x14ac:dyDescent="0.2">
      <c r="A1523" s="5">
        <v>7</v>
      </c>
      <c r="B1523" s="5" t="s">
        <v>250</v>
      </c>
      <c r="C1523" s="5">
        <v>55</v>
      </c>
      <c r="D1523" s="5">
        <f t="shared" si="100"/>
        <v>392.00377257605692</v>
      </c>
      <c r="E1523" s="5">
        <f t="shared" ref="E1523:E1554" si="102">ABS( C1523-C1522)</f>
        <v>5</v>
      </c>
      <c r="F1523" s="5">
        <v>7</v>
      </c>
      <c r="G1523" s="5" t="s">
        <v>250</v>
      </c>
      <c r="H1523" s="5">
        <v>55</v>
      </c>
      <c r="I1523" s="5">
        <f t="shared" si="101"/>
        <v>392.00377257605692</v>
      </c>
      <c r="J1523" s="5">
        <f t="shared" ref="J1523:J1554" si="103">ABS( H1523-H1522)</f>
        <v>10</v>
      </c>
      <c r="K1523" s="5" t="s">
        <v>355</v>
      </c>
      <c r="L1523" s="5" t="s">
        <v>396</v>
      </c>
    </row>
    <row r="1524" spans="1:12" x14ac:dyDescent="0.2">
      <c r="A1524" s="5">
        <v>10</v>
      </c>
      <c r="B1524" s="5" t="s">
        <v>250</v>
      </c>
      <c r="C1524" s="5">
        <v>55</v>
      </c>
      <c r="D1524" s="5">
        <f t="shared" si="100"/>
        <v>392.00377257605692</v>
      </c>
      <c r="E1524" s="5">
        <f t="shared" si="102"/>
        <v>0</v>
      </c>
      <c r="F1524" s="5">
        <v>10</v>
      </c>
      <c r="G1524" s="5" t="s">
        <v>250</v>
      </c>
      <c r="H1524" s="5">
        <v>55</v>
      </c>
      <c r="I1524" s="5">
        <f t="shared" si="101"/>
        <v>392.00377257605692</v>
      </c>
      <c r="J1524" s="5">
        <f t="shared" si="103"/>
        <v>0</v>
      </c>
      <c r="K1524" s="5">
        <f>SUM(E1523:E1627)</f>
        <v>520</v>
      </c>
      <c r="L1524" s="5">
        <v>106</v>
      </c>
    </row>
    <row r="1525" spans="1:12" x14ac:dyDescent="0.2">
      <c r="A1525" s="5">
        <v>13</v>
      </c>
      <c r="B1525" s="5" t="s">
        <v>250</v>
      </c>
      <c r="C1525" s="5">
        <v>55</v>
      </c>
      <c r="D1525" s="5">
        <f t="shared" si="100"/>
        <v>392.00377257605692</v>
      </c>
      <c r="E1525" s="5">
        <f t="shared" si="102"/>
        <v>0</v>
      </c>
      <c r="F1525" s="5">
        <v>13</v>
      </c>
      <c r="G1525" s="5" t="s">
        <v>250</v>
      </c>
      <c r="H1525" s="5">
        <v>55</v>
      </c>
      <c r="I1525" s="5">
        <f t="shared" si="101"/>
        <v>392.00377257605692</v>
      </c>
      <c r="J1525" s="5">
        <f t="shared" si="103"/>
        <v>0</v>
      </c>
      <c r="K1525" s="5"/>
      <c r="L1525" s="5"/>
    </row>
    <row r="1526" spans="1:12" x14ac:dyDescent="0.2">
      <c r="A1526" s="5">
        <v>16.5</v>
      </c>
      <c r="B1526" s="5" t="s">
        <v>250</v>
      </c>
      <c r="C1526" s="5">
        <v>55</v>
      </c>
      <c r="D1526" s="5">
        <f t="shared" si="100"/>
        <v>392.00377257605692</v>
      </c>
      <c r="E1526" s="5">
        <f t="shared" si="102"/>
        <v>0</v>
      </c>
      <c r="F1526" s="5">
        <v>16.5</v>
      </c>
      <c r="G1526" s="5" t="s">
        <v>250</v>
      </c>
      <c r="H1526" s="5">
        <v>55</v>
      </c>
      <c r="I1526" s="5">
        <f t="shared" si="101"/>
        <v>392.00377257605692</v>
      </c>
      <c r="J1526" s="5">
        <f t="shared" si="103"/>
        <v>0</v>
      </c>
      <c r="K1526" s="5" t="s">
        <v>356</v>
      </c>
      <c r="L1526" s="5"/>
    </row>
    <row r="1527" spans="1:12" x14ac:dyDescent="0.2">
      <c r="A1527" s="5">
        <v>20</v>
      </c>
      <c r="B1527" s="5" t="s">
        <v>247</v>
      </c>
      <c r="C1527" s="5">
        <v>50</v>
      </c>
      <c r="D1527" s="5">
        <f t="shared" si="100"/>
        <v>293.66975814369101</v>
      </c>
      <c r="E1527" s="5">
        <f t="shared" si="102"/>
        <v>5</v>
      </c>
      <c r="F1527" s="5">
        <v>20</v>
      </c>
      <c r="G1527" s="5" t="s">
        <v>337</v>
      </c>
      <c r="H1527" s="5">
        <v>45</v>
      </c>
      <c r="I1527" s="5">
        <f t="shared" si="101"/>
        <v>220.00279814001337</v>
      </c>
      <c r="J1527" s="5">
        <f t="shared" si="103"/>
        <v>10</v>
      </c>
      <c r="K1527" s="5">
        <f>K1524/(L1524-1)</f>
        <v>4.9523809523809526</v>
      </c>
      <c r="L1527" s="5"/>
    </row>
    <row r="1528" spans="1:12" x14ac:dyDescent="0.2">
      <c r="A1528" s="5">
        <v>22.5</v>
      </c>
      <c r="B1528" s="5" t="s">
        <v>250</v>
      </c>
      <c r="C1528" s="5">
        <v>55</v>
      </c>
      <c r="D1528" s="5">
        <f t="shared" si="100"/>
        <v>392.00377257605692</v>
      </c>
      <c r="E1528" s="5">
        <f t="shared" si="102"/>
        <v>5</v>
      </c>
      <c r="F1528" s="5">
        <v>22.5</v>
      </c>
      <c r="G1528" s="5" t="s">
        <v>250</v>
      </c>
      <c r="H1528" s="5">
        <v>55</v>
      </c>
      <c r="I1528" s="5">
        <f t="shared" si="101"/>
        <v>392.00377257605692</v>
      </c>
      <c r="J1528" s="5">
        <f t="shared" si="103"/>
        <v>10</v>
      </c>
      <c r="K1528" s="5"/>
      <c r="L1528" s="5"/>
    </row>
    <row r="1529" spans="1:12" x14ac:dyDescent="0.2">
      <c r="A1529" s="5">
        <v>25.5</v>
      </c>
      <c r="B1529" s="5" t="s">
        <v>250</v>
      </c>
      <c r="C1529" s="5">
        <v>55</v>
      </c>
      <c r="D1529" s="5">
        <f t="shared" si="100"/>
        <v>392.00377257605692</v>
      </c>
      <c r="E1529" s="5">
        <f t="shared" si="102"/>
        <v>0</v>
      </c>
      <c r="F1529" s="5">
        <v>25.5</v>
      </c>
      <c r="G1529" s="5" t="s">
        <v>341</v>
      </c>
      <c r="H1529" s="5">
        <v>59</v>
      </c>
      <c r="I1529" s="5">
        <f t="shared" si="101"/>
        <v>493.89549345236594</v>
      </c>
      <c r="J1529" s="5">
        <f t="shared" si="103"/>
        <v>4</v>
      </c>
      <c r="K1529" s="5"/>
      <c r="L1529" s="5"/>
    </row>
    <row r="1530" spans="1:12" x14ac:dyDescent="0.2">
      <c r="A1530" s="5">
        <v>28.5</v>
      </c>
      <c r="B1530" s="5" t="s">
        <v>381</v>
      </c>
      <c r="C1530" s="5">
        <v>57</v>
      </c>
      <c r="D1530" s="5">
        <f t="shared" si="100"/>
        <v>440.01010976071973</v>
      </c>
      <c r="E1530" s="5">
        <f t="shared" si="102"/>
        <v>2</v>
      </c>
      <c r="F1530" s="5">
        <v>28.5</v>
      </c>
      <c r="G1530" s="5" t="s">
        <v>202</v>
      </c>
      <c r="H1530" s="5">
        <v>53</v>
      </c>
      <c r="I1530" s="5">
        <f t="shared" si="101"/>
        <v>349.23506143398839</v>
      </c>
      <c r="J1530" s="5">
        <f t="shared" si="103"/>
        <v>6</v>
      </c>
      <c r="K1530" s="5" t="s">
        <v>401</v>
      </c>
      <c r="L1530" s="5"/>
    </row>
    <row r="1531" spans="1:12" x14ac:dyDescent="0.2">
      <c r="A1531" s="5">
        <v>31.5</v>
      </c>
      <c r="B1531" s="5" t="s">
        <v>250</v>
      </c>
      <c r="C1531" s="5">
        <v>55</v>
      </c>
      <c r="D1531" s="5">
        <f t="shared" si="100"/>
        <v>392.00377257605692</v>
      </c>
      <c r="E1531" s="5">
        <f t="shared" si="102"/>
        <v>2</v>
      </c>
      <c r="F1531" s="5">
        <v>31.5</v>
      </c>
      <c r="G1531" s="5" t="s">
        <v>247</v>
      </c>
      <c r="H1531" s="5">
        <v>50</v>
      </c>
      <c r="I1531" s="5">
        <f t="shared" si="101"/>
        <v>293.66975814369101</v>
      </c>
      <c r="J1531" s="5">
        <f t="shared" si="103"/>
        <v>3</v>
      </c>
      <c r="K1531" s="5"/>
      <c r="L1531" s="5"/>
    </row>
    <row r="1532" spans="1:12" x14ac:dyDescent="0.2">
      <c r="A1532" s="5">
        <v>34.5</v>
      </c>
      <c r="B1532" s="5" t="s">
        <v>250</v>
      </c>
      <c r="C1532" s="5">
        <v>55</v>
      </c>
      <c r="D1532" s="5">
        <f t="shared" si="100"/>
        <v>392.00377257605692</v>
      </c>
      <c r="E1532" s="5">
        <f t="shared" si="102"/>
        <v>0</v>
      </c>
      <c r="F1532" s="5">
        <v>34</v>
      </c>
      <c r="G1532" s="5" t="s">
        <v>386</v>
      </c>
      <c r="H1532" s="5">
        <v>48</v>
      </c>
      <c r="I1532" s="5">
        <f t="shared" si="101"/>
        <v>261.62956379894968</v>
      </c>
      <c r="J1532" s="5">
        <f t="shared" si="103"/>
        <v>2</v>
      </c>
      <c r="K1532" s="5" t="s">
        <v>100</v>
      </c>
      <c r="L1532" s="5" t="s">
        <v>396</v>
      </c>
    </row>
    <row r="1533" spans="1:12" x14ac:dyDescent="0.2">
      <c r="A1533" s="5">
        <v>37.5</v>
      </c>
      <c r="B1533" s="5" t="s">
        <v>250</v>
      </c>
      <c r="C1533" s="5">
        <v>55</v>
      </c>
      <c r="D1533" s="5">
        <f t="shared" si="100"/>
        <v>392.00377257605692</v>
      </c>
      <c r="E1533" s="5">
        <f t="shared" si="102"/>
        <v>0</v>
      </c>
      <c r="F1533" s="5">
        <v>37</v>
      </c>
      <c r="G1533" s="5" t="s">
        <v>250</v>
      </c>
      <c r="H1533" s="5">
        <v>55</v>
      </c>
      <c r="I1533" s="5">
        <f t="shared" si="101"/>
        <v>392.00377257605692</v>
      </c>
      <c r="J1533" s="5">
        <f t="shared" si="103"/>
        <v>7</v>
      </c>
      <c r="K1533" s="5">
        <f>SUM(J1523:J1629)</f>
        <v>515</v>
      </c>
      <c r="L1533" s="5">
        <v>108</v>
      </c>
    </row>
    <row r="1534" spans="1:12" x14ac:dyDescent="0.2">
      <c r="A1534" s="5">
        <v>40.5</v>
      </c>
      <c r="B1534" s="5" t="s">
        <v>249</v>
      </c>
      <c r="C1534" s="5">
        <v>59</v>
      </c>
      <c r="D1534" s="5">
        <f t="shared" si="100"/>
        <v>493.89549345236594</v>
      </c>
      <c r="E1534" s="5">
        <f t="shared" si="102"/>
        <v>4</v>
      </c>
      <c r="F1534" s="5">
        <v>40.25</v>
      </c>
      <c r="G1534" s="5" t="s">
        <v>202</v>
      </c>
      <c r="H1534" s="5">
        <v>53</v>
      </c>
      <c r="I1534" s="5">
        <f t="shared" si="101"/>
        <v>349.23506143398839</v>
      </c>
      <c r="J1534" s="5">
        <f t="shared" si="103"/>
        <v>2</v>
      </c>
      <c r="K1534" s="5"/>
      <c r="L1534" s="5"/>
    </row>
    <row r="1535" spans="1:12" x14ac:dyDescent="0.2">
      <c r="A1535" s="5">
        <v>43.5</v>
      </c>
      <c r="B1535" s="5" t="s">
        <v>250</v>
      </c>
      <c r="C1535" s="5">
        <v>55</v>
      </c>
      <c r="D1535" s="5">
        <f t="shared" si="100"/>
        <v>392.00377257605692</v>
      </c>
      <c r="E1535" s="5">
        <f t="shared" si="102"/>
        <v>4</v>
      </c>
      <c r="F1535" s="5">
        <v>43</v>
      </c>
      <c r="G1535" s="5" t="s">
        <v>249</v>
      </c>
      <c r="H1535" s="5">
        <v>59</v>
      </c>
      <c r="I1535" s="5">
        <f t="shared" si="101"/>
        <v>493.89549345236594</v>
      </c>
      <c r="J1535" s="5">
        <f t="shared" si="103"/>
        <v>6</v>
      </c>
      <c r="K1535" s="5" t="s">
        <v>236</v>
      </c>
      <c r="L1535" s="5"/>
    </row>
    <row r="1536" spans="1:12" x14ac:dyDescent="0.2">
      <c r="A1536" s="5">
        <v>46</v>
      </c>
      <c r="B1536" s="5" t="s">
        <v>248</v>
      </c>
      <c r="C1536" s="5">
        <v>57</v>
      </c>
      <c r="D1536" s="5">
        <f t="shared" si="100"/>
        <v>440.01010976071973</v>
      </c>
      <c r="E1536" s="5">
        <f t="shared" si="102"/>
        <v>2</v>
      </c>
      <c r="F1536" s="5">
        <v>45.75</v>
      </c>
      <c r="G1536" s="5" t="s">
        <v>247</v>
      </c>
      <c r="H1536" s="5">
        <v>50</v>
      </c>
      <c r="I1536" s="5">
        <f t="shared" si="101"/>
        <v>293.66975814369101</v>
      </c>
      <c r="J1536" s="5">
        <f t="shared" si="103"/>
        <v>9</v>
      </c>
      <c r="K1536" s="5">
        <f>K1533/(L1533-1)</f>
        <v>4.8130841121495331</v>
      </c>
      <c r="L1536" s="5"/>
    </row>
    <row r="1537" spans="1:10" x14ac:dyDescent="0.2">
      <c r="A1537" s="5">
        <v>49</v>
      </c>
      <c r="B1537" s="5" t="s">
        <v>423</v>
      </c>
      <c r="C1537" s="5">
        <v>52</v>
      </c>
      <c r="D1537" s="5">
        <f t="shared" si="100"/>
        <v>329.63372180082422</v>
      </c>
      <c r="E1537" s="5">
        <f t="shared" si="102"/>
        <v>5</v>
      </c>
      <c r="F1537" s="5">
        <v>48.75</v>
      </c>
      <c r="G1537" s="5" t="s">
        <v>247</v>
      </c>
      <c r="H1537" s="5">
        <v>50</v>
      </c>
      <c r="I1537" s="5">
        <f t="shared" si="101"/>
        <v>293.66975814369101</v>
      </c>
      <c r="J1537" s="5">
        <f t="shared" si="103"/>
        <v>0</v>
      </c>
    </row>
    <row r="1538" spans="1:10" x14ac:dyDescent="0.2">
      <c r="A1538" s="5">
        <v>52.5</v>
      </c>
      <c r="B1538" s="5" t="s">
        <v>249</v>
      </c>
      <c r="C1538" s="5">
        <v>59</v>
      </c>
      <c r="D1538" s="5">
        <f t="shared" si="100"/>
        <v>493.89549345236594</v>
      </c>
      <c r="E1538" s="5">
        <f t="shared" si="102"/>
        <v>7</v>
      </c>
      <c r="F1538" s="5">
        <v>52</v>
      </c>
      <c r="G1538" s="5" t="s">
        <v>337</v>
      </c>
      <c r="H1538" s="5">
        <v>45</v>
      </c>
      <c r="I1538" s="5">
        <f t="shared" si="101"/>
        <v>220.00279814001337</v>
      </c>
      <c r="J1538" s="5">
        <f t="shared" si="103"/>
        <v>5</v>
      </c>
    </row>
    <row r="1539" spans="1:10" x14ac:dyDescent="0.2">
      <c r="A1539" s="5">
        <v>55.5</v>
      </c>
      <c r="B1539" s="5" t="s">
        <v>250</v>
      </c>
      <c r="C1539" s="5">
        <v>55</v>
      </c>
      <c r="D1539" s="5">
        <f t="shared" si="100"/>
        <v>392.00377257605692</v>
      </c>
      <c r="E1539" s="5">
        <f t="shared" si="102"/>
        <v>4</v>
      </c>
      <c r="F1539" s="5">
        <v>54.5</v>
      </c>
      <c r="G1539" s="5" t="s">
        <v>250</v>
      </c>
      <c r="H1539" s="5">
        <v>55</v>
      </c>
      <c r="I1539" s="5">
        <f t="shared" si="101"/>
        <v>392.00377257605692</v>
      </c>
      <c r="J1539" s="5">
        <f t="shared" si="103"/>
        <v>10</v>
      </c>
    </row>
    <row r="1540" spans="1:10" x14ac:dyDescent="0.2">
      <c r="A1540" s="5">
        <v>58</v>
      </c>
      <c r="B1540" s="5" t="s">
        <v>249</v>
      </c>
      <c r="C1540" s="5">
        <v>59</v>
      </c>
      <c r="D1540" s="5">
        <f t="shared" si="100"/>
        <v>493.89549345236594</v>
      </c>
      <c r="E1540" s="5">
        <f t="shared" si="102"/>
        <v>4</v>
      </c>
      <c r="F1540" s="5">
        <v>57.5</v>
      </c>
      <c r="G1540" s="5" t="s">
        <v>341</v>
      </c>
      <c r="H1540" s="5">
        <v>59</v>
      </c>
      <c r="I1540" s="5">
        <f t="shared" si="101"/>
        <v>493.89549345236594</v>
      </c>
      <c r="J1540" s="5">
        <f t="shared" si="103"/>
        <v>4</v>
      </c>
    </row>
    <row r="1541" spans="1:10" x14ac:dyDescent="0.2">
      <c r="A1541" s="5">
        <v>61</v>
      </c>
      <c r="B1541" s="5" t="s">
        <v>248</v>
      </c>
      <c r="C1541" s="5">
        <v>57</v>
      </c>
      <c r="D1541" s="5">
        <f t="shared" si="100"/>
        <v>440.01010976071973</v>
      </c>
      <c r="E1541" s="5">
        <f t="shared" si="102"/>
        <v>2</v>
      </c>
      <c r="F1541" s="5">
        <v>60.5</v>
      </c>
      <c r="G1541" s="5" t="s">
        <v>202</v>
      </c>
      <c r="H1541" s="5">
        <v>53</v>
      </c>
      <c r="I1541" s="5">
        <f t="shared" si="101"/>
        <v>349.23506143398839</v>
      </c>
      <c r="J1541" s="5">
        <f t="shared" si="103"/>
        <v>6</v>
      </c>
    </row>
    <row r="1542" spans="1:10" x14ac:dyDescent="0.2">
      <c r="A1542" s="5">
        <v>64.25</v>
      </c>
      <c r="B1542" s="5" t="s">
        <v>423</v>
      </c>
      <c r="C1542" s="5">
        <v>52</v>
      </c>
      <c r="D1542" s="5">
        <f t="shared" si="100"/>
        <v>329.63372180082422</v>
      </c>
      <c r="E1542" s="5">
        <f t="shared" si="102"/>
        <v>5</v>
      </c>
      <c r="F1542" s="5">
        <v>63.5</v>
      </c>
      <c r="G1542" s="5" t="s">
        <v>247</v>
      </c>
      <c r="H1542" s="5">
        <v>50</v>
      </c>
      <c r="I1542" s="5">
        <f t="shared" si="101"/>
        <v>293.66975814369101</v>
      </c>
      <c r="J1542" s="5">
        <f t="shared" si="103"/>
        <v>3</v>
      </c>
    </row>
    <row r="1543" spans="1:10" x14ac:dyDescent="0.2">
      <c r="A1543" s="5">
        <v>67.5</v>
      </c>
      <c r="B1543" s="5" t="s">
        <v>250</v>
      </c>
      <c r="C1543" s="5">
        <v>55</v>
      </c>
      <c r="D1543" s="5">
        <f t="shared" si="100"/>
        <v>392.00377257605692</v>
      </c>
      <c r="E1543" s="5">
        <f t="shared" si="102"/>
        <v>3</v>
      </c>
      <c r="F1543" s="5">
        <v>66</v>
      </c>
      <c r="G1543" s="5" t="s">
        <v>386</v>
      </c>
      <c r="H1543" s="5">
        <v>48</v>
      </c>
      <c r="I1543" s="5">
        <f t="shared" si="101"/>
        <v>261.62956379894968</v>
      </c>
      <c r="J1543" s="5">
        <f t="shared" si="103"/>
        <v>2</v>
      </c>
    </row>
    <row r="1544" spans="1:10" x14ac:dyDescent="0.2">
      <c r="A1544" s="5">
        <v>70</v>
      </c>
      <c r="B1544" s="5" t="s">
        <v>249</v>
      </c>
      <c r="C1544" s="5">
        <v>59</v>
      </c>
      <c r="D1544" s="5">
        <f t="shared" si="100"/>
        <v>493.89549345236594</v>
      </c>
      <c r="E1544" s="5">
        <f t="shared" si="102"/>
        <v>4</v>
      </c>
      <c r="F1544" s="5">
        <v>69</v>
      </c>
      <c r="G1544" s="5" t="s">
        <v>250</v>
      </c>
      <c r="H1544" s="5">
        <v>55</v>
      </c>
      <c r="I1544" s="5">
        <f t="shared" si="101"/>
        <v>392.00377257605692</v>
      </c>
      <c r="J1544" s="5">
        <f t="shared" si="103"/>
        <v>7</v>
      </c>
    </row>
    <row r="1545" spans="1:10" x14ac:dyDescent="0.2">
      <c r="A1545" s="5">
        <v>73</v>
      </c>
      <c r="B1545" s="5" t="s">
        <v>249</v>
      </c>
      <c r="C1545" s="5">
        <v>59</v>
      </c>
      <c r="D1545" s="5">
        <f t="shared" si="100"/>
        <v>493.89549345236594</v>
      </c>
      <c r="E1545" s="5">
        <f t="shared" si="102"/>
        <v>0</v>
      </c>
      <c r="F1545" s="5">
        <v>72.25</v>
      </c>
      <c r="G1545" s="5" t="s">
        <v>202</v>
      </c>
      <c r="H1545" s="5">
        <v>53</v>
      </c>
      <c r="I1545" s="5">
        <f t="shared" si="101"/>
        <v>349.23506143398839</v>
      </c>
      <c r="J1545" s="5">
        <f t="shared" si="103"/>
        <v>2</v>
      </c>
    </row>
    <row r="1546" spans="1:10" x14ac:dyDescent="0.2">
      <c r="A1546" s="5">
        <v>76.25</v>
      </c>
      <c r="B1546" s="5" t="s">
        <v>374</v>
      </c>
      <c r="C1546" s="5">
        <v>55</v>
      </c>
      <c r="D1546" s="5">
        <f t="shared" si="100"/>
        <v>392.00377257605692</v>
      </c>
      <c r="E1546" s="5">
        <f t="shared" si="102"/>
        <v>4</v>
      </c>
      <c r="F1546" s="5">
        <v>75</v>
      </c>
      <c r="G1546" s="5" t="s">
        <v>249</v>
      </c>
      <c r="H1546" s="5">
        <v>59</v>
      </c>
      <c r="I1546" s="5">
        <f t="shared" si="101"/>
        <v>493.89549345236594</v>
      </c>
      <c r="J1546" s="5">
        <f t="shared" si="103"/>
        <v>6</v>
      </c>
    </row>
    <row r="1547" spans="1:10" x14ac:dyDescent="0.2">
      <c r="A1547" s="5">
        <v>79</v>
      </c>
      <c r="B1547" s="5" t="s">
        <v>383</v>
      </c>
      <c r="C1547" s="5">
        <v>60</v>
      </c>
      <c r="D1547" s="5">
        <f t="shared" si="100"/>
        <v>523.26449507501752</v>
      </c>
      <c r="E1547" s="5">
        <f t="shared" si="102"/>
        <v>5</v>
      </c>
      <c r="F1547" s="5">
        <v>77.75</v>
      </c>
      <c r="G1547" s="5" t="s">
        <v>247</v>
      </c>
      <c r="H1547" s="5">
        <v>50</v>
      </c>
      <c r="I1547" s="5">
        <f t="shared" si="101"/>
        <v>293.66975814369101</v>
      </c>
      <c r="J1547" s="5">
        <f t="shared" si="103"/>
        <v>9</v>
      </c>
    </row>
    <row r="1548" spans="1:10" x14ac:dyDescent="0.2">
      <c r="A1548" s="5">
        <v>82</v>
      </c>
      <c r="B1548" s="5" t="s">
        <v>423</v>
      </c>
      <c r="C1548" s="5">
        <v>52</v>
      </c>
      <c r="D1548" s="5">
        <f t="shared" si="100"/>
        <v>329.63372180082422</v>
      </c>
      <c r="E1548" s="5">
        <f t="shared" si="102"/>
        <v>8</v>
      </c>
      <c r="F1548" s="5">
        <v>80.75</v>
      </c>
      <c r="G1548" s="5" t="s">
        <v>247</v>
      </c>
      <c r="H1548" s="5">
        <v>50</v>
      </c>
      <c r="I1548" s="5">
        <f t="shared" si="101"/>
        <v>293.66975814369101</v>
      </c>
      <c r="J1548" s="5">
        <f t="shared" si="103"/>
        <v>0</v>
      </c>
    </row>
    <row r="1549" spans="1:10" x14ac:dyDescent="0.2">
      <c r="A1549" s="5">
        <v>85</v>
      </c>
      <c r="B1549" s="5" t="s">
        <v>250</v>
      </c>
      <c r="C1549" s="5">
        <v>55</v>
      </c>
      <c r="D1549" s="5">
        <f t="shared" si="100"/>
        <v>392.00377257605692</v>
      </c>
      <c r="E1549" s="5">
        <f t="shared" si="102"/>
        <v>3</v>
      </c>
      <c r="F1549" s="5">
        <v>84</v>
      </c>
      <c r="G1549" s="5" t="s">
        <v>271</v>
      </c>
      <c r="H1549" s="5">
        <v>45</v>
      </c>
      <c r="I1549" s="5">
        <f t="shared" si="101"/>
        <v>220.00279814001337</v>
      </c>
      <c r="J1549" s="5">
        <f t="shared" si="103"/>
        <v>5</v>
      </c>
    </row>
    <row r="1550" spans="1:10" x14ac:dyDescent="0.2">
      <c r="A1550" s="5">
        <v>88</v>
      </c>
      <c r="B1550" s="5" t="s">
        <v>202</v>
      </c>
      <c r="C1550" s="5">
        <v>53</v>
      </c>
      <c r="D1550" s="5">
        <f t="shared" si="100"/>
        <v>349.23506143398839</v>
      </c>
      <c r="E1550" s="5">
        <f t="shared" si="102"/>
        <v>2</v>
      </c>
      <c r="F1550" s="5">
        <v>86.5</v>
      </c>
      <c r="G1550" s="5" t="s">
        <v>272</v>
      </c>
      <c r="H1550" s="5">
        <v>47</v>
      </c>
      <c r="I1550" s="5">
        <f t="shared" si="101"/>
        <v>246.94521361646048</v>
      </c>
      <c r="J1550" s="5">
        <f t="shared" si="103"/>
        <v>2</v>
      </c>
    </row>
    <row r="1551" spans="1:10" x14ac:dyDescent="0.2">
      <c r="A1551" s="5">
        <v>90.5</v>
      </c>
      <c r="B1551" s="5" t="s">
        <v>250</v>
      </c>
      <c r="C1551" s="5">
        <v>55</v>
      </c>
      <c r="D1551" s="5">
        <f t="shared" si="100"/>
        <v>392.00377257605692</v>
      </c>
      <c r="E1551" s="5">
        <f t="shared" si="102"/>
        <v>2</v>
      </c>
      <c r="F1551" s="5">
        <v>89</v>
      </c>
      <c r="G1551" s="5" t="s">
        <v>274</v>
      </c>
      <c r="H1551" s="5">
        <v>59</v>
      </c>
      <c r="I1551" s="5">
        <f t="shared" si="101"/>
        <v>493.89549345236594</v>
      </c>
      <c r="J1551" s="5">
        <f t="shared" si="103"/>
        <v>12</v>
      </c>
    </row>
    <row r="1552" spans="1:10" x14ac:dyDescent="0.2">
      <c r="A1552" s="5">
        <v>93</v>
      </c>
      <c r="B1552" s="5" t="s">
        <v>428</v>
      </c>
      <c r="C1552" s="5">
        <v>50</v>
      </c>
      <c r="D1552" s="5">
        <f t="shared" si="100"/>
        <v>293.66975814369101</v>
      </c>
      <c r="E1552" s="5">
        <f t="shared" si="102"/>
        <v>5</v>
      </c>
      <c r="F1552" s="5">
        <v>92</v>
      </c>
      <c r="G1552" s="5" t="s">
        <v>55</v>
      </c>
      <c r="H1552" s="5">
        <v>40</v>
      </c>
      <c r="I1552" s="5">
        <f t="shared" si="101"/>
        <v>164.8151702626221</v>
      </c>
      <c r="J1552" s="5">
        <f t="shared" si="103"/>
        <v>19</v>
      </c>
    </row>
    <row r="1553" spans="1:10" x14ac:dyDescent="0.2">
      <c r="A1553" s="5">
        <v>95</v>
      </c>
      <c r="B1553" s="5" t="s">
        <v>247</v>
      </c>
      <c r="C1553" s="5">
        <v>50</v>
      </c>
      <c r="D1553" s="5">
        <f t="shared" si="100"/>
        <v>293.66975814369101</v>
      </c>
      <c r="E1553" s="5">
        <f t="shared" si="102"/>
        <v>0</v>
      </c>
      <c r="F1553" s="5">
        <v>94</v>
      </c>
      <c r="G1553" s="5" t="s">
        <v>59</v>
      </c>
      <c r="H1553" s="5">
        <v>40</v>
      </c>
      <c r="I1553" s="5">
        <f t="shared" si="101"/>
        <v>164.8151702626221</v>
      </c>
      <c r="J1553" s="5">
        <f t="shared" si="103"/>
        <v>0</v>
      </c>
    </row>
    <row r="1554" spans="1:10" x14ac:dyDescent="0.2">
      <c r="A1554" s="5">
        <v>98</v>
      </c>
      <c r="B1554" s="5" t="s">
        <v>285</v>
      </c>
      <c r="C1554" s="5">
        <v>62</v>
      </c>
      <c r="D1554" s="5">
        <f t="shared" ref="D1554:D1585" si="104">16.35117682*1.059464^C1554</f>
        <v>587.34554108704231</v>
      </c>
      <c r="E1554" s="5">
        <f t="shared" si="102"/>
        <v>12</v>
      </c>
      <c r="F1554" s="5">
        <v>96</v>
      </c>
      <c r="G1554" s="5" t="s">
        <v>59</v>
      </c>
      <c r="H1554" s="5">
        <v>40</v>
      </c>
      <c r="I1554" s="5">
        <f t="shared" ref="I1554:I1585" si="105">16.35117682*1.059464^H1554</f>
        <v>164.8151702626221</v>
      </c>
      <c r="J1554" s="5">
        <f t="shared" si="103"/>
        <v>0</v>
      </c>
    </row>
    <row r="1555" spans="1:10" x14ac:dyDescent="0.2">
      <c r="A1555" s="5">
        <v>101</v>
      </c>
      <c r="B1555" s="5" t="s">
        <v>428</v>
      </c>
      <c r="C1555" s="5">
        <v>50</v>
      </c>
      <c r="D1555" s="5">
        <f t="shared" si="104"/>
        <v>293.66975814369101</v>
      </c>
      <c r="E1555" s="5">
        <f t="shared" ref="E1555:E1586" si="106">ABS( C1555-C1554)</f>
        <v>12</v>
      </c>
      <c r="F1555" s="5">
        <v>99</v>
      </c>
      <c r="G1555" s="5" t="s">
        <v>57</v>
      </c>
      <c r="H1555" s="5">
        <v>43</v>
      </c>
      <c r="I1555" s="5">
        <f t="shared" si="105"/>
        <v>195.99987576438383</v>
      </c>
      <c r="J1555" s="5">
        <f t="shared" ref="J1555:J1586" si="107">ABS( H1555-H1554)</f>
        <v>3</v>
      </c>
    </row>
    <row r="1556" spans="1:10" x14ac:dyDescent="0.2">
      <c r="A1556" s="5">
        <v>103</v>
      </c>
      <c r="B1556" s="5" t="s">
        <v>247</v>
      </c>
      <c r="C1556" s="5">
        <v>50</v>
      </c>
      <c r="D1556" s="5">
        <f t="shared" si="104"/>
        <v>293.66975814369101</v>
      </c>
      <c r="E1556" s="5">
        <f t="shared" si="106"/>
        <v>0</v>
      </c>
      <c r="F1556" s="5">
        <v>101.5</v>
      </c>
      <c r="G1556" s="5" t="s">
        <v>54</v>
      </c>
      <c r="H1556" s="5">
        <v>45</v>
      </c>
      <c r="I1556" s="5">
        <f t="shared" si="105"/>
        <v>220.00279814001337</v>
      </c>
      <c r="J1556" s="5">
        <f t="shared" si="107"/>
        <v>2</v>
      </c>
    </row>
    <row r="1557" spans="1:10" x14ac:dyDescent="0.2">
      <c r="A1557" s="5">
        <v>106</v>
      </c>
      <c r="B1557" s="5" t="s">
        <v>285</v>
      </c>
      <c r="C1557" s="5">
        <v>62</v>
      </c>
      <c r="D1557" s="5">
        <f t="shared" si="104"/>
        <v>587.34554108704231</v>
      </c>
      <c r="E1557" s="5">
        <f t="shared" si="106"/>
        <v>12</v>
      </c>
      <c r="F1557" s="5">
        <v>103.5</v>
      </c>
      <c r="G1557" s="5" t="s">
        <v>272</v>
      </c>
      <c r="H1557" s="5">
        <v>47</v>
      </c>
      <c r="I1557" s="5">
        <f t="shared" si="105"/>
        <v>246.94521361646048</v>
      </c>
      <c r="J1557" s="5">
        <f t="shared" si="107"/>
        <v>2</v>
      </c>
    </row>
    <row r="1558" spans="1:10" x14ac:dyDescent="0.2">
      <c r="A1558" s="5">
        <v>109</v>
      </c>
      <c r="B1558" s="5" t="s">
        <v>428</v>
      </c>
      <c r="C1558" s="5">
        <v>50</v>
      </c>
      <c r="D1558" s="5">
        <f t="shared" si="104"/>
        <v>293.66975814369101</v>
      </c>
      <c r="E1558" s="5">
        <f t="shared" si="106"/>
        <v>12</v>
      </c>
      <c r="F1558" s="5">
        <v>106</v>
      </c>
      <c r="G1558" s="5" t="s">
        <v>57</v>
      </c>
      <c r="H1558" s="5">
        <v>43</v>
      </c>
      <c r="I1558" s="5">
        <f t="shared" si="105"/>
        <v>195.99987576438383</v>
      </c>
      <c r="J1558" s="5">
        <f t="shared" si="107"/>
        <v>4</v>
      </c>
    </row>
    <row r="1559" spans="1:10" x14ac:dyDescent="0.2">
      <c r="A1559" s="5">
        <v>111</v>
      </c>
      <c r="B1559" s="5" t="s">
        <v>247</v>
      </c>
      <c r="C1559" s="5">
        <v>50</v>
      </c>
      <c r="D1559" s="5">
        <f t="shared" si="104"/>
        <v>293.66975814369101</v>
      </c>
      <c r="E1559" s="5">
        <f t="shared" si="106"/>
        <v>0</v>
      </c>
      <c r="F1559" s="5">
        <v>109</v>
      </c>
      <c r="G1559" s="5" t="s">
        <v>58</v>
      </c>
      <c r="H1559" s="5">
        <v>40</v>
      </c>
      <c r="I1559" s="5">
        <f t="shared" si="105"/>
        <v>164.8151702626221</v>
      </c>
      <c r="J1559" s="5">
        <f t="shared" si="107"/>
        <v>3</v>
      </c>
    </row>
    <row r="1560" spans="1:10" x14ac:dyDescent="0.2">
      <c r="A1560" s="5">
        <v>114</v>
      </c>
      <c r="B1560" s="5" t="s">
        <v>285</v>
      </c>
      <c r="C1560" s="5">
        <v>62</v>
      </c>
      <c r="D1560" s="5">
        <f t="shared" si="104"/>
        <v>587.34554108704231</v>
      </c>
      <c r="E1560" s="5">
        <f t="shared" si="106"/>
        <v>12</v>
      </c>
      <c r="F1560" s="5">
        <v>111</v>
      </c>
      <c r="G1560" s="5" t="s">
        <v>59</v>
      </c>
      <c r="H1560" s="5">
        <v>40</v>
      </c>
      <c r="I1560" s="5">
        <f t="shared" si="105"/>
        <v>164.8151702626221</v>
      </c>
      <c r="J1560" s="5">
        <f t="shared" si="107"/>
        <v>0</v>
      </c>
    </row>
    <row r="1561" spans="1:10" x14ac:dyDescent="0.2">
      <c r="A1561" s="5">
        <v>117</v>
      </c>
      <c r="B1561" s="5" t="s">
        <v>428</v>
      </c>
      <c r="C1561" s="5">
        <v>50</v>
      </c>
      <c r="D1561" s="5">
        <f t="shared" si="104"/>
        <v>293.66975814369101</v>
      </c>
      <c r="E1561" s="5">
        <f t="shared" si="106"/>
        <v>12</v>
      </c>
      <c r="F1561" s="5">
        <v>113</v>
      </c>
      <c r="G1561" s="5" t="s">
        <v>57</v>
      </c>
      <c r="H1561" s="5">
        <v>43</v>
      </c>
      <c r="I1561" s="5">
        <f t="shared" si="105"/>
        <v>195.99987576438383</v>
      </c>
      <c r="J1561" s="5">
        <f t="shared" si="107"/>
        <v>3</v>
      </c>
    </row>
    <row r="1562" spans="1:10" x14ac:dyDescent="0.2">
      <c r="A1562" s="5">
        <v>119</v>
      </c>
      <c r="B1562" s="5" t="s">
        <v>247</v>
      </c>
      <c r="C1562" s="5">
        <v>50</v>
      </c>
      <c r="D1562" s="5">
        <f t="shared" si="104"/>
        <v>293.66975814369101</v>
      </c>
      <c r="E1562" s="5">
        <f t="shared" si="106"/>
        <v>0</v>
      </c>
      <c r="F1562" s="5">
        <v>116.5</v>
      </c>
      <c r="G1562" s="5" t="s">
        <v>57</v>
      </c>
      <c r="H1562" s="5">
        <v>43</v>
      </c>
      <c r="I1562" s="5">
        <f t="shared" si="105"/>
        <v>195.99987576438383</v>
      </c>
      <c r="J1562" s="5">
        <f t="shared" si="107"/>
        <v>0</v>
      </c>
    </row>
    <row r="1563" spans="1:10" x14ac:dyDescent="0.2">
      <c r="A1563" s="5">
        <v>122</v>
      </c>
      <c r="B1563" s="5" t="s">
        <v>285</v>
      </c>
      <c r="C1563" s="5">
        <v>62</v>
      </c>
      <c r="D1563" s="5">
        <f t="shared" si="104"/>
        <v>587.34554108704231</v>
      </c>
      <c r="E1563" s="5">
        <f t="shared" si="106"/>
        <v>12</v>
      </c>
      <c r="F1563" s="5">
        <v>118.5</v>
      </c>
      <c r="G1563" s="5" t="s">
        <v>272</v>
      </c>
      <c r="H1563" s="5">
        <v>47</v>
      </c>
      <c r="I1563" s="5">
        <f t="shared" si="105"/>
        <v>246.94521361646048</v>
      </c>
      <c r="J1563" s="5">
        <f t="shared" si="107"/>
        <v>4</v>
      </c>
    </row>
    <row r="1564" spans="1:10" x14ac:dyDescent="0.2">
      <c r="A1564" s="5">
        <v>125</v>
      </c>
      <c r="B1564" s="5" t="s">
        <v>249</v>
      </c>
      <c r="C1564" s="5">
        <v>59</v>
      </c>
      <c r="D1564" s="5">
        <f t="shared" si="104"/>
        <v>493.89549345236594</v>
      </c>
      <c r="E1564" s="5">
        <f t="shared" si="106"/>
        <v>3</v>
      </c>
      <c r="F1564" s="5">
        <v>120.5</v>
      </c>
      <c r="G1564" s="5" t="s">
        <v>57</v>
      </c>
      <c r="H1564" s="5">
        <v>43</v>
      </c>
      <c r="I1564" s="5">
        <f t="shared" si="105"/>
        <v>195.99987576438383</v>
      </c>
      <c r="J1564" s="5">
        <f t="shared" si="107"/>
        <v>4</v>
      </c>
    </row>
    <row r="1565" spans="1:10" x14ac:dyDescent="0.2">
      <c r="A1565" s="5">
        <v>128.25</v>
      </c>
      <c r="B1565" s="5" t="s">
        <v>248</v>
      </c>
      <c r="C1565" s="5">
        <v>57</v>
      </c>
      <c r="D1565" s="5">
        <f t="shared" si="104"/>
        <v>440.01010976071973</v>
      </c>
      <c r="E1565" s="5">
        <f t="shared" si="106"/>
        <v>2</v>
      </c>
      <c r="F1565" s="5">
        <v>124</v>
      </c>
      <c r="G1565" s="5" t="s">
        <v>337</v>
      </c>
      <c r="H1565" s="5">
        <v>45</v>
      </c>
      <c r="I1565" s="5">
        <f t="shared" si="105"/>
        <v>220.00279814001337</v>
      </c>
      <c r="J1565" s="5">
        <f t="shared" si="107"/>
        <v>2</v>
      </c>
    </row>
    <row r="1566" spans="1:10" x14ac:dyDescent="0.2">
      <c r="A1566" s="5">
        <v>131</v>
      </c>
      <c r="B1566" s="5" t="s">
        <v>285</v>
      </c>
      <c r="C1566" s="5">
        <v>62</v>
      </c>
      <c r="D1566" s="5">
        <f t="shared" si="104"/>
        <v>587.34554108704231</v>
      </c>
      <c r="E1566" s="5">
        <f t="shared" si="106"/>
        <v>5</v>
      </c>
      <c r="F1566" s="5">
        <v>126.5</v>
      </c>
      <c r="G1566" s="5" t="s">
        <v>250</v>
      </c>
      <c r="H1566" s="5">
        <v>55</v>
      </c>
      <c r="I1566" s="5">
        <f t="shared" si="105"/>
        <v>392.00377257605692</v>
      </c>
      <c r="J1566" s="5">
        <f t="shared" si="107"/>
        <v>10</v>
      </c>
    </row>
    <row r="1567" spans="1:10" x14ac:dyDescent="0.2">
      <c r="A1567" s="5">
        <v>133.75</v>
      </c>
      <c r="B1567" s="5" t="s">
        <v>247</v>
      </c>
      <c r="C1567" s="5">
        <v>50</v>
      </c>
      <c r="D1567" s="5">
        <f t="shared" si="104"/>
        <v>293.66975814369101</v>
      </c>
      <c r="E1567" s="5">
        <f t="shared" si="106"/>
        <v>12</v>
      </c>
      <c r="F1567" s="5">
        <v>129.5</v>
      </c>
      <c r="G1567" s="5" t="s">
        <v>341</v>
      </c>
      <c r="H1567" s="5">
        <v>59</v>
      </c>
      <c r="I1567" s="5">
        <f t="shared" si="105"/>
        <v>493.89549345236594</v>
      </c>
      <c r="J1567" s="5">
        <f t="shared" si="107"/>
        <v>4</v>
      </c>
    </row>
    <row r="1568" spans="1:10" x14ac:dyDescent="0.2">
      <c r="A1568" s="5">
        <v>136.75</v>
      </c>
      <c r="B1568" s="5" t="s">
        <v>250</v>
      </c>
      <c r="C1568" s="5">
        <v>55</v>
      </c>
      <c r="D1568" s="5">
        <f t="shared" si="104"/>
        <v>392.00377257605692</v>
      </c>
      <c r="E1568" s="5">
        <f t="shared" si="106"/>
        <v>5</v>
      </c>
      <c r="F1568" s="5">
        <v>132.5</v>
      </c>
      <c r="G1568" s="5" t="s">
        <v>202</v>
      </c>
      <c r="H1568" s="5">
        <v>53</v>
      </c>
      <c r="I1568" s="5">
        <f t="shared" si="105"/>
        <v>349.23506143398839</v>
      </c>
      <c r="J1568" s="5">
        <f t="shared" si="107"/>
        <v>6</v>
      </c>
    </row>
    <row r="1569" spans="1:10" x14ac:dyDescent="0.2">
      <c r="A1569" s="5">
        <v>140.25</v>
      </c>
      <c r="B1569" s="5" t="s">
        <v>248</v>
      </c>
      <c r="C1569" s="5">
        <v>57</v>
      </c>
      <c r="D1569" s="5">
        <f t="shared" si="104"/>
        <v>440.01010976071973</v>
      </c>
      <c r="E1569" s="5">
        <f t="shared" si="106"/>
        <v>2</v>
      </c>
      <c r="F1569" s="5">
        <v>135.5</v>
      </c>
      <c r="G1569" s="5" t="s">
        <v>247</v>
      </c>
      <c r="H1569" s="5">
        <v>50</v>
      </c>
      <c r="I1569" s="5">
        <f t="shared" si="105"/>
        <v>293.66975814369101</v>
      </c>
      <c r="J1569" s="5">
        <f t="shared" si="107"/>
        <v>3</v>
      </c>
    </row>
    <row r="1570" spans="1:10" x14ac:dyDescent="0.2">
      <c r="A1570" s="5">
        <v>143</v>
      </c>
      <c r="B1570" s="5" t="s">
        <v>285</v>
      </c>
      <c r="C1570" s="5">
        <v>62</v>
      </c>
      <c r="D1570" s="5">
        <f t="shared" si="104"/>
        <v>587.34554108704231</v>
      </c>
      <c r="E1570" s="5">
        <f t="shared" si="106"/>
        <v>5</v>
      </c>
      <c r="F1570" s="5">
        <v>138</v>
      </c>
      <c r="G1570" s="5" t="s">
        <v>386</v>
      </c>
      <c r="H1570" s="5">
        <v>48</v>
      </c>
      <c r="I1570" s="5">
        <f t="shared" si="105"/>
        <v>261.62956379894968</v>
      </c>
      <c r="J1570" s="5">
        <f t="shared" si="107"/>
        <v>2</v>
      </c>
    </row>
    <row r="1571" spans="1:10" x14ac:dyDescent="0.2">
      <c r="A1571" s="5">
        <v>145.75</v>
      </c>
      <c r="B1571" s="5" t="s">
        <v>373</v>
      </c>
      <c r="C1571" s="5">
        <v>50</v>
      </c>
      <c r="D1571" s="5">
        <f t="shared" si="104"/>
        <v>293.66975814369101</v>
      </c>
      <c r="E1571" s="5">
        <f t="shared" si="106"/>
        <v>12</v>
      </c>
      <c r="F1571" s="5">
        <v>141</v>
      </c>
      <c r="G1571" s="5" t="s">
        <v>250</v>
      </c>
      <c r="H1571" s="5">
        <v>55</v>
      </c>
      <c r="I1571" s="5">
        <f t="shared" si="105"/>
        <v>392.00377257605692</v>
      </c>
      <c r="J1571" s="5">
        <f t="shared" si="107"/>
        <v>7</v>
      </c>
    </row>
    <row r="1572" spans="1:10" x14ac:dyDescent="0.2">
      <c r="A1572" s="5">
        <v>148.75</v>
      </c>
      <c r="B1572" s="5" t="s">
        <v>374</v>
      </c>
      <c r="C1572" s="5">
        <v>55</v>
      </c>
      <c r="D1572" s="5">
        <f t="shared" si="104"/>
        <v>392.00377257605692</v>
      </c>
      <c r="E1572" s="5">
        <f t="shared" si="106"/>
        <v>5</v>
      </c>
      <c r="F1572" s="5">
        <v>144.25</v>
      </c>
      <c r="G1572" s="5" t="s">
        <v>202</v>
      </c>
      <c r="H1572" s="5">
        <v>53</v>
      </c>
      <c r="I1572" s="5">
        <f t="shared" si="105"/>
        <v>349.23506143398839</v>
      </c>
      <c r="J1572" s="5">
        <f t="shared" si="107"/>
        <v>2</v>
      </c>
    </row>
    <row r="1573" spans="1:10" x14ac:dyDescent="0.2">
      <c r="A1573" s="5">
        <v>152</v>
      </c>
      <c r="B1573" s="5" t="s">
        <v>247</v>
      </c>
      <c r="C1573" s="5">
        <v>50</v>
      </c>
      <c r="D1573" s="5">
        <f t="shared" si="104"/>
        <v>293.66975814369101</v>
      </c>
      <c r="E1573" s="5">
        <f t="shared" si="106"/>
        <v>5</v>
      </c>
      <c r="F1573" s="5">
        <v>147</v>
      </c>
      <c r="G1573" s="5" t="s">
        <v>249</v>
      </c>
      <c r="H1573" s="5">
        <v>59</v>
      </c>
      <c r="I1573" s="5">
        <f t="shared" si="105"/>
        <v>493.89549345236594</v>
      </c>
      <c r="J1573" s="5">
        <f t="shared" si="107"/>
        <v>6</v>
      </c>
    </row>
    <row r="1574" spans="1:10" x14ac:dyDescent="0.2">
      <c r="A1574" s="5">
        <v>155</v>
      </c>
      <c r="B1574" s="5" t="s">
        <v>424</v>
      </c>
      <c r="C1574" s="5">
        <v>52</v>
      </c>
      <c r="D1574" s="5">
        <f t="shared" si="104"/>
        <v>329.63372180082422</v>
      </c>
      <c r="E1574" s="5">
        <f t="shared" si="106"/>
        <v>2</v>
      </c>
      <c r="F1574" s="5">
        <v>149.75</v>
      </c>
      <c r="G1574" s="5" t="s">
        <v>247</v>
      </c>
      <c r="H1574" s="5">
        <v>50</v>
      </c>
      <c r="I1574" s="5">
        <f t="shared" si="105"/>
        <v>293.66975814369101</v>
      </c>
      <c r="J1574" s="5">
        <f t="shared" si="107"/>
        <v>9</v>
      </c>
    </row>
    <row r="1575" spans="1:10" x14ac:dyDescent="0.2">
      <c r="A1575" s="5">
        <v>157.75</v>
      </c>
      <c r="B1575" s="5" t="s">
        <v>247</v>
      </c>
      <c r="C1575" s="5">
        <v>50</v>
      </c>
      <c r="D1575" s="5">
        <f t="shared" si="104"/>
        <v>293.66975814369101</v>
      </c>
      <c r="E1575" s="5">
        <f t="shared" si="106"/>
        <v>2</v>
      </c>
      <c r="F1575" s="5">
        <v>152.75</v>
      </c>
      <c r="G1575" s="5" t="s">
        <v>247</v>
      </c>
      <c r="H1575" s="5">
        <v>50</v>
      </c>
      <c r="I1575" s="5">
        <f t="shared" si="105"/>
        <v>293.66975814369101</v>
      </c>
      <c r="J1575" s="5">
        <f t="shared" si="107"/>
        <v>0</v>
      </c>
    </row>
    <row r="1576" spans="1:10" x14ac:dyDescent="0.2">
      <c r="A1576" s="5">
        <v>160.75</v>
      </c>
      <c r="B1576" s="5" t="s">
        <v>250</v>
      </c>
      <c r="C1576" s="5">
        <v>55</v>
      </c>
      <c r="D1576" s="5">
        <f t="shared" si="104"/>
        <v>392.00377257605692</v>
      </c>
      <c r="E1576" s="5">
        <f t="shared" si="106"/>
        <v>5</v>
      </c>
      <c r="F1576" s="5">
        <v>156</v>
      </c>
      <c r="G1576" s="5" t="s">
        <v>337</v>
      </c>
      <c r="H1576" s="5">
        <v>45</v>
      </c>
      <c r="I1576" s="5">
        <f t="shared" si="105"/>
        <v>220.00279814001337</v>
      </c>
      <c r="J1576" s="5">
        <f t="shared" si="107"/>
        <v>5</v>
      </c>
    </row>
    <row r="1577" spans="1:10" x14ac:dyDescent="0.2">
      <c r="A1577" s="5">
        <v>164</v>
      </c>
      <c r="B1577" s="5" t="s">
        <v>375</v>
      </c>
      <c r="C1577" s="5">
        <v>50</v>
      </c>
      <c r="D1577" s="5">
        <f t="shared" si="104"/>
        <v>293.66975814369101</v>
      </c>
      <c r="E1577" s="5">
        <f t="shared" si="106"/>
        <v>5</v>
      </c>
      <c r="F1577" s="5">
        <v>158.5</v>
      </c>
      <c r="G1577" s="5" t="s">
        <v>250</v>
      </c>
      <c r="H1577" s="5">
        <v>55</v>
      </c>
      <c r="I1577" s="5">
        <f t="shared" si="105"/>
        <v>392.00377257605692</v>
      </c>
      <c r="J1577" s="5">
        <f t="shared" si="107"/>
        <v>10</v>
      </c>
    </row>
    <row r="1578" spans="1:10" x14ac:dyDescent="0.2">
      <c r="A1578" s="5">
        <v>166.5</v>
      </c>
      <c r="B1578" s="5" t="s">
        <v>250</v>
      </c>
      <c r="C1578" s="5">
        <v>55</v>
      </c>
      <c r="D1578" s="5">
        <f t="shared" si="104"/>
        <v>392.00377257605692</v>
      </c>
      <c r="E1578" s="5">
        <f t="shared" si="106"/>
        <v>5</v>
      </c>
      <c r="F1578" s="5">
        <v>161.5</v>
      </c>
      <c r="G1578" s="5" t="s">
        <v>341</v>
      </c>
      <c r="H1578" s="5">
        <v>59</v>
      </c>
      <c r="I1578" s="5">
        <f t="shared" si="105"/>
        <v>493.89549345236594</v>
      </c>
      <c r="J1578" s="5">
        <f t="shared" si="107"/>
        <v>4</v>
      </c>
    </row>
    <row r="1579" spans="1:10" x14ac:dyDescent="0.2">
      <c r="A1579" s="5">
        <v>169.5</v>
      </c>
      <c r="B1579" s="5" t="s">
        <v>250</v>
      </c>
      <c r="C1579" s="5">
        <v>55</v>
      </c>
      <c r="D1579" s="5">
        <f t="shared" si="104"/>
        <v>392.00377257605692</v>
      </c>
      <c r="E1579" s="5">
        <f t="shared" si="106"/>
        <v>0</v>
      </c>
      <c r="F1579" s="5">
        <v>164.5</v>
      </c>
      <c r="G1579" s="5" t="s">
        <v>202</v>
      </c>
      <c r="H1579" s="5">
        <v>53</v>
      </c>
      <c r="I1579" s="5">
        <f t="shared" si="105"/>
        <v>349.23506143398839</v>
      </c>
      <c r="J1579" s="5">
        <f t="shared" si="107"/>
        <v>6</v>
      </c>
    </row>
    <row r="1580" spans="1:10" x14ac:dyDescent="0.2">
      <c r="A1580" s="5">
        <v>172.75</v>
      </c>
      <c r="B1580" s="5" t="s">
        <v>250</v>
      </c>
      <c r="C1580" s="5">
        <v>55</v>
      </c>
      <c r="D1580" s="5">
        <f t="shared" si="104"/>
        <v>392.00377257605692</v>
      </c>
      <c r="E1580" s="5">
        <f t="shared" si="106"/>
        <v>0</v>
      </c>
      <c r="F1580" s="5">
        <v>167.5</v>
      </c>
      <c r="G1580" s="5" t="s">
        <v>247</v>
      </c>
      <c r="H1580" s="5">
        <v>50</v>
      </c>
      <c r="I1580" s="5">
        <f t="shared" si="105"/>
        <v>293.66975814369101</v>
      </c>
      <c r="J1580" s="5">
        <f t="shared" si="107"/>
        <v>3</v>
      </c>
    </row>
    <row r="1581" spans="1:10" x14ac:dyDescent="0.2">
      <c r="A1581" s="5">
        <v>176</v>
      </c>
      <c r="B1581" s="5" t="s">
        <v>288</v>
      </c>
      <c r="C1581" s="5">
        <v>50</v>
      </c>
      <c r="D1581" s="5">
        <f t="shared" si="104"/>
        <v>293.66975814369101</v>
      </c>
      <c r="E1581" s="5">
        <f t="shared" si="106"/>
        <v>5</v>
      </c>
      <c r="F1581" s="5">
        <v>170</v>
      </c>
      <c r="G1581" s="5" t="s">
        <v>386</v>
      </c>
      <c r="H1581" s="5">
        <v>48</v>
      </c>
      <c r="I1581" s="5">
        <f t="shared" si="105"/>
        <v>261.62956379894968</v>
      </c>
      <c r="J1581" s="5">
        <f t="shared" si="107"/>
        <v>2</v>
      </c>
    </row>
    <row r="1582" spans="1:10" x14ac:dyDescent="0.2">
      <c r="A1582" s="5">
        <v>178.5</v>
      </c>
      <c r="B1582" s="5" t="s">
        <v>250</v>
      </c>
      <c r="C1582" s="5">
        <v>55</v>
      </c>
      <c r="D1582" s="5">
        <f t="shared" si="104"/>
        <v>392.00377257605692</v>
      </c>
      <c r="E1582" s="5">
        <f t="shared" si="106"/>
        <v>5</v>
      </c>
      <c r="F1582" s="5">
        <v>173</v>
      </c>
      <c r="G1582" s="5" t="s">
        <v>250</v>
      </c>
      <c r="H1582" s="5">
        <v>55</v>
      </c>
      <c r="I1582" s="5">
        <f t="shared" si="105"/>
        <v>392.00377257605692</v>
      </c>
      <c r="J1582" s="5">
        <f t="shared" si="107"/>
        <v>7</v>
      </c>
    </row>
    <row r="1583" spans="1:10" x14ac:dyDescent="0.2">
      <c r="A1583" s="5">
        <v>181.5</v>
      </c>
      <c r="B1583" s="5" t="s">
        <v>382</v>
      </c>
      <c r="C1583" s="5">
        <v>55</v>
      </c>
      <c r="D1583" s="5">
        <f t="shared" si="104"/>
        <v>392.00377257605692</v>
      </c>
      <c r="E1583" s="5">
        <f t="shared" si="106"/>
        <v>0</v>
      </c>
      <c r="F1583" s="5">
        <v>176.25</v>
      </c>
      <c r="G1583" s="5" t="s">
        <v>202</v>
      </c>
      <c r="H1583" s="5">
        <v>53</v>
      </c>
      <c r="I1583" s="5">
        <f t="shared" si="105"/>
        <v>349.23506143398839</v>
      </c>
      <c r="J1583" s="5">
        <f t="shared" si="107"/>
        <v>2</v>
      </c>
    </row>
    <row r="1584" spans="1:10" x14ac:dyDescent="0.2">
      <c r="A1584" s="5">
        <v>184.5</v>
      </c>
      <c r="B1584" s="5" t="s">
        <v>202</v>
      </c>
      <c r="C1584" s="5">
        <v>53</v>
      </c>
      <c r="D1584" s="5">
        <f t="shared" si="104"/>
        <v>349.23506143398839</v>
      </c>
      <c r="E1584" s="5">
        <f t="shared" si="106"/>
        <v>2</v>
      </c>
      <c r="F1584" s="5">
        <v>179</v>
      </c>
      <c r="G1584" s="5" t="s">
        <v>249</v>
      </c>
      <c r="H1584" s="5">
        <v>59</v>
      </c>
      <c r="I1584" s="5">
        <f t="shared" si="105"/>
        <v>493.89549345236594</v>
      </c>
      <c r="J1584" s="5">
        <f t="shared" si="107"/>
        <v>6</v>
      </c>
    </row>
    <row r="1585" spans="1:10" x14ac:dyDescent="0.2">
      <c r="A1585" s="5">
        <v>188</v>
      </c>
      <c r="B1585" s="5" t="s">
        <v>202</v>
      </c>
      <c r="C1585" s="5">
        <v>53</v>
      </c>
      <c r="D1585" s="5">
        <f t="shared" si="104"/>
        <v>349.23506143398839</v>
      </c>
      <c r="E1585" s="5">
        <f t="shared" si="106"/>
        <v>0</v>
      </c>
      <c r="F1585" s="5">
        <v>181.75</v>
      </c>
      <c r="G1585" s="5" t="s">
        <v>247</v>
      </c>
      <c r="H1585" s="5">
        <v>50</v>
      </c>
      <c r="I1585" s="5">
        <f t="shared" si="105"/>
        <v>293.66975814369101</v>
      </c>
      <c r="J1585" s="5">
        <f t="shared" si="107"/>
        <v>9</v>
      </c>
    </row>
    <row r="1586" spans="1:10" x14ac:dyDescent="0.2">
      <c r="A1586" s="5">
        <v>190.5</v>
      </c>
      <c r="B1586" s="5" t="s">
        <v>250</v>
      </c>
      <c r="C1586" s="5">
        <v>55</v>
      </c>
      <c r="D1586" s="5">
        <f t="shared" ref="D1586:D1617" si="108">16.35117682*1.059464^C1586</f>
        <v>392.00377257605692</v>
      </c>
      <c r="E1586" s="5">
        <f t="shared" si="106"/>
        <v>2</v>
      </c>
      <c r="F1586" s="5">
        <v>184.75</v>
      </c>
      <c r="G1586" s="5" t="s">
        <v>247</v>
      </c>
      <c r="H1586" s="5">
        <v>50</v>
      </c>
      <c r="I1586" s="5">
        <f t="shared" ref="I1586:I1617" si="109">16.35117682*1.059464^H1586</f>
        <v>293.66975814369101</v>
      </c>
      <c r="J1586" s="5">
        <f t="shared" si="107"/>
        <v>0</v>
      </c>
    </row>
    <row r="1587" spans="1:10" x14ac:dyDescent="0.2">
      <c r="A1587" s="5">
        <v>193</v>
      </c>
      <c r="B1587" s="5" t="s">
        <v>250</v>
      </c>
      <c r="C1587" s="5">
        <v>55</v>
      </c>
      <c r="D1587" s="5">
        <f t="shared" si="108"/>
        <v>392.00377257605692</v>
      </c>
      <c r="E1587" s="5">
        <f t="shared" ref="E1587:E1618" si="110">ABS( C1587-C1586)</f>
        <v>0</v>
      </c>
      <c r="F1587" s="5">
        <v>188</v>
      </c>
      <c r="G1587" s="5" t="s">
        <v>271</v>
      </c>
      <c r="H1587" s="5">
        <v>45</v>
      </c>
      <c r="I1587" s="5">
        <f t="shared" si="109"/>
        <v>220.00279814001337</v>
      </c>
      <c r="J1587" s="5">
        <f t="shared" ref="J1587:J1618" si="111">ABS( H1587-H1586)</f>
        <v>5</v>
      </c>
    </row>
    <row r="1588" spans="1:10" x14ac:dyDescent="0.2">
      <c r="A1588" s="5">
        <v>196</v>
      </c>
      <c r="B1588" s="5" t="s">
        <v>247</v>
      </c>
      <c r="C1588" s="5">
        <v>50</v>
      </c>
      <c r="D1588" s="5">
        <f t="shared" si="108"/>
        <v>293.66975814369101</v>
      </c>
      <c r="E1588" s="5">
        <f t="shared" si="110"/>
        <v>5</v>
      </c>
      <c r="F1588" s="5">
        <v>190.5</v>
      </c>
      <c r="G1588" s="5" t="s">
        <v>272</v>
      </c>
      <c r="H1588" s="5">
        <v>47</v>
      </c>
      <c r="I1588" s="5">
        <f t="shared" si="109"/>
        <v>246.94521361646048</v>
      </c>
      <c r="J1588" s="5">
        <f t="shared" si="111"/>
        <v>2</v>
      </c>
    </row>
    <row r="1589" spans="1:10" x14ac:dyDescent="0.2">
      <c r="A1589" s="5">
        <v>198</v>
      </c>
      <c r="B1589" s="5" t="s">
        <v>431</v>
      </c>
      <c r="C1589" s="5">
        <v>50</v>
      </c>
      <c r="D1589" s="5">
        <f t="shared" si="108"/>
        <v>293.66975814369101</v>
      </c>
      <c r="E1589" s="5">
        <f t="shared" si="110"/>
        <v>0</v>
      </c>
      <c r="F1589" s="5">
        <v>193</v>
      </c>
      <c r="G1589" s="5" t="s">
        <v>274</v>
      </c>
      <c r="H1589" s="5">
        <v>59</v>
      </c>
      <c r="I1589" s="5">
        <f t="shared" si="109"/>
        <v>493.89549345236594</v>
      </c>
      <c r="J1589" s="5">
        <f t="shared" si="111"/>
        <v>12</v>
      </c>
    </row>
    <row r="1590" spans="1:10" x14ac:dyDescent="0.2">
      <c r="A1590" s="5">
        <v>200</v>
      </c>
      <c r="B1590" s="5" t="s">
        <v>285</v>
      </c>
      <c r="C1590" s="5">
        <v>62</v>
      </c>
      <c r="D1590" s="5">
        <f t="shared" si="108"/>
        <v>587.34554108704231</v>
      </c>
      <c r="E1590" s="5">
        <f t="shared" si="110"/>
        <v>12</v>
      </c>
      <c r="F1590" s="5">
        <v>196</v>
      </c>
      <c r="G1590" s="5" t="s">
        <v>59</v>
      </c>
      <c r="H1590" s="5">
        <v>40</v>
      </c>
      <c r="I1590" s="5">
        <f t="shared" si="109"/>
        <v>164.8151702626221</v>
      </c>
      <c r="J1590" s="5">
        <f t="shared" si="111"/>
        <v>19</v>
      </c>
    </row>
    <row r="1591" spans="1:10" x14ac:dyDescent="0.2">
      <c r="A1591" s="5">
        <v>204</v>
      </c>
      <c r="B1591" s="5" t="s">
        <v>247</v>
      </c>
      <c r="C1591" s="5">
        <v>50</v>
      </c>
      <c r="D1591" s="5">
        <f t="shared" si="108"/>
        <v>293.66975814369101</v>
      </c>
      <c r="E1591" s="5">
        <f t="shared" si="110"/>
        <v>12</v>
      </c>
      <c r="F1591" s="5">
        <v>198</v>
      </c>
      <c r="G1591" s="5" t="s">
        <v>59</v>
      </c>
      <c r="H1591" s="5">
        <v>40</v>
      </c>
      <c r="I1591" s="5">
        <f t="shared" si="109"/>
        <v>164.8151702626221</v>
      </c>
      <c r="J1591" s="5">
        <f t="shared" si="111"/>
        <v>0</v>
      </c>
    </row>
    <row r="1592" spans="1:10" x14ac:dyDescent="0.2">
      <c r="A1592" s="5">
        <v>206</v>
      </c>
      <c r="B1592" s="5" t="s">
        <v>247</v>
      </c>
      <c r="C1592" s="5">
        <v>50</v>
      </c>
      <c r="D1592" s="5">
        <f t="shared" si="108"/>
        <v>293.66975814369101</v>
      </c>
      <c r="E1592" s="5">
        <f t="shared" si="110"/>
        <v>0</v>
      </c>
      <c r="F1592" s="5">
        <v>200</v>
      </c>
      <c r="G1592" s="5" t="s">
        <v>59</v>
      </c>
      <c r="H1592" s="5">
        <v>40</v>
      </c>
      <c r="I1592" s="5">
        <f t="shared" si="109"/>
        <v>164.8151702626221</v>
      </c>
      <c r="J1592" s="5">
        <f t="shared" si="111"/>
        <v>0</v>
      </c>
    </row>
    <row r="1593" spans="1:10" x14ac:dyDescent="0.2">
      <c r="A1593" s="5">
        <v>208</v>
      </c>
      <c r="B1593" s="5" t="s">
        <v>285</v>
      </c>
      <c r="C1593" s="5">
        <v>62</v>
      </c>
      <c r="D1593" s="5">
        <f t="shared" si="108"/>
        <v>587.34554108704231</v>
      </c>
      <c r="E1593" s="5">
        <f t="shared" si="110"/>
        <v>12</v>
      </c>
      <c r="F1593" s="5">
        <v>203</v>
      </c>
      <c r="G1593" s="5" t="s">
        <v>57</v>
      </c>
      <c r="H1593" s="5">
        <v>43</v>
      </c>
      <c r="I1593" s="5">
        <f t="shared" si="109"/>
        <v>195.99987576438383</v>
      </c>
      <c r="J1593" s="5">
        <f t="shared" si="111"/>
        <v>3</v>
      </c>
    </row>
    <row r="1594" spans="1:10" x14ac:dyDescent="0.2">
      <c r="A1594" s="5">
        <v>212</v>
      </c>
      <c r="B1594" s="5" t="s">
        <v>247</v>
      </c>
      <c r="C1594" s="5">
        <v>50</v>
      </c>
      <c r="D1594" s="5">
        <f t="shared" si="108"/>
        <v>293.66975814369101</v>
      </c>
      <c r="E1594" s="5">
        <f t="shared" si="110"/>
        <v>12</v>
      </c>
      <c r="F1594" s="5">
        <v>205.5</v>
      </c>
      <c r="G1594" s="5" t="s">
        <v>54</v>
      </c>
      <c r="H1594" s="5">
        <v>45</v>
      </c>
      <c r="I1594" s="5">
        <f t="shared" si="109"/>
        <v>220.00279814001337</v>
      </c>
      <c r="J1594" s="5">
        <f t="shared" si="111"/>
        <v>2</v>
      </c>
    </row>
    <row r="1595" spans="1:10" x14ac:dyDescent="0.2">
      <c r="A1595" s="5">
        <v>214</v>
      </c>
      <c r="B1595" s="5" t="s">
        <v>429</v>
      </c>
      <c r="C1595" s="5">
        <v>50</v>
      </c>
      <c r="D1595" s="5">
        <f t="shared" si="108"/>
        <v>293.66975814369101</v>
      </c>
      <c r="E1595" s="5">
        <f t="shared" si="110"/>
        <v>0</v>
      </c>
      <c r="F1595" s="5">
        <v>207.5</v>
      </c>
      <c r="G1595" s="5" t="s">
        <v>54</v>
      </c>
      <c r="H1595" s="5">
        <v>45</v>
      </c>
      <c r="I1595" s="5">
        <f t="shared" si="109"/>
        <v>220.00279814001337</v>
      </c>
      <c r="J1595" s="5">
        <f t="shared" si="111"/>
        <v>0</v>
      </c>
    </row>
    <row r="1596" spans="1:10" x14ac:dyDescent="0.2">
      <c r="A1596" s="5">
        <v>216</v>
      </c>
      <c r="B1596" s="5" t="s">
        <v>285</v>
      </c>
      <c r="C1596" s="5">
        <v>62</v>
      </c>
      <c r="D1596" s="5">
        <f t="shared" si="108"/>
        <v>587.34554108704231</v>
      </c>
      <c r="E1596" s="5">
        <f t="shared" si="110"/>
        <v>12</v>
      </c>
      <c r="F1596" s="5">
        <v>210</v>
      </c>
      <c r="G1596" s="5" t="s">
        <v>57</v>
      </c>
      <c r="H1596" s="5">
        <v>43</v>
      </c>
      <c r="I1596" s="5">
        <f t="shared" si="109"/>
        <v>195.99987576438383</v>
      </c>
      <c r="J1596" s="5">
        <f t="shared" si="111"/>
        <v>2</v>
      </c>
    </row>
    <row r="1597" spans="1:10" x14ac:dyDescent="0.2">
      <c r="A1597" s="5">
        <v>220</v>
      </c>
      <c r="B1597" s="5" t="s">
        <v>247</v>
      </c>
      <c r="C1597" s="5">
        <v>50</v>
      </c>
      <c r="D1597" s="5">
        <f t="shared" si="108"/>
        <v>293.66975814369101</v>
      </c>
      <c r="E1597" s="5">
        <f t="shared" si="110"/>
        <v>12</v>
      </c>
      <c r="F1597" s="5">
        <v>213</v>
      </c>
      <c r="G1597" s="5" t="s">
        <v>59</v>
      </c>
      <c r="H1597" s="5">
        <v>40</v>
      </c>
      <c r="I1597" s="5">
        <f t="shared" si="109"/>
        <v>164.8151702626221</v>
      </c>
      <c r="J1597" s="5">
        <f t="shared" si="111"/>
        <v>3</v>
      </c>
    </row>
    <row r="1598" spans="1:10" x14ac:dyDescent="0.2">
      <c r="A1598" s="5">
        <v>222</v>
      </c>
      <c r="B1598" s="5" t="s">
        <v>247</v>
      </c>
      <c r="C1598" s="5">
        <v>50</v>
      </c>
      <c r="D1598" s="5">
        <f t="shared" si="108"/>
        <v>293.66975814369101</v>
      </c>
      <c r="E1598" s="5">
        <f t="shared" si="110"/>
        <v>0</v>
      </c>
      <c r="F1598" s="5">
        <v>215</v>
      </c>
      <c r="G1598" s="5" t="s">
        <v>59</v>
      </c>
      <c r="H1598" s="5">
        <v>40</v>
      </c>
      <c r="I1598" s="5">
        <f t="shared" si="109"/>
        <v>164.8151702626221</v>
      </c>
      <c r="J1598" s="5">
        <f t="shared" si="111"/>
        <v>0</v>
      </c>
    </row>
    <row r="1599" spans="1:10" x14ac:dyDescent="0.2">
      <c r="A1599" s="5">
        <v>224</v>
      </c>
      <c r="B1599" s="5" t="s">
        <v>285</v>
      </c>
      <c r="C1599" s="5">
        <v>62</v>
      </c>
      <c r="D1599" s="5">
        <f t="shared" si="108"/>
        <v>587.34554108704231</v>
      </c>
      <c r="E1599" s="5">
        <f t="shared" si="110"/>
        <v>12</v>
      </c>
      <c r="F1599" s="5">
        <v>217</v>
      </c>
      <c r="G1599" s="5" t="s">
        <v>57</v>
      </c>
      <c r="H1599" s="5">
        <v>43</v>
      </c>
      <c r="I1599" s="5">
        <f t="shared" si="109"/>
        <v>195.99987576438383</v>
      </c>
      <c r="J1599" s="5">
        <f t="shared" si="111"/>
        <v>3</v>
      </c>
    </row>
    <row r="1600" spans="1:10" x14ac:dyDescent="0.2">
      <c r="A1600" s="5">
        <v>228</v>
      </c>
      <c r="B1600" s="5" t="s">
        <v>247</v>
      </c>
      <c r="C1600" s="5">
        <v>50</v>
      </c>
      <c r="D1600" s="5">
        <f t="shared" si="108"/>
        <v>293.66975814369101</v>
      </c>
      <c r="E1600" s="5">
        <f t="shared" si="110"/>
        <v>12</v>
      </c>
      <c r="F1600" s="5">
        <v>220.5</v>
      </c>
      <c r="G1600" s="5" t="s">
        <v>57</v>
      </c>
      <c r="H1600" s="5">
        <v>43</v>
      </c>
      <c r="I1600" s="5">
        <f t="shared" si="109"/>
        <v>195.99987576438383</v>
      </c>
      <c r="J1600" s="5">
        <f t="shared" si="111"/>
        <v>0</v>
      </c>
    </row>
    <row r="1601" spans="1:10" x14ac:dyDescent="0.2">
      <c r="A1601" s="5">
        <v>231</v>
      </c>
      <c r="B1601" s="5" t="s">
        <v>285</v>
      </c>
      <c r="C1601" s="5">
        <v>62</v>
      </c>
      <c r="D1601" s="5">
        <f t="shared" si="108"/>
        <v>587.34554108704231</v>
      </c>
      <c r="E1601" s="5">
        <f t="shared" si="110"/>
        <v>12</v>
      </c>
      <c r="F1601" s="5">
        <v>222.5</v>
      </c>
      <c r="G1601" s="5" t="s">
        <v>272</v>
      </c>
      <c r="H1601" s="5">
        <v>47</v>
      </c>
      <c r="I1601" s="5">
        <f t="shared" si="109"/>
        <v>246.94521361646048</v>
      </c>
      <c r="J1601" s="5">
        <f t="shared" si="111"/>
        <v>4</v>
      </c>
    </row>
    <row r="1602" spans="1:10" x14ac:dyDescent="0.2">
      <c r="A1602" s="5">
        <v>234</v>
      </c>
      <c r="B1602" s="5" t="s">
        <v>285</v>
      </c>
      <c r="C1602" s="5">
        <v>62</v>
      </c>
      <c r="D1602" s="5">
        <f t="shared" si="108"/>
        <v>587.34554108704231</v>
      </c>
      <c r="E1602" s="5">
        <f t="shared" si="110"/>
        <v>0</v>
      </c>
      <c r="F1602" s="5">
        <v>224.5</v>
      </c>
      <c r="G1602" s="5" t="s">
        <v>57</v>
      </c>
      <c r="H1602" s="5">
        <v>43</v>
      </c>
      <c r="I1602" s="5">
        <f t="shared" si="109"/>
        <v>195.99987576438383</v>
      </c>
      <c r="J1602" s="5">
        <f t="shared" si="111"/>
        <v>4</v>
      </c>
    </row>
    <row r="1603" spans="1:10" x14ac:dyDescent="0.2">
      <c r="A1603" s="5">
        <v>237</v>
      </c>
      <c r="B1603" s="5" t="s">
        <v>249</v>
      </c>
      <c r="C1603" s="5">
        <v>59</v>
      </c>
      <c r="D1603" s="5">
        <f t="shared" si="108"/>
        <v>493.89549345236594</v>
      </c>
      <c r="E1603" s="5">
        <f t="shared" si="110"/>
        <v>3</v>
      </c>
      <c r="F1603" s="5">
        <v>228</v>
      </c>
      <c r="G1603" s="5" t="s">
        <v>54</v>
      </c>
      <c r="H1603" s="5">
        <v>45</v>
      </c>
      <c r="I1603" s="5">
        <f t="shared" si="109"/>
        <v>220.00279814001337</v>
      </c>
      <c r="J1603" s="5">
        <f t="shared" si="111"/>
        <v>2</v>
      </c>
    </row>
    <row r="1604" spans="1:10" x14ac:dyDescent="0.2">
      <c r="A1604" s="5">
        <v>240.5</v>
      </c>
      <c r="B1604" s="5" t="s">
        <v>249</v>
      </c>
      <c r="C1604" s="5">
        <v>59</v>
      </c>
      <c r="D1604" s="5">
        <f t="shared" si="108"/>
        <v>493.89549345236594</v>
      </c>
      <c r="E1604" s="5">
        <f t="shared" si="110"/>
        <v>0</v>
      </c>
      <c r="F1604" s="5">
        <v>231</v>
      </c>
      <c r="G1604" s="5" t="s">
        <v>63</v>
      </c>
      <c r="H1604" s="5">
        <v>59</v>
      </c>
      <c r="I1604" s="5">
        <f t="shared" si="109"/>
        <v>493.89549345236594</v>
      </c>
      <c r="J1604" s="5">
        <f t="shared" si="111"/>
        <v>14</v>
      </c>
    </row>
    <row r="1605" spans="1:10" x14ac:dyDescent="0.2">
      <c r="A1605" s="5">
        <v>244</v>
      </c>
      <c r="B1605" s="5" t="s">
        <v>247</v>
      </c>
      <c r="C1605" s="5">
        <v>50</v>
      </c>
      <c r="D1605" s="5">
        <f t="shared" si="108"/>
        <v>293.66975814369101</v>
      </c>
      <c r="E1605" s="5">
        <f t="shared" si="110"/>
        <v>9</v>
      </c>
      <c r="F1605" s="5">
        <v>234</v>
      </c>
      <c r="G1605" s="5" t="s">
        <v>274</v>
      </c>
      <c r="H1605" s="5">
        <v>59</v>
      </c>
      <c r="I1605" s="5">
        <f t="shared" si="109"/>
        <v>493.89549345236594</v>
      </c>
      <c r="J1605" s="5">
        <f t="shared" si="111"/>
        <v>0</v>
      </c>
    </row>
    <row r="1606" spans="1:10" x14ac:dyDescent="0.2">
      <c r="A1606" s="5">
        <v>246.5</v>
      </c>
      <c r="B1606" s="5" t="s">
        <v>249</v>
      </c>
      <c r="C1606" s="5">
        <v>59</v>
      </c>
      <c r="D1606" s="5">
        <f t="shared" si="108"/>
        <v>493.89549345236594</v>
      </c>
      <c r="E1606" s="5">
        <f t="shared" si="110"/>
        <v>9</v>
      </c>
      <c r="F1606" s="5">
        <v>237</v>
      </c>
      <c r="G1606" s="5" t="s">
        <v>53</v>
      </c>
      <c r="H1606" s="5">
        <v>55</v>
      </c>
      <c r="I1606" s="5">
        <f t="shared" si="109"/>
        <v>392.00377257605692</v>
      </c>
      <c r="J1606" s="5">
        <f t="shared" si="111"/>
        <v>4</v>
      </c>
    </row>
    <row r="1607" spans="1:10" x14ac:dyDescent="0.2">
      <c r="A1607" s="5">
        <v>249</v>
      </c>
      <c r="B1607" s="5" t="s">
        <v>249</v>
      </c>
      <c r="C1607" s="5">
        <v>59</v>
      </c>
      <c r="D1607" s="5">
        <f t="shared" si="108"/>
        <v>493.89549345236594</v>
      </c>
      <c r="E1607" s="5">
        <f t="shared" si="110"/>
        <v>0</v>
      </c>
      <c r="F1607" s="5">
        <v>240.5</v>
      </c>
      <c r="G1607" s="5" t="s">
        <v>53</v>
      </c>
      <c r="H1607" s="5">
        <v>55</v>
      </c>
      <c r="I1607" s="5">
        <f t="shared" si="109"/>
        <v>392.00377257605692</v>
      </c>
      <c r="J1607" s="5">
        <f t="shared" si="111"/>
        <v>0</v>
      </c>
    </row>
    <row r="1608" spans="1:10" x14ac:dyDescent="0.2">
      <c r="A1608" s="5">
        <v>252</v>
      </c>
      <c r="B1608" s="5" t="s">
        <v>247</v>
      </c>
      <c r="C1608" s="5">
        <v>50</v>
      </c>
      <c r="D1608" s="5">
        <f t="shared" si="108"/>
        <v>293.66975814369101</v>
      </c>
      <c r="E1608" s="5">
        <f t="shared" si="110"/>
        <v>9</v>
      </c>
      <c r="F1608" s="5">
        <v>244</v>
      </c>
      <c r="G1608" s="5" t="s">
        <v>54</v>
      </c>
      <c r="H1608" s="5">
        <v>45</v>
      </c>
      <c r="I1608" s="5">
        <f t="shared" si="109"/>
        <v>220.00279814001337</v>
      </c>
      <c r="J1608" s="5">
        <f t="shared" si="111"/>
        <v>10</v>
      </c>
    </row>
    <row r="1609" spans="1:10" x14ac:dyDescent="0.2">
      <c r="A1609" s="5">
        <v>255</v>
      </c>
      <c r="B1609" s="5" t="s">
        <v>285</v>
      </c>
      <c r="C1609" s="5">
        <v>62</v>
      </c>
      <c r="D1609" s="5">
        <f t="shared" si="108"/>
        <v>587.34554108704231</v>
      </c>
      <c r="E1609" s="5">
        <f t="shared" si="110"/>
        <v>12</v>
      </c>
      <c r="F1609" s="5">
        <v>246.5</v>
      </c>
      <c r="G1609" s="5" t="s">
        <v>53</v>
      </c>
      <c r="H1609" s="5">
        <v>55</v>
      </c>
      <c r="I1609" s="5">
        <f t="shared" si="109"/>
        <v>392.00377257605692</v>
      </c>
      <c r="J1609" s="5">
        <f t="shared" si="111"/>
        <v>10</v>
      </c>
    </row>
    <row r="1610" spans="1:10" x14ac:dyDescent="0.2">
      <c r="A1610" s="5">
        <v>258</v>
      </c>
      <c r="B1610" s="5" t="s">
        <v>285</v>
      </c>
      <c r="C1610" s="5">
        <v>62</v>
      </c>
      <c r="D1610" s="5">
        <f t="shared" si="108"/>
        <v>587.34554108704231</v>
      </c>
      <c r="E1610" s="5">
        <f t="shared" si="110"/>
        <v>0</v>
      </c>
      <c r="F1610" s="5">
        <v>249</v>
      </c>
      <c r="G1610" s="5" t="s">
        <v>53</v>
      </c>
      <c r="H1610" s="5">
        <v>55</v>
      </c>
      <c r="I1610" s="5">
        <f t="shared" si="109"/>
        <v>392.00377257605692</v>
      </c>
      <c r="J1610" s="5">
        <f t="shared" si="111"/>
        <v>0</v>
      </c>
    </row>
    <row r="1611" spans="1:10" x14ac:dyDescent="0.2">
      <c r="A1611" s="5">
        <v>261</v>
      </c>
      <c r="B1611" s="5" t="s">
        <v>249</v>
      </c>
      <c r="C1611" s="5">
        <v>59</v>
      </c>
      <c r="D1611" s="5">
        <f t="shared" si="108"/>
        <v>493.89549345236594</v>
      </c>
      <c r="E1611" s="5">
        <f t="shared" si="110"/>
        <v>3</v>
      </c>
      <c r="F1611" s="5">
        <v>252</v>
      </c>
      <c r="G1611" s="5" t="s">
        <v>54</v>
      </c>
      <c r="H1611" s="5">
        <v>45</v>
      </c>
      <c r="I1611" s="5">
        <f t="shared" si="109"/>
        <v>220.00279814001337</v>
      </c>
      <c r="J1611" s="5">
        <f t="shared" si="111"/>
        <v>10</v>
      </c>
    </row>
    <row r="1612" spans="1:10" x14ac:dyDescent="0.2">
      <c r="A1612" s="5">
        <v>264.5</v>
      </c>
      <c r="B1612" s="5" t="s">
        <v>249</v>
      </c>
      <c r="C1612" s="5">
        <v>59</v>
      </c>
      <c r="D1612" s="5">
        <f t="shared" si="108"/>
        <v>493.89549345236594</v>
      </c>
      <c r="E1612" s="5">
        <f t="shared" si="110"/>
        <v>0</v>
      </c>
      <c r="F1612" s="5">
        <v>255</v>
      </c>
      <c r="G1612" s="5" t="s">
        <v>63</v>
      </c>
      <c r="H1612" s="5">
        <v>59</v>
      </c>
      <c r="I1612" s="5">
        <f t="shared" si="109"/>
        <v>493.89549345236594</v>
      </c>
      <c r="J1612" s="5">
        <f t="shared" si="111"/>
        <v>14</v>
      </c>
    </row>
    <row r="1613" spans="1:10" x14ac:dyDescent="0.2">
      <c r="A1613" s="5">
        <v>268</v>
      </c>
      <c r="B1613" s="5" t="s">
        <v>247</v>
      </c>
      <c r="C1613" s="5">
        <v>50</v>
      </c>
      <c r="D1613" s="5">
        <f t="shared" si="108"/>
        <v>293.66975814369101</v>
      </c>
      <c r="E1613" s="5">
        <f t="shared" si="110"/>
        <v>9</v>
      </c>
      <c r="F1613" s="5">
        <v>258</v>
      </c>
      <c r="G1613" s="5" t="s">
        <v>274</v>
      </c>
      <c r="H1613" s="5">
        <v>59</v>
      </c>
      <c r="I1613" s="5">
        <f t="shared" si="109"/>
        <v>493.89549345236594</v>
      </c>
      <c r="J1613" s="5">
        <f t="shared" si="111"/>
        <v>0</v>
      </c>
    </row>
    <row r="1614" spans="1:10" x14ac:dyDescent="0.2">
      <c r="A1614" s="5">
        <v>270.5</v>
      </c>
      <c r="B1614" s="5" t="s">
        <v>249</v>
      </c>
      <c r="C1614" s="5">
        <v>59</v>
      </c>
      <c r="D1614" s="5">
        <f t="shared" si="108"/>
        <v>493.89549345236594</v>
      </c>
      <c r="E1614" s="5">
        <f t="shared" si="110"/>
        <v>9</v>
      </c>
      <c r="F1614" s="5">
        <v>261</v>
      </c>
      <c r="G1614" s="5" t="s">
        <v>53</v>
      </c>
      <c r="H1614" s="5">
        <v>55</v>
      </c>
      <c r="I1614" s="5">
        <f t="shared" si="109"/>
        <v>392.00377257605692</v>
      </c>
      <c r="J1614" s="5">
        <f t="shared" si="111"/>
        <v>4</v>
      </c>
    </row>
    <row r="1615" spans="1:10" x14ac:dyDescent="0.2">
      <c r="A1615" s="5">
        <v>273</v>
      </c>
      <c r="B1615" s="5" t="s">
        <v>249</v>
      </c>
      <c r="C1615" s="5">
        <v>59</v>
      </c>
      <c r="D1615" s="5">
        <f t="shared" si="108"/>
        <v>493.89549345236594</v>
      </c>
      <c r="E1615" s="5">
        <f t="shared" si="110"/>
        <v>0</v>
      </c>
      <c r="F1615" s="5">
        <v>264.5</v>
      </c>
      <c r="G1615" s="5" t="s">
        <v>53</v>
      </c>
      <c r="H1615" s="5">
        <v>55</v>
      </c>
      <c r="I1615" s="5">
        <f t="shared" si="109"/>
        <v>392.00377257605692</v>
      </c>
      <c r="J1615" s="5">
        <f t="shared" si="111"/>
        <v>0</v>
      </c>
    </row>
    <row r="1616" spans="1:10" x14ac:dyDescent="0.2">
      <c r="A1616" s="5">
        <v>276</v>
      </c>
      <c r="B1616" s="5" t="s">
        <v>247</v>
      </c>
      <c r="C1616" s="5">
        <v>50</v>
      </c>
      <c r="D1616" s="5">
        <f t="shared" si="108"/>
        <v>293.66975814369101</v>
      </c>
      <c r="E1616" s="5">
        <f t="shared" si="110"/>
        <v>9</v>
      </c>
      <c r="F1616" s="5">
        <v>268</v>
      </c>
      <c r="G1616" s="5" t="s">
        <v>54</v>
      </c>
      <c r="H1616" s="5">
        <v>45</v>
      </c>
      <c r="I1616" s="5">
        <f t="shared" si="109"/>
        <v>220.00279814001337</v>
      </c>
      <c r="J1616" s="5">
        <f t="shared" si="111"/>
        <v>10</v>
      </c>
    </row>
    <row r="1617" spans="1:10" x14ac:dyDescent="0.2">
      <c r="A1617" s="5">
        <v>278.5</v>
      </c>
      <c r="B1617" s="5" t="s">
        <v>249</v>
      </c>
      <c r="C1617" s="5">
        <v>59</v>
      </c>
      <c r="D1617" s="5">
        <f t="shared" si="108"/>
        <v>493.89549345236594</v>
      </c>
      <c r="E1617" s="5">
        <f t="shared" si="110"/>
        <v>9</v>
      </c>
      <c r="F1617" s="5">
        <v>270.5</v>
      </c>
      <c r="G1617" s="5" t="s">
        <v>53</v>
      </c>
      <c r="H1617" s="5">
        <v>55</v>
      </c>
      <c r="I1617" s="5">
        <f t="shared" si="109"/>
        <v>392.00377257605692</v>
      </c>
      <c r="J1617" s="5">
        <f t="shared" si="111"/>
        <v>10</v>
      </c>
    </row>
    <row r="1618" spans="1:10" x14ac:dyDescent="0.2">
      <c r="A1618" s="5">
        <v>281</v>
      </c>
      <c r="B1618" s="5" t="s">
        <v>249</v>
      </c>
      <c r="C1618" s="5">
        <v>59</v>
      </c>
      <c r="D1618" s="5">
        <f t="shared" ref="D1618:D1627" si="112">16.35117682*1.059464^C1618</f>
        <v>493.89549345236594</v>
      </c>
      <c r="E1618" s="5">
        <f t="shared" si="110"/>
        <v>0</v>
      </c>
      <c r="F1618" s="5">
        <v>273</v>
      </c>
      <c r="G1618" s="5" t="s">
        <v>53</v>
      </c>
      <c r="H1618" s="5">
        <v>55</v>
      </c>
      <c r="I1618" s="5">
        <f t="shared" ref="I1618:I1629" si="113">16.35117682*1.059464^H1618</f>
        <v>392.00377257605692</v>
      </c>
      <c r="J1618" s="5">
        <f t="shared" si="111"/>
        <v>0</v>
      </c>
    </row>
    <row r="1619" spans="1:10" x14ac:dyDescent="0.2">
      <c r="A1619" s="5">
        <v>284</v>
      </c>
      <c r="B1619" s="5" t="s">
        <v>247</v>
      </c>
      <c r="C1619" s="5">
        <v>50</v>
      </c>
      <c r="D1619" s="5">
        <f t="shared" si="112"/>
        <v>293.66975814369101</v>
      </c>
      <c r="E1619" s="5">
        <f t="shared" ref="E1619:E1627" si="114">ABS( C1619-C1618)</f>
        <v>9</v>
      </c>
      <c r="F1619" s="5">
        <v>276</v>
      </c>
      <c r="G1619" s="5" t="s">
        <v>54</v>
      </c>
      <c r="H1619" s="5">
        <v>45</v>
      </c>
      <c r="I1619" s="5">
        <f t="shared" si="113"/>
        <v>220.00279814001337</v>
      </c>
      <c r="J1619" s="5">
        <f t="shared" ref="J1619:J1629" si="115">ABS( H1619-H1618)</f>
        <v>10</v>
      </c>
    </row>
    <row r="1620" spans="1:10" x14ac:dyDescent="0.2">
      <c r="A1620" s="5">
        <v>286.5</v>
      </c>
      <c r="B1620" s="5" t="s">
        <v>249</v>
      </c>
      <c r="C1620" s="5">
        <v>59</v>
      </c>
      <c r="D1620" s="5">
        <f t="shared" si="112"/>
        <v>493.89549345236594</v>
      </c>
      <c r="E1620" s="5">
        <f t="shared" si="114"/>
        <v>9</v>
      </c>
      <c r="F1620" s="5">
        <v>278.5</v>
      </c>
      <c r="G1620" s="5" t="s">
        <v>53</v>
      </c>
      <c r="H1620" s="5">
        <v>55</v>
      </c>
      <c r="I1620" s="5">
        <f t="shared" si="113"/>
        <v>392.00377257605692</v>
      </c>
      <c r="J1620" s="5">
        <f t="shared" si="115"/>
        <v>10</v>
      </c>
    </row>
    <row r="1621" spans="1:10" x14ac:dyDescent="0.2">
      <c r="A1621" s="5">
        <v>289</v>
      </c>
      <c r="B1621" s="5" t="s">
        <v>249</v>
      </c>
      <c r="C1621" s="5">
        <v>59</v>
      </c>
      <c r="D1621" s="5">
        <f t="shared" si="112"/>
        <v>493.89549345236594</v>
      </c>
      <c r="E1621" s="5">
        <f t="shared" si="114"/>
        <v>0</v>
      </c>
      <c r="F1621" s="5">
        <v>281</v>
      </c>
      <c r="G1621" s="5" t="s">
        <v>53</v>
      </c>
      <c r="H1621" s="5">
        <v>55</v>
      </c>
      <c r="I1621" s="5">
        <f t="shared" si="113"/>
        <v>392.00377257605692</v>
      </c>
      <c r="J1621" s="5">
        <f t="shared" si="115"/>
        <v>0</v>
      </c>
    </row>
    <row r="1622" spans="1:10" x14ac:dyDescent="0.2">
      <c r="A1622" s="5">
        <v>292</v>
      </c>
      <c r="B1622" s="5" t="s">
        <v>247</v>
      </c>
      <c r="C1622" s="5">
        <v>50</v>
      </c>
      <c r="D1622" s="5">
        <f t="shared" si="112"/>
        <v>293.66975814369101</v>
      </c>
      <c r="E1622" s="5">
        <f t="shared" si="114"/>
        <v>9</v>
      </c>
      <c r="F1622" s="5">
        <v>284</v>
      </c>
      <c r="G1622" s="5" t="s">
        <v>54</v>
      </c>
      <c r="H1622" s="5">
        <v>45</v>
      </c>
      <c r="I1622" s="5">
        <f t="shared" si="113"/>
        <v>220.00279814001337</v>
      </c>
      <c r="J1622" s="5">
        <f t="shared" si="115"/>
        <v>10</v>
      </c>
    </row>
    <row r="1623" spans="1:10" x14ac:dyDescent="0.2">
      <c r="A1623" s="5">
        <v>294.5</v>
      </c>
      <c r="B1623" s="5" t="s">
        <v>249</v>
      </c>
      <c r="C1623" s="5">
        <v>59</v>
      </c>
      <c r="D1623" s="5">
        <f t="shared" si="112"/>
        <v>493.89549345236594</v>
      </c>
      <c r="E1623" s="5">
        <f t="shared" si="114"/>
        <v>9</v>
      </c>
      <c r="F1623" s="5">
        <v>286.5</v>
      </c>
      <c r="G1623" s="5" t="s">
        <v>53</v>
      </c>
      <c r="H1623" s="5">
        <v>55</v>
      </c>
      <c r="I1623" s="5">
        <f t="shared" si="113"/>
        <v>392.00377257605692</v>
      </c>
      <c r="J1623" s="5">
        <f t="shared" si="115"/>
        <v>10</v>
      </c>
    </row>
    <row r="1624" spans="1:10" x14ac:dyDescent="0.2">
      <c r="A1624" s="5">
        <v>297</v>
      </c>
      <c r="B1624" s="5" t="s">
        <v>249</v>
      </c>
      <c r="C1624" s="5">
        <v>59</v>
      </c>
      <c r="D1624" s="5">
        <f t="shared" si="112"/>
        <v>493.89549345236594</v>
      </c>
      <c r="E1624" s="5">
        <f t="shared" si="114"/>
        <v>0</v>
      </c>
      <c r="F1624" s="5">
        <v>289</v>
      </c>
      <c r="G1624" s="5" t="s">
        <v>53</v>
      </c>
      <c r="H1624" s="5">
        <v>55</v>
      </c>
      <c r="I1624" s="5">
        <f t="shared" si="113"/>
        <v>392.00377257605692</v>
      </c>
      <c r="J1624" s="5">
        <f t="shared" si="115"/>
        <v>0</v>
      </c>
    </row>
    <row r="1625" spans="1:10" x14ac:dyDescent="0.2">
      <c r="A1625" s="5">
        <v>301</v>
      </c>
      <c r="B1625" s="5" t="s">
        <v>38</v>
      </c>
      <c r="C1625" s="5">
        <v>52</v>
      </c>
      <c r="D1625" s="5">
        <f t="shared" si="112"/>
        <v>329.63372180082422</v>
      </c>
      <c r="E1625" s="5">
        <f t="shared" si="114"/>
        <v>7</v>
      </c>
      <c r="F1625" s="5">
        <v>292</v>
      </c>
      <c r="G1625" s="5" t="s">
        <v>54</v>
      </c>
      <c r="H1625" s="5">
        <v>45</v>
      </c>
      <c r="I1625" s="5">
        <f t="shared" si="113"/>
        <v>220.00279814001337</v>
      </c>
      <c r="J1625" s="5">
        <f t="shared" si="115"/>
        <v>10</v>
      </c>
    </row>
    <row r="1626" spans="1:10" x14ac:dyDescent="0.2">
      <c r="A1626" s="5">
        <v>305</v>
      </c>
      <c r="B1626" s="5" t="s">
        <v>250</v>
      </c>
      <c r="C1626" s="5">
        <v>55</v>
      </c>
      <c r="D1626" s="5">
        <f t="shared" si="112"/>
        <v>392.00377257605692</v>
      </c>
      <c r="E1626" s="5">
        <f t="shared" si="114"/>
        <v>3</v>
      </c>
      <c r="F1626" s="5">
        <v>294.5</v>
      </c>
      <c r="G1626" s="5" t="s">
        <v>53</v>
      </c>
      <c r="H1626" s="5">
        <v>55</v>
      </c>
      <c r="I1626" s="5">
        <f t="shared" si="113"/>
        <v>392.00377257605692</v>
      </c>
      <c r="J1626" s="5">
        <f t="shared" si="115"/>
        <v>10</v>
      </c>
    </row>
    <row r="1627" spans="1:10" x14ac:dyDescent="0.2">
      <c r="A1627" s="5">
        <v>315</v>
      </c>
      <c r="B1627" s="5" t="s">
        <v>79</v>
      </c>
      <c r="C1627" s="5">
        <v>70</v>
      </c>
      <c r="D1627" s="5">
        <f t="shared" si="112"/>
        <v>932.35930569378297</v>
      </c>
      <c r="E1627" s="5">
        <f t="shared" si="114"/>
        <v>15</v>
      </c>
      <c r="F1627" s="5">
        <v>297</v>
      </c>
      <c r="G1627" s="5" t="s">
        <v>53</v>
      </c>
      <c r="H1627" s="5">
        <v>55</v>
      </c>
      <c r="I1627" s="5">
        <f t="shared" si="113"/>
        <v>392.00377257605692</v>
      </c>
      <c r="J1627" s="5">
        <f t="shared" si="115"/>
        <v>0</v>
      </c>
    </row>
    <row r="1628" spans="1:10" x14ac:dyDescent="0.2">
      <c r="A1628" s="5"/>
      <c r="B1628" s="5"/>
      <c r="C1628" s="5"/>
      <c r="D1628" s="5"/>
      <c r="E1628" s="5"/>
      <c r="F1628" s="5">
        <v>300</v>
      </c>
      <c r="G1628" s="5" t="s">
        <v>120</v>
      </c>
      <c r="H1628" s="5">
        <v>48</v>
      </c>
      <c r="I1628" s="5">
        <f t="shared" si="113"/>
        <v>261.62956379894968</v>
      </c>
      <c r="J1628" s="5">
        <f t="shared" si="115"/>
        <v>7</v>
      </c>
    </row>
    <row r="1629" spans="1:10" x14ac:dyDescent="0.2">
      <c r="A1629" s="5"/>
      <c r="B1629" s="5"/>
      <c r="C1629" s="5"/>
      <c r="D1629" s="5"/>
      <c r="E1629" s="5"/>
      <c r="F1629" s="5">
        <v>314</v>
      </c>
      <c r="G1629" s="5" t="s">
        <v>92</v>
      </c>
      <c r="H1629" s="5">
        <v>58</v>
      </c>
      <c r="I1629" s="5">
        <f t="shared" si="113"/>
        <v>466.17487092753117</v>
      </c>
      <c r="J1629" s="5">
        <f t="shared" si="115"/>
        <v>10</v>
      </c>
    </row>
    <row r="1631" spans="1:10" x14ac:dyDescent="0.2">
      <c r="A1631" s="5"/>
    </row>
    <row r="1047395" spans="3:3" x14ac:dyDescent="0.2">
      <c r="C1047395" s="5"/>
    </row>
  </sheetData>
  <sortState ref="A1521:J1737">
    <sortCondition ref="A1522:A1737"/>
  </sortState>
  <phoneticPr fontId="1" type="noConversion"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workbookViewId="0">
      <selection activeCell="V112" sqref="V112"/>
    </sheetView>
  </sheetViews>
  <sheetFormatPr defaultColWidth="8.85546875" defaultRowHeight="12.75" x14ac:dyDescent="0.2"/>
  <cols>
    <col min="3" max="3" width="15" customWidth="1"/>
    <col min="13" max="13" width="21.85546875" customWidth="1"/>
    <col min="15" max="15" width="19.28515625" customWidth="1"/>
  </cols>
  <sheetData>
    <row r="1" spans="1:15" x14ac:dyDescent="0.2">
      <c r="A1" s="10" t="s">
        <v>416</v>
      </c>
      <c r="B1" s="10" t="s">
        <v>417</v>
      </c>
      <c r="H1" s="10" t="s">
        <v>420</v>
      </c>
    </row>
    <row r="3" spans="1:15" x14ac:dyDescent="0.2">
      <c r="A3" s="10" t="s">
        <v>159</v>
      </c>
      <c r="B3" s="10" t="s">
        <v>477</v>
      </c>
      <c r="C3" s="10" t="s">
        <v>418</v>
      </c>
      <c r="D3" s="10" t="s">
        <v>476</v>
      </c>
      <c r="E3" s="10" t="s">
        <v>419</v>
      </c>
      <c r="G3" s="10" t="s">
        <v>159</v>
      </c>
      <c r="H3" s="10" t="s">
        <v>477</v>
      </c>
      <c r="I3" s="10" t="s">
        <v>418</v>
      </c>
      <c r="J3" s="10" t="s">
        <v>476</v>
      </c>
      <c r="K3" s="10" t="s">
        <v>419</v>
      </c>
      <c r="M3" s="11" t="s">
        <v>71</v>
      </c>
    </row>
    <row r="4" spans="1:15" x14ac:dyDescent="0.2">
      <c r="A4">
        <v>0</v>
      </c>
      <c r="B4" s="10" t="s">
        <v>479</v>
      </c>
      <c r="C4">
        <v>48</v>
      </c>
      <c r="D4">
        <f t="shared" ref="D4:D32" si="0">16.35117682*1.059464^C4</f>
        <v>261.62956379894968</v>
      </c>
      <c r="G4" s="10">
        <v>0</v>
      </c>
      <c r="H4" s="10" t="s">
        <v>479</v>
      </c>
      <c r="I4">
        <v>48</v>
      </c>
      <c r="J4" s="11">
        <f t="shared" ref="J4:J32" si="1">16.35117682*1.059464^I4</f>
        <v>261.62956379894968</v>
      </c>
      <c r="M4" s="11" t="s">
        <v>106</v>
      </c>
      <c r="O4" s="11" t="s">
        <v>107</v>
      </c>
    </row>
    <row r="5" spans="1:15" x14ac:dyDescent="0.2">
      <c r="A5" s="10">
        <v>0.5</v>
      </c>
      <c r="B5" s="10" t="s">
        <v>480</v>
      </c>
      <c r="C5">
        <v>50</v>
      </c>
      <c r="D5" s="10">
        <f t="shared" si="0"/>
        <v>293.66975814369101</v>
      </c>
      <c r="E5">
        <v>2</v>
      </c>
      <c r="G5" s="10">
        <v>0.5</v>
      </c>
      <c r="H5" s="10" t="s">
        <v>480</v>
      </c>
      <c r="I5">
        <v>50</v>
      </c>
      <c r="J5" s="11">
        <f t="shared" si="1"/>
        <v>293.66975814369101</v>
      </c>
      <c r="K5" s="11">
        <f t="shared" ref="K5:K32" si="2">ABS(I5-I4)</f>
        <v>2</v>
      </c>
      <c r="M5">
        <f>SUM(E5:E32)</f>
        <v>48</v>
      </c>
      <c r="O5">
        <f>(32-4)</f>
        <v>28</v>
      </c>
    </row>
    <row r="6" spans="1:15" x14ac:dyDescent="0.2">
      <c r="A6" s="10">
        <v>1</v>
      </c>
      <c r="B6" s="10" t="s">
        <v>481</v>
      </c>
      <c r="C6">
        <v>52</v>
      </c>
      <c r="D6" s="10">
        <f t="shared" si="0"/>
        <v>329.63372180082422</v>
      </c>
      <c r="E6">
        <v>2</v>
      </c>
      <c r="G6" s="10">
        <v>1</v>
      </c>
      <c r="H6" s="10" t="s">
        <v>164</v>
      </c>
      <c r="I6">
        <v>51</v>
      </c>
      <c r="J6" s="11">
        <f t="shared" si="1"/>
        <v>311.13253664194741</v>
      </c>
      <c r="K6" s="11">
        <f t="shared" si="2"/>
        <v>1</v>
      </c>
    </row>
    <row r="7" spans="1:15" x14ac:dyDescent="0.2">
      <c r="A7" s="10">
        <v>1.5</v>
      </c>
      <c r="B7" s="10" t="s">
        <v>482</v>
      </c>
      <c r="C7">
        <v>53</v>
      </c>
      <c r="D7" s="10">
        <f t="shared" si="0"/>
        <v>349.23506143398839</v>
      </c>
      <c r="E7">
        <v>1</v>
      </c>
      <c r="G7" s="10">
        <v>1.5</v>
      </c>
      <c r="H7" s="10" t="s">
        <v>482</v>
      </c>
      <c r="I7">
        <v>53</v>
      </c>
      <c r="J7" s="11">
        <f t="shared" si="1"/>
        <v>349.23506143398839</v>
      </c>
      <c r="K7" s="11">
        <f t="shared" si="2"/>
        <v>2</v>
      </c>
      <c r="M7" s="11" t="s">
        <v>108</v>
      </c>
    </row>
    <row r="8" spans="1:15" x14ac:dyDescent="0.2">
      <c r="A8" s="10">
        <v>2</v>
      </c>
      <c r="B8" s="10" t="s">
        <v>239</v>
      </c>
      <c r="C8">
        <v>55</v>
      </c>
      <c r="D8" s="10">
        <f t="shared" si="0"/>
        <v>392.00377257605692</v>
      </c>
      <c r="E8">
        <v>2</v>
      </c>
      <c r="G8" s="10">
        <v>2</v>
      </c>
      <c r="H8" s="10" t="s">
        <v>239</v>
      </c>
      <c r="I8">
        <v>55</v>
      </c>
      <c r="J8" s="11">
        <f t="shared" si="1"/>
        <v>392.00377257605692</v>
      </c>
      <c r="K8" s="11">
        <f t="shared" si="2"/>
        <v>2</v>
      </c>
      <c r="M8" s="11">
        <f>M5/(O5-1)</f>
        <v>1.7777777777777777</v>
      </c>
    </row>
    <row r="9" spans="1:15" x14ac:dyDescent="0.2">
      <c r="A9" s="10">
        <v>2.5</v>
      </c>
      <c r="B9" s="10" t="s">
        <v>243</v>
      </c>
      <c r="C9">
        <v>57</v>
      </c>
      <c r="D9" s="10">
        <f t="shared" si="0"/>
        <v>440.01010976071973</v>
      </c>
      <c r="E9">
        <v>2</v>
      </c>
      <c r="G9" s="10">
        <v>2.5</v>
      </c>
      <c r="H9" s="10" t="s">
        <v>421</v>
      </c>
      <c r="I9">
        <v>56</v>
      </c>
      <c r="J9" s="11">
        <f t="shared" si="1"/>
        <v>415.31388490851958</v>
      </c>
      <c r="K9" s="11">
        <f t="shared" si="2"/>
        <v>1</v>
      </c>
    </row>
    <row r="10" spans="1:15" x14ac:dyDescent="0.2">
      <c r="A10" s="10">
        <v>3</v>
      </c>
      <c r="B10" s="10" t="s">
        <v>244</v>
      </c>
      <c r="C10">
        <v>59</v>
      </c>
      <c r="D10" s="10">
        <f t="shared" si="0"/>
        <v>493.89549345236594</v>
      </c>
      <c r="E10">
        <v>2</v>
      </c>
      <c r="G10" s="10">
        <v>3</v>
      </c>
      <c r="H10" s="10" t="s">
        <v>244</v>
      </c>
      <c r="I10">
        <v>59</v>
      </c>
      <c r="J10" s="11">
        <f t="shared" si="1"/>
        <v>493.89549345236594</v>
      </c>
      <c r="K10" s="11">
        <f t="shared" si="2"/>
        <v>3</v>
      </c>
    </row>
    <row r="11" spans="1:15" x14ac:dyDescent="0.2">
      <c r="A11" s="10">
        <v>3.5</v>
      </c>
      <c r="B11" s="10" t="s">
        <v>240</v>
      </c>
      <c r="C11">
        <v>60</v>
      </c>
      <c r="D11" s="10">
        <f t="shared" si="0"/>
        <v>523.26449507501752</v>
      </c>
      <c r="E11">
        <v>1</v>
      </c>
      <c r="G11" s="10">
        <v>3.5</v>
      </c>
      <c r="H11" s="10" t="s">
        <v>240</v>
      </c>
      <c r="I11">
        <v>60</v>
      </c>
      <c r="J11" s="11">
        <f t="shared" si="1"/>
        <v>523.26449507501752</v>
      </c>
      <c r="K11" s="11">
        <f t="shared" si="2"/>
        <v>1</v>
      </c>
      <c r="M11" s="11" t="s">
        <v>109</v>
      </c>
    </row>
    <row r="12" spans="1:15" x14ac:dyDescent="0.2">
      <c r="A12" s="10">
        <v>4</v>
      </c>
      <c r="B12" s="10" t="s">
        <v>242</v>
      </c>
      <c r="C12">
        <v>62</v>
      </c>
      <c r="D12" s="10">
        <f t="shared" si="0"/>
        <v>587.34554108704231</v>
      </c>
      <c r="E12">
        <v>2</v>
      </c>
      <c r="G12" s="10">
        <v>4</v>
      </c>
      <c r="H12" s="10" t="s">
        <v>242</v>
      </c>
      <c r="I12">
        <v>62</v>
      </c>
      <c r="J12" s="11">
        <f t="shared" si="1"/>
        <v>587.34554108704231</v>
      </c>
      <c r="K12" s="11">
        <f t="shared" si="2"/>
        <v>2</v>
      </c>
      <c r="M12" s="11" t="s">
        <v>110</v>
      </c>
      <c r="O12" s="11" t="s">
        <v>111</v>
      </c>
    </row>
    <row r="13" spans="1:15" x14ac:dyDescent="0.2">
      <c r="A13" s="10">
        <v>4.5</v>
      </c>
      <c r="B13" s="10" t="s">
        <v>255</v>
      </c>
      <c r="C13">
        <v>64</v>
      </c>
      <c r="D13" s="10">
        <f t="shared" si="0"/>
        <v>659.27420622217721</v>
      </c>
      <c r="E13">
        <v>2</v>
      </c>
      <c r="G13" s="10">
        <v>4.5</v>
      </c>
      <c r="H13" s="10" t="s">
        <v>165</v>
      </c>
      <c r="I13">
        <v>63</v>
      </c>
      <c r="J13" s="11">
        <f t="shared" si="1"/>
        <v>622.27145634224212</v>
      </c>
      <c r="K13" s="11">
        <f t="shared" si="2"/>
        <v>1</v>
      </c>
      <c r="M13">
        <f>SUM(K5:K32)</f>
        <v>48</v>
      </c>
      <c r="O13">
        <v>28</v>
      </c>
    </row>
    <row r="14" spans="1:15" x14ac:dyDescent="0.2">
      <c r="A14" s="10">
        <v>5</v>
      </c>
      <c r="B14" s="10" t="s">
        <v>246</v>
      </c>
      <c r="C14">
        <v>65</v>
      </c>
      <c r="D14" s="10">
        <f t="shared" si="0"/>
        <v>698.47728762097279</v>
      </c>
      <c r="E14">
        <v>1</v>
      </c>
      <c r="G14" s="10">
        <v>5</v>
      </c>
      <c r="H14" s="10" t="s">
        <v>246</v>
      </c>
      <c r="I14">
        <v>65</v>
      </c>
      <c r="J14" s="11">
        <f t="shared" si="1"/>
        <v>698.47728762097279</v>
      </c>
      <c r="K14" s="11">
        <f t="shared" si="2"/>
        <v>2</v>
      </c>
    </row>
    <row r="15" spans="1:15" x14ac:dyDescent="0.2">
      <c r="A15" s="10">
        <v>5.5</v>
      </c>
      <c r="B15" s="10" t="s">
        <v>245</v>
      </c>
      <c r="C15">
        <v>67</v>
      </c>
      <c r="D15" s="10">
        <f t="shared" si="0"/>
        <v>784.01558732918636</v>
      </c>
      <c r="E15">
        <v>2</v>
      </c>
      <c r="G15" s="10">
        <v>5.5</v>
      </c>
      <c r="H15" s="10" t="s">
        <v>245</v>
      </c>
      <c r="I15">
        <v>67</v>
      </c>
      <c r="J15" s="11">
        <f t="shared" si="1"/>
        <v>784.01558732918636</v>
      </c>
      <c r="K15" s="11">
        <f t="shared" si="2"/>
        <v>2</v>
      </c>
      <c r="M15" s="11" t="s">
        <v>108</v>
      </c>
    </row>
    <row r="16" spans="1:15" x14ac:dyDescent="0.2">
      <c r="A16" s="10">
        <v>6</v>
      </c>
      <c r="B16" s="10" t="s">
        <v>256</v>
      </c>
      <c r="C16">
        <v>69</v>
      </c>
      <c r="D16" s="10">
        <f t="shared" si="0"/>
        <v>880.02924657542201</v>
      </c>
      <c r="E16">
        <v>2</v>
      </c>
      <c r="G16" s="10">
        <v>6</v>
      </c>
      <c r="H16" s="10" t="s">
        <v>422</v>
      </c>
      <c r="I16">
        <v>68</v>
      </c>
      <c r="J16" s="11">
        <f t="shared" si="1"/>
        <v>830.63629021412908</v>
      </c>
      <c r="K16" s="11">
        <f t="shared" si="2"/>
        <v>1</v>
      </c>
      <c r="M16">
        <f>M13/(O13-1)</f>
        <v>1.7777777777777777</v>
      </c>
    </row>
    <row r="17" spans="1:11" x14ac:dyDescent="0.2">
      <c r="A17" s="10">
        <v>6.5</v>
      </c>
      <c r="B17" s="10" t="s">
        <v>241</v>
      </c>
      <c r="C17">
        <v>71</v>
      </c>
      <c r="D17" s="10">
        <f t="shared" si="0"/>
        <v>987.80111944755811</v>
      </c>
      <c r="E17">
        <v>2</v>
      </c>
      <c r="G17" s="10">
        <v>6.5</v>
      </c>
      <c r="H17" s="10" t="s">
        <v>241</v>
      </c>
      <c r="I17">
        <v>71</v>
      </c>
      <c r="J17" s="11">
        <f t="shared" si="1"/>
        <v>987.80111944755811</v>
      </c>
      <c r="K17" s="11">
        <f t="shared" si="2"/>
        <v>3</v>
      </c>
    </row>
    <row r="18" spans="1:11" x14ac:dyDescent="0.2">
      <c r="A18" s="10">
        <v>7</v>
      </c>
      <c r="B18" s="10" t="s">
        <v>410</v>
      </c>
      <c r="C18">
        <v>72</v>
      </c>
      <c r="D18" s="10">
        <f t="shared" si="0"/>
        <v>1046.5397252143878</v>
      </c>
      <c r="E18">
        <v>1</v>
      </c>
      <c r="G18" s="10">
        <v>7</v>
      </c>
      <c r="H18" s="10" t="s">
        <v>410</v>
      </c>
      <c r="I18">
        <v>72</v>
      </c>
      <c r="J18" s="11">
        <f t="shared" si="1"/>
        <v>1046.5397252143878</v>
      </c>
      <c r="K18" s="11">
        <f t="shared" si="2"/>
        <v>1</v>
      </c>
    </row>
    <row r="19" spans="1:11" x14ac:dyDescent="0.2">
      <c r="A19" s="10">
        <v>7.5</v>
      </c>
      <c r="B19" s="10" t="s">
        <v>241</v>
      </c>
      <c r="C19">
        <v>71</v>
      </c>
      <c r="D19" s="10">
        <f t="shared" si="0"/>
        <v>987.80111944755811</v>
      </c>
      <c r="E19">
        <v>1</v>
      </c>
      <c r="G19" s="10">
        <v>7.5</v>
      </c>
      <c r="H19" s="10" t="s">
        <v>241</v>
      </c>
      <c r="I19">
        <v>71</v>
      </c>
      <c r="J19" s="11">
        <f t="shared" si="1"/>
        <v>987.80111944755811</v>
      </c>
      <c r="K19" s="11">
        <f t="shared" si="2"/>
        <v>1</v>
      </c>
    </row>
    <row r="20" spans="1:11" x14ac:dyDescent="0.2">
      <c r="A20" s="10">
        <v>8</v>
      </c>
      <c r="B20" s="10" t="s">
        <v>256</v>
      </c>
      <c r="C20">
        <v>69</v>
      </c>
      <c r="D20" s="10">
        <f t="shared" si="0"/>
        <v>880.02924657542201</v>
      </c>
      <c r="E20">
        <v>2</v>
      </c>
      <c r="G20" s="10">
        <v>8</v>
      </c>
      <c r="H20" s="10" t="s">
        <v>422</v>
      </c>
      <c r="I20">
        <v>68</v>
      </c>
      <c r="J20" s="11">
        <f t="shared" si="1"/>
        <v>830.63629021412908</v>
      </c>
      <c r="K20" s="11">
        <f t="shared" si="2"/>
        <v>3</v>
      </c>
    </row>
    <row r="21" spans="1:11" x14ac:dyDescent="0.2">
      <c r="A21" s="10">
        <v>8.5</v>
      </c>
      <c r="B21" s="10" t="s">
        <v>245</v>
      </c>
      <c r="C21">
        <v>67</v>
      </c>
      <c r="D21" s="10">
        <f t="shared" si="0"/>
        <v>784.01558732918636</v>
      </c>
      <c r="E21">
        <v>2</v>
      </c>
      <c r="G21" s="10">
        <v>8.5</v>
      </c>
      <c r="H21" s="10" t="s">
        <v>245</v>
      </c>
      <c r="I21">
        <v>67</v>
      </c>
      <c r="J21" s="11">
        <f t="shared" si="1"/>
        <v>784.01558732918636</v>
      </c>
      <c r="K21" s="11">
        <f t="shared" si="2"/>
        <v>1</v>
      </c>
    </row>
    <row r="22" spans="1:11" x14ac:dyDescent="0.2">
      <c r="A22" s="10">
        <v>9</v>
      </c>
      <c r="B22" s="10" t="s">
        <v>246</v>
      </c>
      <c r="C22">
        <v>65</v>
      </c>
      <c r="D22" s="10">
        <f t="shared" si="0"/>
        <v>698.47728762097279</v>
      </c>
      <c r="E22">
        <v>2</v>
      </c>
      <c r="G22" s="10">
        <v>9</v>
      </c>
      <c r="H22" s="10" t="s">
        <v>246</v>
      </c>
      <c r="I22">
        <v>65</v>
      </c>
      <c r="J22" s="11">
        <f t="shared" si="1"/>
        <v>698.47728762097279</v>
      </c>
      <c r="K22" s="11">
        <f t="shared" si="2"/>
        <v>2</v>
      </c>
    </row>
    <row r="23" spans="1:11" x14ac:dyDescent="0.2">
      <c r="A23" s="10">
        <v>9.5</v>
      </c>
      <c r="B23" s="10" t="s">
        <v>255</v>
      </c>
      <c r="C23">
        <v>64</v>
      </c>
      <c r="D23" s="10">
        <f t="shared" si="0"/>
        <v>659.27420622217721</v>
      </c>
      <c r="E23">
        <v>1</v>
      </c>
      <c r="G23" s="10">
        <v>9.5</v>
      </c>
      <c r="H23" s="10" t="s">
        <v>165</v>
      </c>
      <c r="I23">
        <v>64</v>
      </c>
      <c r="J23" s="11">
        <f t="shared" si="1"/>
        <v>659.27420622217721</v>
      </c>
      <c r="K23" s="11">
        <f t="shared" si="2"/>
        <v>1</v>
      </c>
    </row>
    <row r="24" spans="1:11" x14ac:dyDescent="0.2">
      <c r="A24" s="10">
        <v>10</v>
      </c>
      <c r="B24" s="10" t="s">
        <v>242</v>
      </c>
      <c r="C24">
        <v>62</v>
      </c>
      <c r="D24" s="10">
        <f t="shared" si="0"/>
        <v>587.34554108704231</v>
      </c>
      <c r="E24">
        <v>2</v>
      </c>
      <c r="G24" s="10">
        <v>10</v>
      </c>
      <c r="H24" s="10" t="s">
        <v>242</v>
      </c>
      <c r="I24">
        <v>62</v>
      </c>
      <c r="J24" s="11">
        <f t="shared" si="1"/>
        <v>587.34554108704231</v>
      </c>
      <c r="K24" s="11">
        <f t="shared" si="2"/>
        <v>2</v>
      </c>
    </row>
    <row r="25" spans="1:11" x14ac:dyDescent="0.2">
      <c r="A25" s="10">
        <v>10.5</v>
      </c>
      <c r="B25" s="10" t="s">
        <v>240</v>
      </c>
      <c r="C25">
        <v>60</v>
      </c>
      <c r="D25" s="10">
        <f t="shared" si="0"/>
        <v>523.26449507501752</v>
      </c>
      <c r="E25">
        <v>2</v>
      </c>
      <c r="G25" s="10">
        <v>10.5</v>
      </c>
      <c r="H25" s="10" t="s">
        <v>240</v>
      </c>
      <c r="I25">
        <v>60</v>
      </c>
      <c r="J25" s="11">
        <f t="shared" si="1"/>
        <v>523.26449507501752</v>
      </c>
      <c r="K25" s="11">
        <f t="shared" si="2"/>
        <v>2</v>
      </c>
    </row>
    <row r="26" spans="1:11" x14ac:dyDescent="0.2">
      <c r="A26" s="10">
        <v>11</v>
      </c>
      <c r="B26" s="10" t="s">
        <v>244</v>
      </c>
      <c r="C26">
        <v>59</v>
      </c>
      <c r="D26" s="10">
        <f t="shared" si="0"/>
        <v>493.89549345236594</v>
      </c>
      <c r="E26">
        <v>1</v>
      </c>
      <c r="G26" s="10">
        <v>11</v>
      </c>
      <c r="H26" s="10" t="s">
        <v>244</v>
      </c>
      <c r="I26">
        <v>59</v>
      </c>
      <c r="J26" s="11">
        <f t="shared" si="1"/>
        <v>493.89549345236594</v>
      </c>
      <c r="K26" s="11">
        <f t="shared" si="2"/>
        <v>1</v>
      </c>
    </row>
    <row r="27" spans="1:11" x14ac:dyDescent="0.2">
      <c r="A27" s="10">
        <v>11.5</v>
      </c>
      <c r="B27" s="10" t="s">
        <v>243</v>
      </c>
      <c r="C27">
        <v>57</v>
      </c>
      <c r="D27" s="10">
        <f t="shared" si="0"/>
        <v>440.01010976071973</v>
      </c>
      <c r="E27">
        <v>2</v>
      </c>
      <c r="G27" s="10">
        <v>11.5</v>
      </c>
      <c r="H27" s="10" t="s">
        <v>421</v>
      </c>
      <c r="I27">
        <v>57</v>
      </c>
      <c r="J27" s="11">
        <f t="shared" si="1"/>
        <v>440.01010976071973</v>
      </c>
      <c r="K27" s="11">
        <f t="shared" si="2"/>
        <v>2</v>
      </c>
    </row>
    <row r="28" spans="1:11" x14ac:dyDescent="0.2">
      <c r="A28" s="10">
        <v>12</v>
      </c>
      <c r="B28" s="10" t="s">
        <v>239</v>
      </c>
      <c r="C28">
        <v>55</v>
      </c>
      <c r="D28" s="10">
        <f t="shared" si="0"/>
        <v>392.00377257605692</v>
      </c>
      <c r="E28">
        <v>2</v>
      </c>
      <c r="G28" s="10">
        <v>12</v>
      </c>
      <c r="H28" s="10" t="s">
        <v>239</v>
      </c>
      <c r="I28">
        <v>55</v>
      </c>
      <c r="J28" s="11">
        <f t="shared" si="1"/>
        <v>392.00377257605692</v>
      </c>
      <c r="K28" s="11">
        <f t="shared" si="2"/>
        <v>2</v>
      </c>
    </row>
    <row r="29" spans="1:11" x14ac:dyDescent="0.2">
      <c r="A29" s="10">
        <v>12.5</v>
      </c>
      <c r="B29" s="10" t="s">
        <v>482</v>
      </c>
      <c r="C29">
        <v>53</v>
      </c>
      <c r="D29" s="10">
        <f t="shared" si="0"/>
        <v>349.23506143398839</v>
      </c>
      <c r="E29">
        <v>2</v>
      </c>
      <c r="G29" s="10">
        <v>12.5</v>
      </c>
      <c r="H29" s="10" t="s">
        <v>482</v>
      </c>
      <c r="I29">
        <v>53</v>
      </c>
      <c r="J29" s="11">
        <f t="shared" si="1"/>
        <v>349.23506143398839</v>
      </c>
      <c r="K29" s="11">
        <f t="shared" si="2"/>
        <v>2</v>
      </c>
    </row>
    <row r="30" spans="1:11" x14ac:dyDescent="0.2">
      <c r="A30" s="10">
        <v>13</v>
      </c>
      <c r="B30" s="10" t="s">
        <v>481</v>
      </c>
      <c r="C30">
        <v>52</v>
      </c>
      <c r="D30" s="10">
        <f t="shared" si="0"/>
        <v>329.63372180082422</v>
      </c>
      <c r="E30">
        <v>1</v>
      </c>
      <c r="G30" s="10">
        <v>13</v>
      </c>
      <c r="H30" s="10" t="s">
        <v>164</v>
      </c>
      <c r="I30">
        <v>52</v>
      </c>
      <c r="J30" s="11">
        <f t="shared" si="1"/>
        <v>329.63372180082422</v>
      </c>
      <c r="K30" s="11">
        <f t="shared" si="2"/>
        <v>1</v>
      </c>
    </row>
    <row r="31" spans="1:11" x14ac:dyDescent="0.2">
      <c r="A31">
        <v>13.5</v>
      </c>
      <c r="B31" s="10" t="s">
        <v>480</v>
      </c>
      <c r="C31">
        <v>50</v>
      </c>
      <c r="D31" s="10">
        <f t="shared" si="0"/>
        <v>293.66975814369101</v>
      </c>
      <c r="E31">
        <v>2</v>
      </c>
      <c r="G31" s="10">
        <v>13.5</v>
      </c>
      <c r="H31" s="10" t="s">
        <v>480</v>
      </c>
      <c r="I31">
        <v>50</v>
      </c>
      <c r="J31" s="11">
        <f t="shared" si="1"/>
        <v>293.66975814369101</v>
      </c>
      <c r="K31" s="11">
        <f t="shared" si="2"/>
        <v>2</v>
      </c>
    </row>
    <row r="32" spans="1:11" x14ac:dyDescent="0.2">
      <c r="A32">
        <v>14</v>
      </c>
      <c r="B32" s="10" t="s">
        <v>479</v>
      </c>
      <c r="C32">
        <v>48</v>
      </c>
      <c r="D32" s="10">
        <f t="shared" si="0"/>
        <v>261.62956379894968</v>
      </c>
      <c r="E32">
        <v>2</v>
      </c>
      <c r="G32" s="10">
        <v>14</v>
      </c>
      <c r="H32" s="10" t="s">
        <v>479</v>
      </c>
      <c r="I32">
        <v>48</v>
      </c>
      <c r="J32" s="11">
        <f t="shared" si="1"/>
        <v>261.62956379894968</v>
      </c>
      <c r="K32" s="11">
        <f t="shared" si="2"/>
        <v>2</v>
      </c>
    </row>
    <row r="44" spans="13:15" x14ac:dyDescent="0.2">
      <c r="M44" s="11" t="s">
        <v>71</v>
      </c>
      <c r="N44" s="11"/>
      <c r="O44" s="11"/>
    </row>
    <row r="45" spans="13:15" x14ac:dyDescent="0.2">
      <c r="M45" s="11" t="s">
        <v>106</v>
      </c>
      <c r="N45" s="11"/>
      <c r="O45" s="11" t="s">
        <v>107</v>
      </c>
    </row>
    <row r="46" spans="13:15" x14ac:dyDescent="0.2">
      <c r="M46" s="11">
        <f>SUM(E66:E79)</f>
        <v>48</v>
      </c>
      <c r="N46" s="11"/>
      <c r="O46" s="11">
        <f>(32-4)</f>
        <v>28</v>
      </c>
    </row>
    <row r="47" spans="13:15" x14ac:dyDescent="0.2">
      <c r="M47" s="11"/>
      <c r="N47" s="11"/>
      <c r="O47" s="11"/>
    </row>
    <row r="48" spans="13:15" x14ac:dyDescent="0.2">
      <c r="M48" s="11" t="s">
        <v>108</v>
      </c>
      <c r="N48" s="11"/>
      <c r="O48" s="11"/>
    </row>
    <row r="49" spans="1:15" x14ac:dyDescent="0.2">
      <c r="M49" s="11">
        <f>M46/(O46-1)</f>
        <v>1.7777777777777777</v>
      </c>
      <c r="N49" s="11"/>
      <c r="O49" s="11"/>
    </row>
    <row r="50" spans="1:15" x14ac:dyDescent="0.2">
      <c r="M50" s="11"/>
      <c r="N50" s="11"/>
      <c r="O50" s="11"/>
    </row>
    <row r="51" spans="1:15" x14ac:dyDescent="0.2">
      <c r="M51" s="11"/>
      <c r="N51" s="11"/>
      <c r="O51" s="11"/>
    </row>
    <row r="52" spans="1:15" x14ac:dyDescent="0.2">
      <c r="M52" s="11" t="s">
        <v>109</v>
      </c>
      <c r="N52" s="11"/>
      <c r="O52" s="11"/>
    </row>
    <row r="53" spans="1:15" x14ac:dyDescent="0.2">
      <c r="M53" s="11" t="s">
        <v>110</v>
      </c>
      <c r="N53" s="11"/>
      <c r="O53" s="11" t="s">
        <v>111</v>
      </c>
    </row>
    <row r="54" spans="1:15" x14ac:dyDescent="0.2">
      <c r="M54" s="11">
        <f>SUM(K66:K79)</f>
        <v>48</v>
      </c>
      <c r="N54" s="11"/>
      <c r="O54" s="11">
        <v>28</v>
      </c>
    </row>
    <row r="55" spans="1:15" x14ac:dyDescent="0.2">
      <c r="M55" s="11"/>
      <c r="N55" s="11"/>
      <c r="O55" s="11"/>
    </row>
    <row r="56" spans="1:15" x14ac:dyDescent="0.2">
      <c r="M56" s="11" t="s">
        <v>108</v>
      </c>
      <c r="N56" s="11"/>
      <c r="O56" s="11"/>
    </row>
    <row r="57" spans="1:15" x14ac:dyDescent="0.2">
      <c r="M57" s="11">
        <f>M54/(O54-1)</f>
        <v>1.7777777777777777</v>
      </c>
      <c r="N57" s="11"/>
      <c r="O57" s="11"/>
    </row>
    <row r="62" spans="1:15" x14ac:dyDescent="0.2">
      <c r="A62" s="11" t="s">
        <v>416</v>
      </c>
      <c r="B62" s="11" t="s">
        <v>417</v>
      </c>
      <c r="C62" s="11"/>
      <c r="D62" s="11"/>
      <c r="E62" s="11"/>
      <c r="F62" s="11"/>
      <c r="G62" s="11"/>
      <c r="H62" s="11" t="s">
        <v>420</v>
      </c>
      <c r="I62" s="11"/>
      <c r="J62" s="11"/>
      <c r="K62" s="11"/>
      <c r="L62" s="11"/>
      <c r="M62" s="11"/>
      <c r="N62" s="11"/>
      <c r="O62" s="11"/>
    </row>
    <row r="63" spans="1:15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2">
      <c r="A64" s="11" t="s">
        <v>159</v>
      </c>
      <c r="B64" s="11" t="s">
        <v>477</v>
      </c>
      <c r="C64" s="11" t="s">
        <v>418</v>
      </c>
      <c r="D64" s="11" t="s">
        <v>476</v>
      </c>
      <c r="E64" s="11" t="s">
        <v>419</v>
      </c>
      <c r="F64" s="11"/>
      <c r="G64" s="11" t="s">
        <v>159</v>
      </c>
      <c r="H64" s="11" t="s">
        <v>477</v>
      </c>
      <c r="I64" s="11" t="s">
        <v>418</v>
      </c>
      <c r="J64" s="11" t="s">
        <v>476</v>
      </c>
      <c r="K64" s="11" t="s">
        <v>419</v>
      </c>
      <c r="L64" s="11"/>
      <c r="M64" s="11" t="s">
        <v>112</v>
      </c>
    </row>
    <row r="65" spans="1:19" ht="12" customHeight="1" x14ac:dyDescent="0.2">
      <c r="A65" s="11">
        <v>0</v>
      </c>
      <c r="B65" s="11" t="s">
        <v>479</v>
      </c>
      <c r="C65" s="11">
        <v>48</v>
      </c>
      <c r="D65" s="11">
        <f t="shared" ref="D65:D79" si="3">16.35117682*1.059464^C65</f>
        <v>261.62956379894968</v>
      </c>
      <c r="E65" s="11"/>
      <c r="F65" s="11"/>
      <c r="G65" s="11">
        <v>0</v>
      </c>
      <c r="H65" s="11" t="s">
        <v>479</v>
      </c>
      <c r="I65" s="11">
        <v>48</v>
      </c>
      <c r="J65" s="11">
        <f t="shared" ref="J65:J79" si="4">16.35117682*1.059464^I65</f>
        <v>261.62956379894968</v>
      </c>
      <c r="K65" s="11"/>
      <c r="L65" s="11"/>
      <c r="M65" s="11" t="s">
        <v>110</v>
      </c>
      <c r="O65" s="11" t="s">
        <v>107</v>
      </c>
    </row>
    <row r="66" spans="1:19" x14ac:dyDescent="0.2">
      <c r="A66" s="11">
        <v>1</v>
      </c>
      <c r="B66" s="11" t="s">
        <v>481</v>
      </c>
      <c r="C66" s="11">
        <v>52</v>
      </c>
      <c r="D66" s="11">
        <f t="shared" si="3"/>
        <v>329.63372180082422</v>
      </c>
      <c r="E66" s="11">
        <f t="shared" ref="E66:E79" si="5">ABS(C66-C65)</f>
        <v>4</v>
      </c>
      <c r="F66" s="11"/>
      <c r="G66" s="11">
        <v>1</v>
      </c>
      <c r="H66" s="11" t="s">
        <v>164</v>
      </c>
      <c r="I66" s="11">
        <v>51</v>
      </c>
      <c r="J66" s="11">
        <f t="shared" si="4"/>
        <v>311.13253664194741</v>
      </c>
      <c r="K66" s="11">
        <f t="shared" ref="K66:K79" si="6">ABS(I66-I65)</f>
        <v>3</v>
      </c>
      <c r="L66" s="11"/>
      <c r="M66">
        <f>SUM(E66:E79)</f>
        <v>48</v>
      </c>
      <c r="O66">
        <f>79-64</f>
        <v>15</v>
      </c>
    </row>
    <row r="67" spans="1:19" x14ac:dyDescent="0.2">
      <c r="A67" s="11">
        <v>2</v>
      </c>
      <c r="B67" s="11" t="s">
        <v>239</v>
      </c>
      <c r="C67" s="11">
        <v>55</v>
      </c>
      <c r="D67" s="11">
        <f t="shared" si="3"/>
        <v>392.00377257605692</v>
      </c>
      <c r="E67" s="11">
        <f t="shared" si="5"/>
        <v>3</v>
      </c>
      <c r="F67" s="11"/>
      <c r="G67" s="11">
        <v>2</v>
      </c>
      <c r="H67" s="11" t="s">
        <v>239</v>
      </c>
      <c r="I67" s="11">
        <v>55</v>
      </c>
      <c r="J67" s="11">
        <f t="shared" si="4"/>
        <v>392.00377257605692</v>
      </c>
      <c r="K67" s="11">
        <f t="shared" si="6"/>
        <v>4</v>
      </c>
      <c r="L67" s="11"/>
    </row>
    <row r="68" spans="1:19" x14ac:dyDescent="0.2">
      <c r="A68" s="11">
        <v>3</v>
      </c>
      <c r="B68" s="11" t="s">
        <v>244</v>
      </c>
      <c r="C68" s="11">
        <v>59</v>
      </c>
      <c r="D68" s="11">
        <f t="shared" si="3"/>
        <v>493.89549345236594</v>
      </c>
      <c r="E68" s="11">
        <f t="shared" si="5"/>
        <v>4</v>
      </c>
      <c r="F68" s="11"/>
      <c r="G68" s="11">
        <v>3</v>
      </c>
      <c r="H68" s="11" t="s">
        <v>244</v>
      </c>
      <c r="I68" s="11">
        <v>59</v>
      </c>
      <c r="J68" s="11">
        <f t="shared" si="4"/>
        <v>493.89549345236594</v>
      </c>
      <c r="K68" s="11">
        <f t="shared" si="6"/>
        <v>4</v>
      </c>
      <c r="L68" s="11"/>
      <c r="M68" s="11" t="s">
        <v>108</v>
      </c>
    </row>
    <row r="69" spans="1:19" x14ac:dyDescent="0.2">
      <c r="A69" s="11">
        <v>4</v>
      </c>
      <c r="B69" s="11" t="s">
        <v>242</v>
      </c>
      <c r="C69" s="11">
        <v>62</v>
      </c>
      <c r="D69" s="11">
        <f t="shared" si="3"/>
        <v>587.34554108704231</v>
      </c>
      <c r="E69" s="11">
        <f t="shared" si="5"/>
        <v>3</v>
      </c>
      <c r="F69" s="11"/>
      <c r="G69" s="11">
        <v>4</v>
      </c>
      <c r="H69" s="11" t="s">
        <v>242</v>
      </c>
      <c r="I69" s="11">
        <v>62</v>
      </c>
      <c r="J69" s="11">
        <f t="shared" si="4"/>
        <v>587.34554108704231</v>
      </c>
      <c r="K69" s="11">
        <f t="shared" si="6"/>
        <v>3</v>
      </c>
      <c r="L69" s="11"/>
      <c r="M69">
        <f>M66/(O66-1)</f>
        <v>3.4285714285714284</v>
      </c>
    </row>
    <row r="70" spans="1:19" x14ac:dyDescent="0.2">
      <c r="A70" s="11">
        <v>5</v>
      </c>
      <c r="B70" s="11" t="s">
        <v>246</v>
      </c>
      <c r="C70" s="11">
        <v>65</v>
      </c>
      <c r="D70" s="11">
        <f t="shared" si="3"/>
        <v>698.47728762097279</v>
      </c>
      <c r="E70" s="11">
        <f t="shared" si="5"/>
        <v>3</v>
      </c>
      <c r="F70" s="11"/>
      <c r="G70" s="11">
        <v>5</v>
      </c>
      <c r="H70" s="11" t="s">
        <v>246</v>
      </c>
      <c r="I70" s="11">
        <v>65</v>
      </c>
      <c r="J70" s="11">
        <f t="shared" si="4"/>
        <v>698.47728762097279</v>
      </c>
      <c r="K70" s="11">
        <f t="shared" si="6"/>
        <v>3</v>
      </c>
      <c r="L70" s="11"/>
    </row>
    <row r="71" spans="1:19" x14ac:dyDescent="0.2">
      <c r="A71" s="11">
        <v>6</v>
      </c>
      <c r="B71" s="11" t="s">
        <v>256</v>
      </c>
      <c r="C71" s="11">
        <v>69</v>
      </c>
      <c r="D71" s="11">
        <f t="shared" si="3"/>
        <v>880.02924657542201</v>
      </c>
      <c r="E71" s="11">
        <f t="shared" si="5"/>
        <v>4</v>
      </c>
      <c r="F71" s="11"/>
      <c r="G71" s="11">
        <v>6</v>
      </c>
      <c r="H71" s="11" t="s">
        <v>422</v>
      </c>
      <c r="I71" s="11">
        <v>68</v>
      </c>
      <c r="J71" s="11">
        <f t="shared" si="4"/>
        <v>830.63629021412908</v>
      </c>
      <c r="K71" s="11">
        <f t="shared" si="6"/>
        <v>3</v>
      </c>
      <c r="L71" s="11"/>
    </row>
    <row r="72" spans="1:19" x14ac:dyDescent="0.2">
      <c r="A72" s="11">
        <v>7</v>
      </c>
      <c r="B72" s="11" t="s">
        <v>410</v>
      </c>
      <c r="C72" s="11">
        <v>72</v>
      </c>
      <c r="D72" s="11">
        <f t="shared" si="3"/>
        <v>1046.5397252143878</v>
      </c>
      <c r="E72" s="11">
        <f t="shared" si="5"/>
        <v>3</v>
      </c>
      <c r="F72" s="11"/>
      <c r="G72" s="11">
        <v>7</v>
      </c>
      <c r="H72" s="11" t="s">
        <v>410</v>
      </c>
      <c r="I72" s="11">
        <v>72</v>
      </c>
      <c r="J72" s="11">
        <f t="shared" si="4"/>
        <v>1046.5397252143878</v>
      </c>
      <c r="K72" s="11">
        <f t="shared" si="6"/>
        <v>4</v>
      </c>
      <c r="L72" s="11"/>
    </row>
    <row r="73" spans="1:19" x14ac:dyDescent="0.2">
      <c r="A73" s="11">
        <v>8</v>
      </c>
      <c r="B73" s="11" t="s">
        <v>256</v>
      </c>
      <c r="C73" s="11">
        <v>69</v>
      </c>
      <c r="D73" s="11">
        <f t="shared" si="3"/>
        <v>880.02924657542201</v>
      </c>
      <c r="E73" s="11">
        <f t="shared" si="5"/>
        <v>3</v>
      </c>
      <c r="F73" s="11"/>
      <c r="G73" s="11">
        <v>8</v>
      </c>
      <c r="H73" s="11" t="s">
        <v>422</v>
      </c>
      <c r="I73" s="11">
        <v>68</v>
      </c>
      <c r="J73" s="11">
        <f t="shared" si="4"/>
        <v>830.63629021412908</v>
      </c>
      <c r="K73" s="11">
        <f t="shared" si="6"/>
        <v>4</v>
      </c>
      <c r="L73" s="11"/>
    </row>
    <row r="74" spans="1:19" x14ac:dyDescent="0.2">
      <c r="A74" s="11">
        <v>9</v>
      </c>
      <c r="B74" s="11" t="s">
        <v>246</v>
      </c>
      <c r="C74" s="11">
        <v>65</v>
      </c>
      <c r="D74" s="11">
        <f t="shared" si="3"/>
        <v>698.47728762097279</v>
      </c>
      <c r="E74" s="11">
        <f t="shared" si="5"/>
        <v>4</v>
      </c>
      <c r="F74" s="11"/>
      <c r="G74" s="11">
        <v>9</v>
      </c>
      <c r="H74" s="11" t="s">
        <v>246</v>
      </c>
      <c r="I74" s="11">
        <v>65</v>
      </c>
      <c r="J74" s="11">
        <f t="shared" si="4"/>
        <v>698.47728762097279</v>
      </c>
      <c r="K74" s="11">
        <f t="shared" si="6"/>
        <v>3</v>
      </c>
      <c r="L74" s="11"/>
    </row>
    <row r="75" spans="1:19" x14ac:dyDescent="0.2">
      <c r="A75" s="11">
        <v>10</v>
      </c>
      <c r="B75" s="11" t="s">
        <v>242</v>
      </c>
      <c r="C75" s="11">
        <v>62</v>
      </c>
      <c r="D75" s="11">
        <f t="shared" si="3"/>
        <v>587.34554108704231</v>
      </c>
      <c r="E75" s="11">
        <f t="shared" si="5"/>
        <v>3</v>
      </c>
      <c r="F75" s="11"/>
      <c r="G75" s="11">
        <v>10</v>
      </c>
      <c r="H75" s="11" t="s">
        <v>242</v>
      </c>
      <c r="I75" s="11">
        <v>62</v>
      </c>
      <c r="J75" s="11">
        <f t="shared" si="4"/>
        <v>587.34554108704231</v>
      </c>
      <c r="K75" s="11">
        <f t="shared" si="6"/>
        <v>3</v>
      </c>
      <c r="L75" s="11"/>
      <c r="Q75" s="11" t="s">
        <v>112</v>
      </c>
      <c r="R75" s="11"/>
      <c r="S75" s="11"/>
    </row>
    <row r="76" spans="1:19" x14ac:dyDescent="0.2">
      <c r="A76" s="11">
        <v>11</v>
      </c>
      <c r="B76" s="11" t="s">
        <v>244</v>
      </c>
      <c r="C76" s="11">
        <v>59</v>
      </c>
      <c r="D76" s="11">
        <f t="shared" si="3"/>
        <v>493.89549345236594</v>
      </c>
      <c r="E76" s="11">
        <f t="shared" si="5"/>
        <v>3</v>
      </c>
      <c r="F76" s="11"/>
      <c r="G76" s="11">
        <v>11</v>
      </c>
      <c r="H76" s="11" t="s">
        <v>244</v>
      </c>
      <c r="I76" s="11">
        <v>59</v>
      </c>
      <c r="J76" s="11">
        <f t="shared" si="4"/>
        <v>493.89549345236594</v>
      </c>
      <c r="K76" s="11">
        <f t="shared" si="6"/>
        <v>3</v>
      </c>
      <c r="L76" s="11"/>
      <c r="M76" s="11"/>
      <c r="N76" s="11"/>
      <c r="O76" s="11"/>
      <c r="Q76" s="11" t="s">
        <v>110</v>
      </c>
      <c r="R76" s="11"/>
      <c r="S76" s="11" t="s">
        <v>107</v>
      </c>
    </row>
    <row r="77" spans="1:19" x14ac:dyDescent="0.2">
      <c r="A77" s="11">
        <v>12</v>
      </c>
      <c r="B77" s="11" t="s">
        <v>239</v>
      </c>
      <c r="C77" s="11">
        <v>55</v>
      </c>
      <c r="D77" s="11">
        <f t="shared" si="3"/>
        <v>392.00377257605692</v>
      </c>
      <c r="E77" s="11">
        <f t="shared" si="5"/>
        <v>4</v>
      </c>
      <c r="F77" s="11"/>
      <c r="G77" s="11">
        <v>12</v>
      </c>
      <c r="H77" s="11" t="s">
        <v>239</v>
      </c>
      <c r="I77" s="11">
        <v>55</v>
      </c>
      <c r="J77" s="11">
        <f t="shared" si="4"/>
        <v>392.00377257605692</v>
      </c>
      <c r="K77" s="11">
        <f t="shared" si="6"/>
        <v>4</v>
      </c>
      <c r="L77" s="11"/>
      <c r="M77" s="11"/>
      <c r="N77" s="11"/>
      <c r="O77" s="11"/>
      <c r="Q77" s="11">
        <f>SUM(E87:E93)</f>
        <v>42</v>
      </c>
      <c r="R77" s="11"/>
      <c r="S77" s="11">
        <f>79-64</f>
        <v>15</v>
      </c>
    </row>
    <row r="78" spans="1:19" x14ac:dyDescent="0.2">
      <c r="A78" s="11">
        <v>13</v>
      </c>
      <c r="B78" s="11" t="s">
        <v>481</v>
      </c>
      <c r="C78" s="11">
        <v>52</v>
      </c>
      <c r="D78" s="11">
        <f t="shared" si="3"/>
        <v>329.63372180082422</v>
      </c>
      <c r="E78" s="11">
        <f t="shared" si="5"/>
        <v>3</v>
      </c>
      <c r="F78" s="11"/>
      <c r="G78" s="11">
        <v>13</v>
      </c>
      <c r="H78" s="11" t="s">
        <v>164</v>
      </c>
      <c r="I78" s="11">
        <v>52</v>
      </c>
      <c r="J78" s="11">
        <f t="shared" si="4"/>
        <v>329.63372180082422</v>
      </c>
      <c r="K78" s="11">
        <f t="shared" si="6"/>
        <v>3</v>
      </c>
      <c r="L78" s="11"/>
      <c r="M78" s="11"/>
      <c r="N78" s="11"/>
      <c r="O78" s="11"/>
      <c r="Q78" s="11"/>
      <c r="R78" s="11"/>
      <c r="S78" s="11"/>
    </row>
    <row r="79" spans="1:19" x14ac:dyDescent="0.2">
      <c r="A79" s="11">
        <v>14</v>
      </c>
      <c r="B79" s="11" t="s">
        <v>479</v>
      </c>
      <c r="C79" s="11">
        <v>48</v>
      </c>
      <c r="D79" s="11">
        <f t="shared" si="3"/>
        <v>261.62956379894968</v>
      </c>
      <c r="E79" s="11">
        <f t="shared" si="5"/>
        <v>4</v>
      </c>
      <c r="F79" s="11"/>
      <c r="G79" s="11">
        <v>14</v>
      </c>
      <c r="H79" s="11" t="s">
        <v>479</v>
      </c>
      <c r="I79" s="11">
        <v>48</v>
      </c>
      <c r="J79" s="11">
        <f t="shared" si="4"/>
        <v>261.62956379894968</v>
      </c>
      <c r="K79" s="11">
        <f t="shared" si="6"/>
        <v>4</v>
      </c>
      <c r="L79" s="11"/>
      <c r="M79" s="11"/>
      <c r="N79" s="11"/>
      <c r="O79" s="11"/>
      <c r="Q79" s="11" t="s">
        <v>108</v>
      </c>
      <c r="R79" s="11"/>
      <c r="S79" s="11"/>
    </row>
    <row r="80" spans="1:19" x14ac:dyDescent="0.2">
      <c r="L80" s="11"/>
      <c r="M80" s="11"/>
      <c r="N80" s="11"/>
      <c r="O80" s="11"/>
      <c r="Q80" s="11">
        <f>Q77/(S77-1)</f>
        <v>3</v>
      </c>
      <c r="R80" s="11"/>
      <c r="S80" s="11"/>
    </row>
    <row r="81" spans="1:15" x14ac:dyDescent="0.2">
      <c r="L81" s="11"/>
      <c r="M81" s="11"/>
      <c r="N81" s="11"/>
      <c r="O81" s="11"/>
    </row>
    <row r="82" spans="1:15" x14ac:dyDescent="0.2">
      <c r="L82" s="11"/>
      <c r="M82" s="11"/>
      <c r="N82" s="11"/>
      <c r="O82" s="11"/>
    </row>
    <row r="83" spans="1:15" x14ac:dyDescent="0.2">
      <c r="A83" s="11" t="s">
        <v>416</v>
      </c>
      <c r="B83" s="11" t="s">
        <v>417</v>
      </c>
      <c r="C83" s="11"/>
      <c r="D83" s="11"/>
      <c r="E83" s="11"/>
      <c r="F83" s="11"/>
      <c r="G83" s="11"/>
      <c r="H83" s="11" t="s">
        <v>420</v>
      </c>
      <c r="I83" s="11"/>
      <c r="J83" s="11"/>
      <c r="K83" s="11"/>
      <c r="L83" s="11"/>
      <c r="M83" s="11"/>
      <c r="N83" s="11"/>
      <c r="O83" s="11"/>
    </row>
    <row r="84" spans="1:15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 t="s">
        <v>113</v>
      </c>
      <c r="N84" s="11"/>
      <c r="O84" s="11"/>
    </row>
    <row r="85" spans="1:15" x14ac:dyDescent="0.2">
      <c r="A85" s="11" t="s">
        <v>159</v>
      </c>
      <c r="B85" s="11" t="s">
        <v>477</v>
      </c>
      <c r="C85" s="11" t="s">
        <v>418</v>
      </c>
      <c r="D85" s="11" t="s">
        <v>476</v>
      </c>
      <c r="E85" s="11" t="s">
        <v>419</v>
      </c>
      <c r="F85" s="11"/>
      <c r="G85" s="11" t="s">
        <v>159</v>
      </c>
      <c r="H85" s="11" t="s">
        <v>477</v>
      </c>
      <c r="I85" s="11" t="s">
        <v>418</v>
      </c>
      <c r="J85" s="11" t="s">
        <v>476</v>
      </c>
      <c r="K85" s="11" t="s">
        <v>419</v>
      </c>
      <c r="L85" s="11"/>
      <c r="M85" s="11" t="s">
        <v>110</v>
      </c>
      <c r="O85" s="11" t="s">
        <v>107</v>
      </c>
    </row>
    <row r="86" spans="1:15" x14ac:dyDescent="0.2">
      <c r="A86" s="11">
        <v>0</v>
      </c>
      <c r="B86" s="11" t="s">
        <v>479</v>
      </c>
      <c r="C86" s="11">
        <v>48</v>
      </c>
      <c r="D86" s="11">
        <f t="shared" ref="D86:D93" si="7">16.35117682*1.059464^C86</f>
        <v>261.62956379894968</v>
      </c>
      <c r="E86" s="11"/>
      <c r="F86" s="11"/>
      <c r="G86" s="11">
        <v>0</v>
      </c>
      <c r="H86" s="11" t="s">
        <v>479</v>
      </c>
      <c r="I86" s="11">
        <v>48</v>
      </c>
      <c r="J86" s="11">
        <f t="shared" ref="J86:J93" si="8">16.35117682*1.059464^I86</f>
        <v>261.62956379894968</v>
      </c>
      <c r="K86" s="11"/>
      <c r="L86" s="11"/>
      <c r="M86">
        <f>SUM(E87:E93)</f>
        <v>42</v>
      </c>
      <c r="O86">
        <f>93-86</f>
        <v>7</v>
      </c>
    </row>
    <row r="87" spans="1:15" x14ac:dyDescent="0.2">
      <c r="A87" s="11">
        <v>2</v>
      </c>
      <c r="B87" s="11" t="s">
        <v>239</v>
      </c>
      <c r="C87" s="11">
        <v>55</v>
      </c>
      <c r="D87" s="11">
        <f t="shared" si="7"/>
        <v>392.00377257605692</v>
      </c>
      <c r="E87" s="11">
        <f t="shared" ref="E87:E93" si="9">ABS(C87-C86)</f>
        <v>7</v>
      </c>
      <c r="F87" s="11"/>
      <c r="G87" s="11">
        <v>2</v>
      </c>
      <c r="H87" s="11" t="s">
        <v>239</v>
      </c>
      <c r="I87" s="11">
        <v>55</v>
      </c>
      <c r="J87" s="11">
        <f t="shared" si="8"/>
        <v>392.00377257605692</v>
      </c>
      <c r="K87" s="11">
        <f t="shared" ref="K87:K93" si="10">ABS(I87-I86)</f>
        <v>7</v>
      </c>
      <c r="L87" s="11"/>
    </row>
    <row r="88" spans="1:15" x14ac:dyDescent="0.2">
      <c r="A88" s="11">
        <v>4</v>
      </c>
      <c r="B88" s="11" t="s">
        <v>242</v>
      </c>
      <c r="C88" s="11">
        <v>62</v>
      </c>
      <c r="D88" s="11">
        <f t="shared" si="7"/>
        <v>587.34554108704231</v>
      </c>
      <c r="E88" s="11">
        <f t="shared" si="9"/>
        <v>7</v>
      </c>
      <c r="F88" s="11"/>
      <c r="G88" s="11">
        <v>4</v>
      </c>
      <c r="H88" s="11" t="s">
        <v>242</v>
      </c>
      <c r="I88" s="11">
        <v>62</v>
      </c>
      <c r="J88" s="11">
        <f t="shared" si="8"/>
        <v>587.34554108704231</v>
      </c>
      <c r="K88" s="11">
        <f t="shared" si="10"/>
        <v>7</v>
      </c>
      <c r="L88" s="11"/>
      <c r="M88" s="11" t="s">
        <v>108</v>
      </c>
    </row>
    <row r="89" spans="1:15" x14ac:dyDescent="0.2">
      <c r="A89" s="11">
        <v>6</v>
      </c>
      <c r="B89" s="11" t="s">
        <v>256</v>
      </c>
      <c r="C89" s="11">
        <v>69</v>
      </c>
      <c r="D89" s="11">
        <f t="shared" si="7"/>
        <v>880.02924657542201</v>
      </c>
      <c r="E89" s="11">
        <f t="shared" si="9"/>
        <v>7</v>
      </c>
      <c r="F89" s="11"/>
      <c r="G89" s="11">
        <v>6</v>
      </c>
      <c r="H89" s="11" t="s">
        <v>422</v>
      </c>
      <c r="I89" s="11">
        <v>68</v>
      </c>
      <c r="J89" s="11">
        <f t="shared" si="8"/>
        <v>830.63629021412908</v>
      </c>
      <c r="K89" s="11">
        <f t="shared" si="10"/>
        <v>6</v>
      </c>
      <c r="L89" s="11"/>
      <c r="M89" s="11">
        <f>M86/(O86-1)</f>
        <v>7</v>
      </c>
      <c r="N89" s="11"/>
      <c r="O89" s="11"/>
    </row>
    <row r="90" spans="1:15" x14ac:dyDescent="0.2">
      <c r="A90" s="11">
        <v>8</v>
      </c>
      <c r="B90" s="11" t="s">
        <v>256</v>
      </c>
      <c r="C90" s="11">
        <v>69</v>
      </c>
      <c r="D90" s="11">
        <f t="shared" si="7"/>
        <v>880.02924657542201</v>
      </c>
      <c r="E90" s="11">
        <f t="shared" si="9"/>
        <v>0</v>
      </c>
      <c r="F90" s="11"/>
      <c r="G90" s="11">
        <v>8</v>
      </c>
      <c r="H90" s="11" t="s">
        <v>422</v>
      </c>
      <c r="I90" s="11">
        <v>68</v>
      </c>
      <c r="J90" s="11">
        <f t="shared" si="8"/>
        <v>830.63629021412908</v>
      </c>
      <c r="K90" s="11">
        <f t="shared" si="10"/>
        <v>0</v>
      </c>
      <c r="L90" s="11"/>
      <c r="M90" s="11"/>
      <c r="N90" s="11"/>
      <c r="O90" s="11"/>
    </row>
    <row r="91" spans="1:15" x14ac:dyDescent="0.2">
      <c r="A91" s="11">
        <v>10</v>
      </c>
      <c r="B91" s="11" t="s">
        <v>242</v>
      </c>
      <c r="C91" s="11">
        <v>62</v>
      </c>
      <c r="D91" s="11">
        <f t="shared" si="7"/>
        <v>587.34554108704231</v>
      </c>
      <c r="E91" s="11">
        <f t="shared" si="9"/>
        <v>7</v>
      </c>
      <c r="F91" s="11"/>
      <c r="G91" s="11">
        <v>10</v>
      </c>
      <c r="H91" s="11" t="s">
        <v>242</v>
      </c>
      <c r="I91" s="11">
        <v>62</v>
      </c>
      <c r="J91" s="11">
        <f t="shared" si="8"/>
        <v>587.34554108704231</v>
      </c>
      <c r="K91" s="11">
        <f t="shared" si="10"/>
        <v>6</v>
      </c>
      <c r="L91" s="11"/>
      <c r="M91" s="11"/>
      <c r="N91" s="11"/>
      <c r="O91" s="11"/>
    </row>
    <row r="92" spans="1:15" x14ac:dyDescent="0.2">
      <c r="A92" s="11">
        <v>12</v>
      </c>
      <c r="B92" s="11" t="s">
        <v>239</v>
      </c>
      <c r="C92" s="11">
        <v>55</v>
      </c>
      <c r="D92" s="11">
        <f t="shared" si="7"/>
        <v>392.00377257605692</v>
      </c>
      <c r="E92" s="11">
        <f t="shared" si="9"/>
        <v>7</v>
      </c>
      <c r="F92" s="11"/>
      <c r="G92" s="11">
        <v>12</v>
      </c>
      <c r="H92" s="11" t="s">
        <v>239</v>
      </c>
      <c r="I92" s="11">
        <v>55</v>
      </c>
      <c r="J92" s="11">
        <f t="shared" si="8"/>
        <v>392.00377257605692</v>
      </c>
      <c r="K92" s="11">
        <f t="shared" si="10"/>
        <v>7</v>
      </c>
      <c r="L92" s="11"/>
      <c r="M92" s="11"/>
      <c r="N92" s="11"/>
      <c r="O92" s="11"/>
    </row>
    <row r="93" spans="1:15" x14ac:dyDescent="0.2">
      <c r="A93" s="11">
        <v>14</v>
      </c>
      <c r="B93" s="11" t="s">
        <v>479</v>
      </c>
      <c r="C93" s="11">
        <v>48</v>
      </c>
      <c r="D93" s="11">
        <f t="shared" si="7"/>
        <v>261.62956379894968</v>
      </c>
      <c r="E93" s="11">
        <f t="shared" si="9"/>
        <v>7</v>
      </c>
      <c r="F93" s="11"/>
      <c r="G93" s="11">
        <v>14</v>
      </c>
      <c r="H93" s="11" t="s">
        <v>479</v>
      </c>
      <c r="I93" s="11">
        <v>48</v>
      </c>
      <c r="J93" s="11">
        <f t="shared" si="8"/>
        <v>261.62956379894968</v>
      </c>
      <c r="K93" s="11">
        <f t="shared" si="10"/>
        <v>7</v>
      </c>
      <c r="L93" s="11"/>
      <c r="M93" s="11"/>
      <c r="N93" s="11"/>
      <c r="O93" s="11"/>
    </row>
    <row r="94" spans="1:15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x14ac:dyDescent="0.2">
      <c r="A95" s="11" t="s">
        <v>416</v>
      </c>
      <c r="B95" s="11" t="s">
        <v>417</v>
      </c>
      <c r="C95" s="11"/>
      <c r="D95" s="11"/>
      <c r="E95" s="11"/>
      <c r="F95" s="11"/>
      <c r="G95" s="11"/>
      <c r="H95" s="11" t="s">
        <v>420</v>
      </c>
      <c r="I95" s="11"/>
      <c r="J95" s="11"/>
      <c r="K95" s="11"/>
      <c r="L95" s="11"/>
      <c r="M95" s="11"/>
      <c r="N95" s="11"/>
      <c r="O95" s="11"/>
    </row>
    <row r="96" spans="1:15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7" x14ac:dyDescent="0.2">
      <c r="A97" s="11" t="s">
        <v>159</v>
      </c>
      <c r="B97" s="11" t="s">
        <v>477</v>
      </c>
      <c r="C97" s="11" t="s">
        <v>418</v>
      </c>
      <c r="D97" s="11" t="s">
        <v>476</v>
      </c>
      <c r="E97" s="11" t="s">
        <v>419</v>
      </c>
      <c r="F97" s="11"/>
      <c r="G97" s="11" t="s">
        <v>159</v>
      </c>
      <c r="H97" s="11" t="s">
        <v>477</v>
      </c>
      <c r="I97" s="11" t="s">
        <v>418</v>
      </c>
      <c r="J97" s="11" t="s">
        <v>476</v>
      </c>
      <c r="K97" s="11" t="s">
        <v>419</v>
      </c>
      <c r="L97" s="11"/>
      <c r="M97" s="11" t="s">
        <v>113</v>
      </c>
    </row>
    <row r="98" spans="1:17" x14ac:dyDescent="0.2">
      <c r="A98" s="11">
        <v>0</v>
      </c>
      <c r="B98" s="11" t="s">
        <v>479</v>
      </c>
      <c r="C98" s="11">
        <v>48</v>
      </c>
      <c r="D98" s="11">
        <f t="shared" ref="D98:D101" si="11">16.35117682*1.059464^C98</f>
        <v>261.62956379894968</v>
      </c>
      <c r="E98" s="11"/>
      <c r="F98" s="11"/>
      <c r="G98" s="11">
        <v>0</v>
      </c>
      <c r="H98" s="11" t="s">
        <v>479</v>
      </c>
      <c r="I98" s="11">
        <v>48</v>
      </c>
      <c r="J98" s="11">
        <f t="shared" ref="J98:J101" si="12">16.35117682*1.059464^I98</f>
        <v>261.62956379894968</v>
      </c>
      <c r="K98" s="11"/>
      <c r="L98" s="11"/>
      <c r="M98" s="11" t="s">
        <v>39</v>
      </c>
    </row>
    <row r="99" spans="1:17" x14ac:dyDescent="0.2">
      <c r="A99" s="11">
        <v>4</v>
      </c>
      <c r="B99" s="11" t="s">
        <v>242</v>
      </c>
      <c r="C99" s="11">
        <v>62</v>
      </c>
      <c r="D99" s="11">
        <f t="shared" si="11"/>
        <v>587.34554108704231</v>
      </c>
      <c r="E99" s="11">
        <f>ABS(C99-C98)</f>
        <v>14</v>
      </c>
      <c r="F99" s="11"/>
      <c r="G99" s="11">
        <v>4</v>
      </c>
      <c r="H99" s="11" t="s">
        <v>242</v>
      </c>
      <c r="I99" s="11">
        <v>62</v>
      </c>
      <c r="J99" s="11">
        <f t="shared" si="12"/>
        <v>587.34554108704231</v>
      </c>
      <c r="K99" s="11" t="e">
        <f>ABS(I99-#REF!)</f>
        <v>#REF!</v>
      </c>
      <c r="L99" s="11"/>
      <c r="M99">
        <f>SUM(E99:E101)</f>
        <v>35</v>
      </c>
      <c r="O99">
        <v>4</v>
      </c>
    </row>
    <row r="100" spans="1:17" x14ac:dyDescent="0.2">
      <c r="A100" s="11">
        <v>8</v>
      </c>
      <c r="B100" s="11" t="s">
        <v>256</v>
      </c>
      <c r="C100" s="11">
        <v>69</v>
      </c>
      <c r="D100" s="11">
        <f t="shared" si="11"/>
        <v>880.02924657542201</v>
      </c>
      <c r="E100" s="11">
        <f>ABS(C100-C99)</f>
        <v>7</v>
      </c>
      <c r="F100" s="11"/>
      <c r="G100" s="11">
        <v>8</v>
      </c>
      <c r="H100" s="11" t="s">
        <v>422</v>
      </c>
      <c r="I100" s="11">
        <v>68</v>
      </c>
      <c r="J100" s="11">
        <f t="shared" si="12"/>
        <v>830.63629021412908</v>
      </c>
      <c r="K100" s="11" t="e">
        <f>ABS(I100-#REF!)</f>
        <v>#REF!</v>
      </c>
      <c r="L100" s="11"/>
    </row>
    <row r="101" spans="1:17" x14ac:dyDescent="0.2">
      <c r="A101" s="11">
        <v>12</v>
      </c>
      <c r="B101" s="11" t="s">
        <v>239</v>
      </c>
      <c r="C101" s="11">
        <v>55</v>
      </c>
      <c r="D101" s="11">
        <f t="shared" si="11"/>
        <v>392.00377257605692</v>
      </c>
      <c r="E101" s="11">
        <f>ABS(C101-C100)</f>
        <v>14</v>
      </c>
      <c r="F101" s="11"/>
      <c r="G101" s="11">
        <v>12</v>
      </c>
      <c r="H101" s="11" t="s">
        <v>239</v>
      </c>
      <c r="I101" s="11">
        <v>55</v>
      </c>
      <c r="J101" s="11">
        <f t="shared" si="12"/>
        <v>392.00377257605692</v>
      </c>
      <c r="K101" s="11" t="e">
        <f>ABS(I101-#REF!)</f>
        <v>#REF!</v>
      </c>
      <c r="L101" s="11"/>
      <c r="M101" s="11" t="s">
        <v>40</v>
      </c>
    </row>
    <row r="102" spans="1:17" x14ac:dyDescent="0.2">
      <c r="M102">
        <f>M99/3</f>
        <v>11.666666666666666</v>
      </c>
    </row>
    <row r="108" spans="1:17" x14ac:dyDescent="0.2">
      <c r="M108" s="11" t="s">
        <v>113</v>
      </c>
      <c r="O108" s="11" t="s">
        <v>41</v>
      </c>
    </row>
    <row r="109" spans="1:17" x14ac:dyDescent="0.2">
      <c r="M109">
        <v>0</v>
      </c>
      <c r="N109">
        <f>M5</f>
        <v>48</v>
      </c>
      <c r="O109" s="11" t="s">
        <v>42</v>
      </c>
      <c r="P109">
        <v>0</v>
      </c>
      <c r="Q109">
        <v>50</v>
      </c>
    </row>
    <row r="110" spans="1:17" ht="14.25" x14ac:dyDescent="0.2">
      <c r="M110">
        <v>1</v>
      </c>
      <c r="N110">
        <f>M66</f>
        <v>48</v>
      </c>
      <c r="O110" s="11" t="s">
        <v>43</v>
      </c>
      <c r="P110">
        <v>1</v>
      </c>
      <c r="Q110">
        <v>45.5</v>
      </c>
    </row>
    <row r="111" spans="1:17" x14ac:dyDescent="0.2">
      <c r="M111">
        <v>2</v>
      </c>
      <c r="N111">
        <f>M86</f>
        <v>42</v>
      </c>
      <c r="P111">
        <v>2</v>
      </c>
      <c r="Q111">
        <v>41</v>
      </c>
    </row>
    <row r="112" spans="1:17" x14ac:dyDescent="0.2">
      <c r="M112">
        <v>3</v>
      </c>
      <c r="N112">
        <f>M99</f>
        <v>35</v>
      </c>
      <c r="P112">
        <v>3</v>
      </c>
      <c r="Q112">
        <v>36.5</v>
      </c>
    </row>
  </sheetData>
  <phoneticPr fontId="22" type="noConversion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B12" sqref="B12"/>
    </sheetView>
  </sheetViews>
  <sheetFormatPr defaultColWidth="8.85546875" defaultRowHeight="12.75" x14ac:dyDescent="0.2"/>
  <sheetData>
    <row r="1" spans="1:5" x14ac:dyDescent="0.2">
      <c r="A1" s="13" t="s">
        <v>122</v>
      </c>
    </row>
    <row r="3" spans="1:5" x14ac:dyDescent="0.2">
      <c r="A3" s="13" t="s">
        <v>258</v>
      </c>
    </row>
    <row r="4" spans="1:5" x14ac:dyDescent="0.2">
      <c r="A4" s="13" t="s">
        <v>123</v>
      </c>
      <c r="B4" s="13" t="s">
        <v>124</v>
      </c>
      <c r="C4" s="13" t="s">
        <v>125</v>
      </c>
      <c r="D4" s="13" t="s">
        <v>160</v>
      </c>
      <c r="E4" s="13" t="s">
        <v>126</v>
      </c>
    </row>
    <row r="5" spans="1:5" x14ac:dyDescent="0.2">
      <c r="A5">
        <v>0</v>
      </c>
      <c r="B5" s="13" t="s">
        <v>127</v>
      </c>
    </row>
    <row r="6" spans="1:5" x14ac:dyDescent="0.2">
      <c r="A6">
        <v>0.25</v>
      </c>
      <c r="B6" s="13" t="s">
        <v>128</v>
      </c>
    </row>
    <row r="7" spans="1:5" x14ac:dyDescent="0.2">
      <c r="A7">
        <v>0.5</v>
      </c>
      <c r="B7" s="13" t="s">
        <v>129</v>
      </c>
    </row>
    <row r="8" spans="1:5" x14ac:dyDescent="0.2">
      <c r="A8">
        <v>1</v>
      </c>
      <c r="B8" s="13" t="s">
        <v>130</v>
      </c>
    </row>
    <row r="9" spans="1:5" x14ac:dyDescent="0.2">
      <c r="A9">
        <v>1.25</v>
      </c>
      <c r="B9" s="13" t="s">
        <v>130</v>
      </c>
    </row>
    <row r="10" spans="1:5" x14ac:dyDescent="0.2">
      <c r="A10" s="13">
        <v>2</v>
      </c>
      <c r="B10" s="13" t="s">
        <v>127</v>
      </c>
    </row>
    <row r="11" spans="1:5" x14ac:dyDescent="0.2">
      <c r="A11" s="13">
        <v>2.25</v>
      </c>
      <c r="B11" s="13" t="s">
        <v>128</v>
      </c>
    </row>
    <row r="12" spans="1:5" x14ac:dyDescent="0.2">
      <c r="A12" s="13">
        <v>2.5</v>
      </c>
      <c r="B12" s="13" t="s">
        <v>129</v>
      </c>
    </row>
    <row r="13" spans="1:5" x14ac:dyDescent="0.2">
      <c r="A13">
        <v>3</v>
      </c>
      <c r="B13" s="13" t="s">
        <v>131</v>
      </c>
    </row>
    <row r="14" spans="1:5" x14ac:dyDescent="0.2">
      <c r="A14">
        <v>3.25</v>
      </c>
      <c r="B14" s="13" t="s">
        <v>131</v>
      </c>
    </row>
    <row r="15" spans="1:5" x14ac:dyDescent="0.2">
      <c r="A15">
        <v>12</v>
      </c>
      <c r="B15" s="13" t="s">
        <v>132</v>
      </c>
    </row>
    <row r="16" spans="1:5" x14ac:dyDescent="0.2">
      <c r="A16">
        <v>12.25</v>
      </c>
      <c r="B16" s="13" t="s">
        <v>133</v>
      </c>
    </row>
    <row r="17" spans="1:2" x14ac:dyDescent="0.2">
      <c r="A17">
        <v>12.5</v>
      </c>
      <c r="B17" s="13" t="s">
        <v>295</v>
      </c>
    </row>
    <row r="18" spans="1:2" x14ac:dyDescent="0.2">
      <c r="A18">
        <v>13</v>
      </c>
      <c r="B18" s="13" t="s">
        <v>134</v>
      </c>
    </row>
    <row r="19" spans="1:2" x14ac:dyDescent="0.2">
      <c r="A19">
        <v>13.25</v>
      </c>
      <c r="B19" s="13" t="s">
        <v>134</v>
      </c>
    </row>
    <row r="20" spans="1:2" x14ac:dyDescent="0.2">
      <c r="A20">
        <v>14</v>
      </c>
      <c r="B20" s="13" t="s">
        <v>132</v>
      </c>
    </row>
    <row r="21" spans="1:2" x14ac:dyDescent="0.2">
      <c r="A21">
        <v>14.25</v>
      </c>
      <c r="B21" s="13" t="s">
        <v>133</v>
      </c>
    </row>
    <row r="22" spans="1:2" x14ac:dyDescent="0.2">
      <c r="A22">
        <v>14.5</v>
      </c>
      <c r="B22" s="13" t="s">
        <v>135</v>
      </c>
    </row>
    <row r="23" spans="1:2" x14ac:dyDescent="0.2">
      <c r="A23">
        <v>15</v>
      </c>
      <c r="B23" s="13" t="s">
        <v>136</v>
      </c>
    </row>
    <row r="24" spans="1:2" x14ac:dyDescent="0.2">
      <c r="A24">
        <v>15.25</v>
      </c>
      <c r="B24" s="13" t="s">
        <v>136</v>
      </c>
    </row>
    <row r="25" spans="1:2" x14ac:dyDescent="0.2">
      <c r="A25">
        <v>16</v>
      </c>
      <c r="B25" s="13" t="s">
        <v>295</v>
      </c>
    </row>
    <row r="26" spans="1:2" x14ac:dyDescent="0.2">
      <c r="A26">
        <v>16.25</v>
      </c>
      <c r="B26" s="13" t="s">
        <v>137</v>
      </c>
    </row>
    <row r="27" spans="1:2" x14ac:dyDescent="0.2">
      <c r="A27">
        <v>16.5</v>
      </c>
      <c r="B27" s="13" t="s">
        <v>127</v>
      </c>
    </row>
    <row r="28" spans="1:2" x14ac:dyDescent="0.2">
      <c r="A28">
        <v>17</v>
      </c>
      <c r="B28" s="13" t="s">
        <v>128</v>
      </c>
    </row>
    <row r="29" spans="1:2" x14ac:dyDescent="0.2">
      <c r="A29">
        <v>17.25</v>
      </c>
      <c r="B29" s="13" t="s">
        <v>295</v>
      </c>
    </row>
    <row r="30" spans="1:2" x14ac:dyDescent="0.2">
      <c r="A30">
        <v>17.5</v>
      </c>
      <c r="B30" s="13" t="s">
        <v>129</v>
      </c>
    </row>
    <row r="31" spans="1:2" x14ac:dyDescent="0.2">
      <c r="A31">
        <v>18</v>
      </c>
      <c r="B31" s="13" t="s">
        <v>131</v>
      </c>
    </row>
    <row r="32" spans="1:2" x14ac:dyDescent="0.2">
      <c r="A32">
        <v>18.25</v>
      </c>
      <c r="B32" s="13" t="s">
        <v>298</v>
      </c>
    </row>
    <row r="33" spans="1:2" x14ac:dyDescent="0.2">
      <c r="A33">
        <v>18.5</v>
      </c>
      <c r="B33" s="13" t="s">
        <v>294</v>
      </c>
    </row>
    <row r="34" spans="1:2" x14ac:dyDescent="0.2">
      <c r="A34">
        <v>18.75</v>
      </c>
      <c r="B34" s="13" t="s">
        <v>138</v>
      </c>
    </row>
    <row r="35" spans="1:2" x14ac:dyDescent="0.2">
      <c r="A35">
        <v>19</v>
      </c>
      <c r="B35" s="13" t="s">
        <v>129</v>
      </c>
    </row>
    <row r="36" spans="1:2" x14ac:dyDescent="0.2">
      <c r="A36">
        <v>19.25</v>
      </c>
      <c r="B36" s="13" t="s">
        <v>129</v>
      </c>
    </row>
  </sheetData>
  <phoneticPr fontId="2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8"/>
  <sheetViews>
    <sheetView workbookViewId="0">
      <selection activeCell="B47" sqref="B47"/>
    </sheetView>
  </sheetViews>
  <sheetFormatPr defaultColWidth="8.85546875" defaultRowHeight="12.75" x14ac:dyDescent="0.2"/>
  <sheetData>
    <row r="1" spans="1:5" x14ac:dyDescent="0.2">
      <c r="A1" t="s">
        <v>491</v>
      </c>
    </row>
    <row r="3" spans="1:5" x14ac:dyDescent="0.2">
      <c r="A3" t="s">
        <v>492</v>
      </c>
    </row>
    <row r="4" spans="1:5" x14ac:dyDescent="0.2">
      <c r="A4" t="s">
        <v>123</v>
      </c>
      <c r="B4" t="s">
        <v>124</v>
      </c>
      <c r="C4" t="s">
        <v>493</v>
      </c>
      <c r="D4" t="s">
        <v>494</v>
      </c>
      <c r="E4" t="s">
        <v>495</v>
      </c>
    </row>
    <row r="5" spans="1:5" x14ac:dyDescent="0.2">
      <c r="A5">
        <v>0.5</v>
      </c>
      <c r="B5" t="s">
        <v>300</v>
      </c>
    </row>
    <row r="6" spans="1:5" x14ac:dyDescent="0.2">
      <c r="A6">
        <v>0.75</v>
      </c>
      <c r="B6" t="s">
        <v>496</v>
      </c>
    </row>
    <row r="7" spans="1:5" x14ac:dyDescent="0.2">
      <c r="A7">
        <v>1</v>
      </c>
      <c r="B7" t="s">
        <v>137</v>
      </c>
    </row>
    <row r="8" spans="1:5" x14ac:dyDescent="0.2">
      <c r="A8">
        <v>1.5</v>
      </c>
      <c r="B8" t="s">
        <v>497</v>
      </c>
    </row>
    <row r="9" spans="1:5" x14ac:dyDescent="0.2">
      <c r="A9">
        <v>1.75</v>
      </c>
      <c r="B9" t="s">
        <v>137</v>
      </c>
    </row>
    <row r="10" spans="1:5" x14ac:dyDescent="0.2">
      <c r="A10">
        <v>2</v>
      </c>
      <c r="B10" t="s">
        <v>496</v>
      </c>
    </row>
    <row r="11" spans="1:5" x14ac:dyDescent="0.2">
      <c r="A11">
        <v>2.5</v>
      </c>
      <c r="B11" t="s">
        <v>498</v>
      </c>
    </row>
    <row r="12" spans="1:5" x14ac:dyDescent="0.2">
      <c r="A12">
        <v>3</v>
      </c>
      <c r="B12" t="s">
        <v>300</v>
      </c>
    </row>
    <row r="13" spans="1:5" x14ac:dyDescent="0.2">
      <c r="A13">
        <v>3.5</v>
      </c>
      <c r="B13" t="s">
        <v>497</v>
      </c>
    </row>
    <row r="14" spans="1:5" x14ac:dyDescent="0.2">
      <c r="A14">
        <v>4</v>
      </c>
      <c r="B14" t="s">
        <v>128</v>
      </c>
    </row>
    <row r="15" spans="1:5" x14ac:dyDescent="0.2">
      <c r="A15">
        <v>4.5</v>
      </c>
      <c r="B15" t="s">
        <v>298</v>
      </c>
    </row>
    <row r="16" spans="1:5" x14ac:dyDescent="0.2">
      <c r="A16">
        <v>4.75</v>
      </c>
      <c r="B16" t="s">
        <v>128</v>
      </c>
    </row>
    <row r="17" spans="1:2" x14ac:dyDescent="0.2">
      <c r="A17">
        <v>5</v>
      </c>
      <c r="B17" t="s">
        <v>300</v>
      </c>
    </row>
    <row r="18" spans="1:2" x14ac:dyDescent="0.2">
      <c r="A18">
        <v>5.5</v>
      </c>
      <c r="B18" t="s">
        <v>496</v>
      </c>
    </row>
    <row r="19" spans="1:2" x14ac:dyDescent="0.2">
      <c r="A19">
        <v>5.75</v>
      </c>
      <c r="B19" t="s">
        <v>300</v>
      </c>
    </row>
    <row r="20" spans="1:2" x14ac:dyDescent="0.2">
      <c r="A20">
        <v>6</v>
      </c>
      <c r="B20" t="s">
        <v>128</v>
      </c>
    </row>
    <row r="21" spans="1:2" x14ac:dyDescent="0.2">
      <c r="A21">
        <v>6.5</v>
      </c>
      <c r="B21" t="s">
        <v>137</v>
      </c>
    </row>
    <row r="22" spans="1:2" x14ac:dyDescent="0.2">
      <c r="A22">
        <v>7</v>
      </c>
      <c r="B22" t="s">
        <v>298</v>
      </c>
    </row>
    <row r="23" spans="1:2" x14ac:dyDescent="0.2">
      <c r="A23">
        <v>7.5</v>
      </c>
      <c r="B23" t="s">
        <v>497</v>
      </c>
    </row>
    <row r="24" spans="1:2" x14ac:dyDescent="0.2">
      <c r="A24">
        <v>8</v>
      </c>
      <c r="B24" t="s">
        <v>297</v>
      </c>
    </row>
    <row r="25" spans="1:2" x14ac:dyDescent="0.2">
      <c r="A25">
        <v>8.5</v>
      </c>
      <c r="B25" t="s">
        <v>299</v>
      </c>
    </row>
    <row r="26" spans="1:2" x14ac:dyDescent="0.2">
      <c r="A26">
        <v>8.75</v>
      </c>
      <c r="B26" t="s">
        <v>297</v>
      </c>
    </row>
    <row r="27" spans="1:2" x14ac:dyDescent="0.2">
      <c r="A27">
        <v>9</v>
      </c>
      <c r="B27" t="s">
        <v>298</v>
      </c>
    </row>
    <row r="28" spans="1:2" x14ac:dyDescent="0.2">
      <c r="A28" s="15">
        <v>9.25</v>
      </c>
    </row>
    <row r="29" spans="1:2" x14ac:dyDescent="0.2">
      <c r="A29" s="15">
        <v>9.5</v>
      </c>
      <c r="B29" t="s">
        <v>128</v>
      </c>
    </row>
    <row r="30" spans="1:2" x14ac:dyDescent="0.2">
      <c r="A30" s="15">
        <v>9.75</v>
      </c>
      <c r="B30" t="s">
        <v>298</v>
      </c>
    </row>
    <row r="31" spans="1:2" x14ac:dyDescent="0.2">
      <c r="A31" s="15">
        <v>10</v>
      </c>
      <c r="B31" t="s">
        <v>297</v>
      </c>
    </row>
    <row r="32" spans="1:2" x14ac:dyDescent="0.2">
      <c r="A32" s="15">
        <v>10.25</v>
      </c>
    </row>
    <row r="33" spans="1:2" x14ac:dyDescent="0.2">
      <c r="A33" s="15">
        <v>10.5</v>
      </c>
      <c r="B33" t="s">
        <v>300</v>
      </c>
    </row>
    <row r="34" spans="1:2" x14ac:dyDescent="0.2">
      <c r="A34" s="15">
        <v>10.75</v>
      </c>
    </row>
    <row r="35" spans="1:2" x14ac:dyDescent="0.2">
      <c r="A35" s="15">
        <v>11</v>
      </c>
      <c r="B35" t="s">
        <v>299</v>
      </c>
    </row>
    <row r="36" spans="1:2" x14ac:dyDescent="0.2">
      <c r="A36" s="15">
        <v>11.25</v>
      </c>
    </row>
    <row r="37" spans="1:2" x14ac:dyDescent="0.2">
      <c r="A37" s="15">
        <v>11.5</v>
      </c>
      <c r="B37" t="s">
        <v>499</v>
      </c>
    </row>
    <row r="38" spans="1:2" x14ac:dyDescent="0.2">
      <c r="A38" s="15">
        <v>11.75</v>
      </c>
    </row>
    <row r="39" spans="1:2" x14ac:dyDescent="0.2">
      <c r="A39" s="15">
        <v>12</v>
      </c>
      <c r="B39" t="s">
        <v>300</v>
      </c>
    </row>
    <row r="40" spans="1:2" x14ac:dyDescent="0.2">
      <c r="A40" s="15">
        <v>12.25</v>
      </c>
    </row>
    <row r="41" spans="1:2" x14ac:dyDescent="0.2">
      <c r="A41" s="15">
        <v>12.5</v>
      </c>
      <c r="B41" t="s">
        <v>128</v>
      </c>
    </row>
    <row r="42" spans="1:2" x14ac:dyDescent="0.2">
      <c r="A42" s="15">
        <v>12.75</v>
      </c>
      <c r="B42" t="s">
        <v>298</v>
      </c>
    </row>
    <row r="43" spans="1:2" x14ac:dyDescent="0.2">
      <c r="A43" s="15">
        <v>13</v>
      </c>
      <c r="B43" t="s">
        <v>297</v>
      </c>
    </row>
    <row r="44" spans="1:2" x14ac:dyDescent="0.2">
      <c r="A44" s="15">
        <v>13.25</v>
      </c>
    </row>
    <row r="45" spans="1:2" x14ac:dyDescent="0.2">
      <c r="A45" s="15">
        <v>13.5</v>
      </c>
      <c r="B45" t="s">
        <v>299</v>
      </c>
    </row>
    <row r="46" spans="1:2" x14ac:dyDescent="0.2">
      <c r="A46" s="15">
        <v>13.75</v>
      </c>
    </row>
    <row r="47" spans="1:2" x14ac:dyDescent="0.2">
      <c r="A47" s="15">
        <v>14</v>
      </c>
      <c r="B47" t="s">
        <v>296</v>
      </c>
    </row>
    <row r="48" spans="1:2" x14ac:dyDescent="0.2">
      <c r="A48" s="15">
        <v>14.25</v>
      </c>
    </row>
    <row r="49" spans="1:2" x14ac:dyDescent="0.2">
      <c r="A49" s="15">
        <v>14.5</v>
      </c>
      <c r="B49" t="s">
        <v>299</v>
      </c>
    </row>
    <row r="50" spans="1:2" x14ac:dyDescent="0.2">
      <c r="A50" s="15">
        <v>14.75</v>
      </c>
      <c r="B50" t="s">
        <v>296</v>
      </c>
    </row>
    <row r="51" spans="1:2" x14ac:dyDescent="0.2">
      <c r="A51" s="15">
        <v>15</v>
      </c>
      <c r="B51" t="s">
        <v>500</v>
      </c>
    </row>
    <row r="52" spans="1:2" x14ac:dyDescent="0.2">
      <c r="A52" s="15">
        <v>15.25</v>
      </c>
    </row>
    <row r="53" spans="1:2" x14ac:dyDescent="0.2">
      <c r="A53" s="15">
        <v>15.5</v>
      </c>
      <c r="B53" t="s">
        <v>304</v>
      </c>
    </row>
    <row r="54" spans="1:2" x14ac:dyDescent="0.2">
      <c r="A54" s="15">
        <v>15.75</v>
      </c>
      <c r="B54" t="s">
        <v>500</v>
      </c>
    </row>
    <row r="55" spans="1:2" x14ac:dyDescent="0.2">
      <c r="A55" s="15">
        <v>16</v>
      </c>
      <c r="B55" t="s">
        <v>296</v>
      </c>
    </row>
    <row r="56" spans="1:2" x14ac:dyDescent="0.2">
      <c r="A56" s="15">
        <v>16.25</v>
      </c>
      <c r="B56" t="s">
        <v>500</v>
      </c>
    </row>
    <row r="57" spans="1:2" x14ac:dyDescent="0.2">
      <c r="A57" s="15">
        <v>16.5</v>
      </c>
      <c r="B57" t="s">
        <v>304</v>
      </c>
    </row>
    <row r="58" spans="1:2" x14ac:dyDescent="0.2">
      <c r="A58" s="15">
        <v>16.75</v>
      </c>
      <c r="B58" t="s">
        <v>500</v>
      </c>
    </row>
    <row r="59" spans="1:2" x14ac:dyDescent="0.2">
      <c r="A59" s="15">
        <v>17</v>
      </c>
      <c r="B59" t="s">
        <v>296</v>
      </c>
    </row>
    <row r="60" spans="1:2" x14ac:dyDescent="0.2">
      <c r="A60" s="15">
        <v>17.25</v>
      </c>
      <c r="B60" t="s">
        <v>299</v>
      </c>
    </row>
    <row r="61" spans="1:2" x14ac:dyDescent="0.2">
      <c r="A61" s="15">
        <v>17.5</v>
      </c>
      <c r="B61" t="s">
        <v>297</v>
      </c>
    </row>
    <row r="62" spans="1:2" x14ac:dyDescent="0.2">
      <c r="A62" s="15">
        <v>17.75</v>
      </c>
      <c r="B62" t="s">
        <v>127</v>
      </c>
    </row>
    <row r="63" spans="1:2" x14ac:dyDescent="0.2">
      <c r="A63" s="15">
        <v>18</v>
      </c>
      <c r="B63" t="s">
        <v>128</v>
      </c>
    </row>
    <row r="64" spans="1:2" x14ac:dyDescent="0.2">
      <c r="A64" s="15">
        <v>18.25</v>
      </c>
    </row>
    <row r="65" spans="1:2" x14ac:dyDescent="0.2">
      <c r="A65" s="15">
        <v>18.5</v>
      </c>
      <c r="B65" t="s">
        <v>297</v>
      </c>
    </row>
    <row r="66" spans="1:2" x14ac:dyDescent="0.2">
      <c r="A66" s="15">
        <v>18.75</v>
      </c>
    </row>
    <row r="67" spans="1:2" x14ac:dyDescent="0.2">
      <c r="A67" s="15">
        <v>19</v>
      </c>
      <c r="B67" t="s">
        <v>498</v>
      </c>
    </row>
    <row r="68" spans="1:2" x14ac:dyDescent="0.2">
      <c r="A68" s="15">
        <v>19.25</v>
      </c>
    </row>
    <row r="69" spans="1:2" x14ac:dyDescent="0.2">
      <c r="A69" s="15">
        <v>19.5</v>
      </c>
    </row>
    <row r="70" spans="1:2" x14ac:dyDescent="0.2">
      <c r="A70" s="15">
        <v>19.75</v>
      </c>
    </row>
    <row r="71" spans="1:2" x14ac:dyDescent="0.2">
      <c r="A71" s="15">
        <v>20</v>
      </c>
    </row>
    <row r="72" spans="1:2" x14ac:dyDescent="0.2">
      <c r="A72" s="15">
        <v>20.25</v>
      </c>
      <c r="B72" t="s">
        <v>497</v>
      </c>
    </row>
    <row r="73" spans="1:2" x14ac:dyDescent="0.2">
      <c r="A73" s="15">
        <v>20.5</v>
      </c>
    </row>
    <row r="74" spans="1:2" x14ac:dyDescent="0.2">
      <c r="A74" s="15">
        <v>20.75</v>
      </c>
    </row>
    <row r="75" spans="1:2" x14ac:dyDescent="0.2">
      <c r="A75" s="15">
        <v>21</v>
      </c>
    </row>
    <row r="76" spans="1:2" x14ac:dyDescent="0.2">
      <c r="A76" s="15">
        <v>21.25</v>
      </c>
    </row>
    <row r="77" spans="1:2" x14ac:dyDescent="0.2">
      <c r="A77" s="15">
        <v>21.5</v>
      </c>
    </row>
    <row r="78" spans="1:2" x14ac:dyDescent="0.2">
      <c r="A78" s="15">
        <v>21.75</v>
      </c>
    </row>
    <row r="79" spans="1:2" x14ac:dyDescent="0.2">
      <c r="A79" s="15">
        <v>22</v>
      </c>
    </row>
    <row r="80" spans="1:2" x14ac:dyDescent="0.2">
      <c r="A80" s="15">
        <v>22.25</v>
      </c>
    </row>
    <row r="81" spans="1:1" x14ac:dyDescent="0.2">
      <c r="A81" s="15">
        <v>22.5</v>
      </c>
    </row>
    <row r="82" spans="1:1" x14ac:dyDescent="0.2">
      <c r="A82" s="15">
        <v>22.75</v>
      </c>
    </row>
    <row r="83" spans="1:1" x14ac:dyDescent="0.2">
      <c r="A83" s="15">
        <v>23</v>
      </c>
    </row>
    <row r="84" spans="1:1" x14ac:dyDescent="0.2">
      <c r="A84" s="15">
        <v>23.25</v>
      </c>
    </row>
    <row r="85" spans="1:1" x14ac:dyDescent="0.2">
      <c r="A85" s="15">
        <v>23.5</v>
      </c>
    </row>
    <row r="86" spans="1:1" x14ac:dyDescent="0.2">
      <c r="A86" s="15">
        <v>23.75</v>
      </c>
    </row>
    <row r="87" spans="1:1" x14ac:dyDescent="0.2">
      <c r="A87" s="15">
        <v>24</v>
      </c>
    </row>
    <row r="88" spans="1:1" x14ac:dyDescent="0.2">
      <c r="A88" s="15">
        <v>24.25</v>
      </c>
    </row>
    <row r="89" spans="1:1" x14ac:dyDescent="0.2">
      <c r="A89" s="15">
        <v>24.5</v>
      </c>
    </row>
    <row r="90" spans="1:1" x14ac:dyDescent="0.2">
      <c r="A90" s="15">
        <v>24.75</v>
      </c>
    </row>
    <row r="91" spans="1:1" x14ac:dyDescent="0.2">
      <c r="A91" s="15">
        <v>25</v>
      </c>
    </row>
    <row r="92" spans="1:1" x14ac:dyDescent="0.2">
      <c r="A92" s="15">
        <v>25.25</v>
      </c>
    </row>
    <row r="93" spans="1:1" x14ac:dyDescent="0.2">
      <c r="A93" s="15">
        <v>25.5</v>
      </c>
    </row>
    <row r="94" spans="1:1" x14ac:dyDescent="0.2">
      <c r="A94" s="15">
        <v>25.75</v>
      </c>
    </row>
    <row r="95" spans="1:1" x14ac:dyDescent="0.2">
      <c r="A95" s="15">
        <v>26</v>
      </c>
    </row>
    <row r="96" spans="1:1" x14ac:dyDescent="0.2">
      <c r="A96" s="15">
        <v>26.25</v>
      </c>
    </row>
    <row r="97" spans="1:1" x14ac:dyDescent="0.2">
      <c r="A97" s="15">
        <v>26.5</v>
      </c>
    </row>
    <row r="98" spans="1:1" x14ac:dyDescent="0.2">
      <c r="A98" s="15">
        <v>26.75</v>
      </c>
    </row>
    <row r="99" spans="1:1" x14ac:dyDescent="0.2">
      <c r="A99" s="15">
        <v>27</v>
      </c>
    </row>
    <row r="100" spans="1:1" x14ac:dyDescent="0.2">
      <c r="A100" s="15">
        <v>27.25</v>
      </c>
    </row>
    <row r="101" spans="1:1" x14ac:dyDescent="0.2">
      <c r="A101" s="15">
        <v>27.5</v>
      </c>
    </row>
    <row r="102" spans="1:1" x14ac:dyDescent="0.2">
      <c r="A102" s="15">
        <v>27.75</v>
      </c>
    </row>
    <row r="103" spans="1:1" x14ac:dyDescent="0.2">
      <c r="A103" s="15">
        <v>28</v>
      </c>
    </row>
    <row r="104" spans="1:1" x14ac:dyDescent="0.2">
      <c r="A104" s="15">
        <v>28.25</v>
      </c>
    </row>
    <row r="105" spans="1:1" x14ac:dyDescent="0.2">
      <c r="A105" s="15">
        <v>28.5</v>
      </c>
    </row>
    <row r="106" spans="1:1" x14ac:dyDescent="0.2">
      <c r="A106" s="15">
        <v>28.75</v>
      </c>
    </row>
    <row r="107" spans="1:1" x14ac:dyDescent="0.2">
      <c r="A107" s="15">
        <v>29</v>
      </c>
    </row>
    <row r="108" spans="1:1" x14ac:dyDescent="0.2">
      <c r="A108" s="15">
        <v>29.25</v>
      </c>
    </row>
    <row r="109" spans="1:1" x14ac:dyDescent="0.2">
      <c r="A109" s="15">
        <v>29.5</v>
      </c>
    </row>
    <row r="110" spans="1:1" x14ac:dyDescent="0.2">
      <c r="A110" s="15">
        <v>29.75</v>
      </c>
    </row>
    <row r="111" spans="1:1" x14ac:dyDescent="0.2">
      <c r="A111" s="15">
        <v>30</v>
      </c>
    </row>
    <row r="112" spans="1:1" x14ac:dyDescent="0.2">
      <c r="A112" s="15">
        <v>30.25</v>
      </c>
    </row>
    <row r="113" spans="1:1" x14ac:dyDescent="0.2">
      <c r="A113" s="15">
        <v>30.5</v>
      </c>
    </row>
    <row r="114" spans="1:1" x14ac:dyDescent="0.2">
      <c r="A114" s="15">
        <v>30.75</v>
      </c>
    </row>
    <row r="115" spans="1:1" x14ac:dyDescent="0.2">
      <c r="A115" s="15">
        <v>31</v>
      </c>
    </row>
    <row r="116" spans="1:1" x14ac:dyDescent="0.2">
      <c r="A116" s="15">
        <v>31.25</v>
      </c>
    </row>
    <row r="117" spans="1:1" x14ac:dyDescent="0.2">
      <c r="A117" s="15">
        <v>31.5</v>
      </c>
    </row>
    <row r="118" spans="1:1" x14ac:dyDescent="0.2">
      <c r="A118" s="15">
        <v>31.75</v>
      </c>
    </row>
    <row r="119" spans="1:1" x14ac:dyDescent="0.2">
      <c r="A119" s="15">
        <v>32</v>
      </c>
    </row>
    <row r="120" spans="1:1" x14ac:dyDescent="0.2">
      <c r="A120" s="15">
        <v>32.25</v>
      </c>
    </row>
    <row r="121" spans="1:1" x14ac:dyDescent="0.2">
      <c r="A121" s="15">
        <v>32.5</v>
      </c>
    </row>
    <row r="122" spans="1:1" x14ac:dyDescent="0.2">
      <c r="A122" s="15">
        <v>32.75</v>
      </c>
    </row>
    <row r="123" spans="1:1" x14ac:dyDescent="0.2">
      <c r="A123" s="15">
        <v>33</v>
      </c>
    </row>
    <row r="124" spans="1:1" x14ac:dyDescent="0.2">
      <c r="A124" s="15">
        <v>33.25</v>
      </c>
    </row>
    <row r="125" spans="1:1" x14ac:dyDescent="0.2">
      <c r="A125" s="15">
        <v>33.5</v>
      </c>
    </row>
    <row r="126" spans="1:1" x14ac:dyDescent="0.2">
      <c r="A126" s="15">
        <v>33.75</v>
      </c>
    </row>
    <row r="127" spans="1:1" x14ac:dyDescent="0.2">
      <c r="A127" s="15">
        <v>34</v>
      </c>
    </row>
    <row r="128" spans="1:1" x14ac:dyDescent="0.2">
      <c r="A128" s="15">
        <v>34.25</v>
      </c>
    </row>
    <row r="129" spans="1:1" x14ac:dyDescent="0.2">
      <c r="A129" s="15">
        <v>34.5</v>
      </c>
    </row>
    <row r="130" spans="1:1" x14ac:dyDescent="0.2">
      <c r="A130" s="15">
        <v>34.75</v>
      </c>
    </row>
    <row r="131" spans="1:1" x14ac:dyDescent="0.2">
      <c r="A131" s="15">
        <v>35</v>
      </c>
    </row>
    <row r="132" spans="1:1" x14ac:dyDescent="0.2">
      <c r="A132" s="15">
        <v>35.25</v>
      </c>
    </row>
    <row r="133" spans="1:1" x14ac:dyDescent="0.2">
      <c r="A133" s="15">
        <v>35.5</v>
      </c>
    </row>
    <row r="134" spans="1:1" x14ac:dyDescent="0.2">
      <c r="A134" s="15">
        <v>35.75</v>
      </c>
    </row>
    <row r="135" spans="1:1" x14ac:dyDescent="0.2">
      <c r="A135" s="15">
        <v>36</v>
      </c>
    </row>
    <row r="136" spans="1:1" x14ac:dyDescent="0.2">
      <c r="A136" s="15">
        <v>36.25</v>
      </c>
    </row>
    <row r="137" spans="1:1" x14ac:dyDescent="0.2">
      <c r="A137" s="15">
        <v>36.5</v>
      </c>
    </row>
    <row r="138" spans="1:1" x14ac:dyDescent="0.2">
      <c r="A138" s="15">
        <v>36.75</v>
      </c>
    </row>
    <row r="139" spans="1:1" x14ac:dyDescent="0.2">
      <c r="A139" s="15">
        <v>37</v>
      </c>
    </row>
    <row r="140" spans="1:1" x14ac:dyDescent="0.2">
      <c r="A140" s="15">
        <v>37.25</v>
      </c>
    </row>
    <row r="141" spans="1:1" x14ac:dyDescent="0.2">
      <c r="A141" s="15">
        <v>37.5</v>
      </c>
    </row>
    <row r="142" spans="1:1" x14ac:dyDescent="0.2">
      <c r="A142" s="15">
        <v>37.75</v>
      </c>
    </row>
    <row r="143" spans="1:1" x14ac:dyDescent="0.2">
      <c r="A143" s="15">
        <v>38</v>
      </c>
    </row>
    <row r="144" spans="1:1" x14ac:dyDescent="0.2">
      <c r="A144" s="15">
        <v>38.25</v>
      </c>
    </row>
    <row r="145" spans="1:1" x14ac:dyDescent="0.2">
      <c r="A145" s="15">
        <v>38.5</v>
      </c>
    </row>
    <row r="146" spans="1:1" x14ac:dyDescent="0.2">
      <c r="A146" s="15">
        <v>38.75</v>
      </c>
    </row>
    <row r="147" spans="1:1" x14ac:dyDescent="0.2">
      <c r="A147" s="15">
        <v>39</v>
      </c>
    </row>
    <row r="148" spans="1:1" x14ac:dyDescent="0.2">
      <c r="A148" s="15">
        <v>39.25</v>
      </c>
    </row>
    <row r="149" spans="1:1" x14ac:dyDescent="0.2">
      <c r="A149" s="15">
        <v>39.5</v>
      </c>
    </row>
    <row r="150" spans="1:1" x14ac:dyDescent="0.2">
      <c r="A150" s="15">
        <v>39.75</v>
      </c>
    </row>
    <row r="151" spans="1:1" x14ac:dyDescent="0.2">
      <c r="A151" s="15">
        <v>40</v>
      </c>
    </row>
    <row r="152" spans="1:1" x14ac:dyDescent="0.2">
      <c r="A152" s="15">
        <v>40.25</v>
      </c>
    </row>
    <row r="153" spans="1:1" x14ac:dyDescent="0.2">
      <c r="A153" s="15">
        <v>40.5</v>
      </c>
    </row>
    <row r="154" spans="1:1" x14ac:dyDescent="0.2">
      <c r="A154" s="15">
        <v>40.75</v>
      </c>
    </row>
    <row r="155" spans="1:1" x14ac:dyDescent="0.2">
      <c r="A155" s="15">
        <v>41</v>
      </c>
    </row>
    <row r="156" spans="1:1" x14ac:dyDescent="0.2">
      <c r="A156" s="15">
        <v>41.25</v>
      </c>
    </row>
    <row r="157" spans="1:1" x14ac:dyDescent="0.2">
      <c r="A157" s="15">
        <v>41.5</v>
      </c>
    </row>
    <row r="158" spans="1:1" x14ac:dyDescent="0.2">
      <c r="A158" s="15">
        <v>41.75</v>
      </c>
    </row>
    <row r="159" spans="1:1" x14ac:dyDescent="0.2">
      <c r="A159" s="15">
        <v>42</v>
      </c>
    </row>
    <row r="160" spans="1:1" x14ac:dyDescent="0.2">
      <c r="A160" s="15">
        <v>42.25</v>
      </c>
    </row>
    <row r="161" spans="1:1" x14ac:dyDescent="0.2">
      <c r="A161" s="15">
        <v>42.5</v>
      </c>
    </row>
    <row r="162" spans="1:1" x14ac:dyDescent="0.2">
      <c r="A162" s="15">
        <v>42.75</v>
      </c>
    </row>
    <row r="163" spans="1:1" x14ac:dyDescent="0.2">
      <c r="A163" s="15">
        <v>43</v>
      </c>
    </row>
    <row r="164" spans="1:1" x14ac:dyDescent="0.2">
      <c r="A164" s="15">
        <v>43.25</v>
      </c>
    </row>
    <row r="165" spans="1:1" x14ac:dyDescent="0.2">
      <c r="A165" s="15">
        <v>43.5</v>
      </c>
    </row>
    <row r="166" spans="1:1" x14ac:dyDescent="0.2">
      <c r="A166" s="15">
        <v>43.75</v>
      </c>
    </row>
    <row r="167" spans="1:1" x14ac:dyDescent="0.2">
      <c r="A167" s="15">
        <v>44</v>
      </c>
    </row>
    <row r="168" spans="1:1" x14ac:dyDescent="0.2">
      <c r="A168" s="15">
        <v>44.25</v>
      </c>
    </row>
    <row r="169" spans="1:1" x14ac:dyDescent="0.2">
      <c r="A169" s="15">
        <v>44.5</v>
      </c>
    </row>
    <row r="170" spans="1:1" x14ac:dyDescent="0.2">
      <c r="A170" s="15">
        <v>44.75</v>
      </c>
    </row>
    <row r="171" spans="1:1" x14ac:dyDescent="0.2">
      <c r="A171" s="15">
        <v>45</v>
      </c>
    </row>
    <row r="172" spans="1:1" x14ac:dyDescent="0.2">
      <c r="A172" s="15">
        <v>45.25</v>
      </c>
    </row>
    <row r="173" spans="1:1" x14ac:dyDescent="0.2">
      <c r="A173" s="15">
        <v>45.5</v>
      </c>
    </row>
    <row r="174" spans="1:1" x14ac:dyDescent="0.2">
      <c r="A174" s="15">
        <v>45.75</v>
      </c>
    </row>
    <row r="175" spans="1:1" x14ac:dyDescent="0.2">
      <c r="A175" s="15">
        <v>46</v>
      </c>
    </row>
    <row r="176" spans="1:1" x14ac:dyDescent="0.2">
      <c r="A176" s="15">
        <v>46.25</v>
      </c>
    </row>
    <row r="177" spans="1:1" x14ac:dyDescent="0.2">
      <c r="A177" s="15">
        <v>46.5</v>
      </c>
    </row>
    <row r="178" spans="1:1" x14ac:dyDescent="0.2">
      <c r="A178" s="15">
        <v>46.75</v>
      </c>
    </row>
    <row r="179" spans="1:1" x14ac:dyDescent="0.2">
      <c r="A179" s="15">
        <v>47</v>
      </c>
    </row>
    <row r="180" spans="1:1" x14ac:dyDescent="0.2">
      <c r="A180" s="15">
        <v>47.25</v>
      </c>
    </row>
    <row r="181" spans="1:1" x14ac:dyDescent="0.2">
      <c r="A181" s="15">
        <v>47.5</v>
      </c>
    </row>
    <row r="182" spans="1:1" x14ac:dyDescent="0.2">
      <c r="A182" s="15">
        <v>47.75</v>
      </c>
    </row>
    <row r="183" spans="1:1" x14ac:dyDescent="0.2">
      <c r="A183" s="15">
        <v>48</v>
      </c>
    </row>
    <row r="184" spans="1:1" x14ac:dyDescent="0.2">
      <c r="A184" s="15">
        <v>48.25</v>
      </c>
    </row>
    <row r="185" spans="1:1" x14ac:dyDescent="0.2">
      <c r="A185" s="15">
        <v>48.5</v>
      </c>
    </row>
    <row r="186" spans="1:1" x14ac:dyDescent="0.2">
      <c r="A186" s="15">
        <v>48.75</v>
      </c>
    </row>
    <row r="187" spans="1:1" x14ac:dyDescent="0.2">
      <c r="A187" s="15">
        <v>49</v>
      </c>
    </row>
    <row r="188" spans="1:1" x14ac:dyDescent="0.2">
      <c r="A188" s="15">
        <v>49.25</v>
      </c>
    </row>
    <row r="189" spans="1:1" x14ac:dyDescent="0.2">
      <c r="A189" s="15">
        <v>49.5</v>
      </c>
    </row>
    <row r="190" spans="1:1" x14ac:dyDescent="0.2">
      <c r="A190" s="15">
        <v>49.75</v>
      </c>
    </row>
    <row r="191" spans="1:1" x14ac:dyDescent="0.2">
      <c r="A191" s="15">
        <v>50</v>
      </c>
    </row>
    <row r="192" spans="1:1" x14ac:dyDescent="0.2">
      <c r="A192" s="15">
        <v>50.25</v>
      </c>
    </row>
    <row r="193" spans="1:1" x14ac:dyDescent="0.2">
      <c r="A193" s="15">
        <v>50.5</v>
      </c>
    </row>
    <row r="194" spans="1:1" x14ac:dyDescent="0.2">
      <c r="A194" s="15">
        <v>50.75</v>
      </c>
    </row>
    <row r="195" spans="1:1" x14ac:dyDescent="0.2">
      <c r="A195" s="15">
        <v>51</v>
      </c>
    </row>
    <row r="196" spans="1:1" x14ac:dyDescent="0.2">
      <c r="A196" s="15">
        <v>51.25</v>
      </c>
    </row>
    <row r="197" spans="1:1" x14ac:dyDescent="0.2">
      <c r="A197" s="15">
        <v>51.5</v>
      </c>
    </row>
    <row r="198" spans="1:1" x14ac:dyDescent="0.2">
      <c r="A198" s="15">
        <v>51.75</v>
      </c>
    </row>
    <row r="199" spans="1:1" x14ac:dyDescent="0.2">
      <c r="A199" s="15">
        <v>52</v>
      </c>
    </row>
    <row r="200" spans="1:1" x14ac:dyDescent="0.2">
      <c r="A200" s="15">
        <v>52.25</v>
      </c>
    </row>
    <row r="201" spans="1:1" x14ac:dyDescent="0.2">
      <c r="A201" s="15">
        <v>52.5</v>
      </c>
    </row>
    <row r="202" spans="1:1" x14ac:dyDescent="0.2">
      <c r="A202" s="15">
        <v>52.75</v>
      </c>
    </row>
    <row r="203" spans="1:1" x14ac:dyDescent="0.2">
      <c r="A203" s="15">
        <v>53</v>
      </c>
    </row>
    <row r="204" spans="1:1" x14ac:dyDescent="0.2">
      <c r="A204" s="15">
        <v>53.25</v>
      </c>
    </row>
    <row r="205" spans="1:1" x14ac:dyDescent="0.2">
      <c r="A205" s="15">
        <v>53.5</v>
      </c>
    </row>
    <row r="206" spans="1:1" x14ac:dyDescent="0.2">
      <c r="A206" s="15">
        <v>53.75</v>
      </c>
    </row>
    <row r="207" spans="1:1" x14ac:dyDescent="0.2">
      <c r="A207" s="15">
        <v>54</v>
      </c>
    </row>
    <row r="208" spans="1:1" x14ac:dyDescent="0.2">
      <c r="A208" s="15">
        <v>54.25</v>
      </c>
    </row>
    <row r="209" spans="1:1" x14ac:dyDescent="0.2">
      <c r="A209" s="15">
        <v>54.5</v>
      </c>
    </row>
    <row r="210" spans="1:1" x14ac:dyDescent="0.2">
      <c r="A210" s="15">
        <v>54.75</v>
      </c>
    </row>
    <row r="211" spans="1:1" x14ac:dyDescent="0.2">
      <c r="A211" s="15">
        <v>55</v>
      </c>
    </row>
    <row r="212" spans="1:1" x14ac:dyDescent="0.2">
      <c r="A212" s="15">
        <v>55.25</v>
      </c>
    </row>
    <row r="213" spans="1:1" x14ac:dyDescent="0.2">
      <c r="A213" s="15">
        <v>55.5</v>
      </c>
    </row>
    <row r="214" spans="1:1" x14ac:dyDescent="0.2">
      <c r="A214" s="15">
        <v>55.75</v>
      </c>
    </row>
    <row r="215" spans="1:1" x14ac:dyDescent="0.2">
      <c r="A215" s="15">
        <v>56</v>
      </c>
    </row>
    <row r="216" spans="1:1" x14ac:dyDescent="0.2">
      <c r="A216" s="15">
        <v>56.25</v>
      </c>
    </row>
    <row r="217" spans="1:1" x14ac:dyDescent="0.2">
      <c r="A217" s="15">
        <v>56.5</v>
      </c>
    </row>
    <row r="218" spans="1:1" x14ac:dyDescent="0.2">
      <c r="A218" s="15">
        <v>56.75</v>
      </c>
    </row>
    <row r="219" spans="1:1" x14ac:dyDescent="0.2">
      <c r="A219" s="15">
        <v>57</v>
      </c>
    </row>
    <row r="220" spans="1:1" x14ac:dyDescent="0.2">
      <c r="A220" s="15">
        <v>57.25</v>
      </c>
    </row>
    <row r="221" spans="1:1" x14ac:dyDescent="0.2">
      <c r="A221" s="15">
        <v>57.5</v>
      </c>
    </row>
    <row r="222" spans="1:1" x14ac:dyDescent="0.2">
      <c r="A222" s="15">
        <v>57.75</v>
      </c>
    </row>
    <row r="223" spans="1:1" x14ac:dyDescent="0.2">
      <c r="A223" s="15">
        <v>58</v>
      </c>
    </row>
    <row r="224" spans="1:1" x14ac:dyDescent="0.2">
      <c r="A224" s="15">
        <v>58.25</v>
      </c>
    </row>
    <row r="225" spans="1:1" x14ac:dyDescent="0.2">
      <c r="A225" s="15">
        <v>58.5</v>
      </c>
    </row>
    <row r="226" spans="1:1" x14ac:dyDescent="0.2">
      <c r="A226" s="15">
        <v>58.75</v>
      </c>
    </row>
    <row r="227" spans="1:1" x14ac:dyDescent="0.2">
      <c r="A227" s="15">
        <v>59</v>
      </c>
    </row>
    <row r="228" spans="1:1" x14ac:dyDescent="0.2">
      <c r="A228" s="15">
        <v>59.25</v>
      </c>
    </row>
    <row r="229" spans="1:1" x14ac:dyDescent="0.2">
      <c r="A229" s="15">
        <v>59.5</v>
      </c>
    </row>
    <row r="230" spans="1:1" x14ac:dyDescent="0.2">
      <c r="A230" s="15">
        <v>59.75</v>
      </c>
    </row>
    <row r="231" spans="1:1" x14ac:dyDescent="0.2">
      <c r="A231" s="15">
        <v>60</v>
      </c>
    </row>
    <row r="232" spans="1:1" x14ac:dyDescent="0.2">
      <c r="A232" s="15">
        <v>60.25</v>
      </c>
    </row>
    <row r="233" spans="1:1" x14ac:dyDescent="0.2">
      <c r="A233" s="15">
        <v>60.5</v>
      </c>
    </row>
    <row r="234" spans="1:1" x14ac:dyDescent="0.2">
      <c r="A234" s="15">
        <v>60.75</v>
      </c>
    </row>
    <row r="235" spans="1:1" x14ac:dyDescent="0.2">
      <c r="A235" s="15">
        <v>61</v>
      </c>
    </row>
    <row r="236" spans="1:1" x14ac:dyDescent="0.2">
      <c r="A236" s="15">
        <v>61.25</v>
      </c>
    </row>
    <row r="237" spans="1:1" x14ac:dyDescent="0.2">
      <c r="A237" s="15">
        <v>61.5</v>
      </c>
    </row>
    <row r="238" spans="1:1" x14ac:dyDescent="0.2">
      <c r="A238" s="15">
        <v>61.75</v>
      </c>
    </row>
    <row r="239" spans="1:1" x14ac:dyDescent="0.2">
      <c r="A239" s="15">
        <v>62</v>
      </c>
    </row>
    <row r="240" spans="1:1" x14ac:dyDescent="0.2">
      <c r="A240" s="15">
        <v>62.25</v>
      </c>
    </row>
    <row r="241" spans="1:1" x14ac:dyDescent="0.2">
      <c r="A241" s="15">
        <v>62.5</v>
      </c>
    </row>
    <row r="242" spans="1:1" x14ac:dyDescent="0.2">
      <c r="A242" s="15">
        <v>62.75</v>
      </c>
    </row>
    <row r="243" spans="1:1" x14ac:dyDescent="0.2">
      <c r="A243" s="15">
        <v>63</v>
      </c>
    </row>
    <row r="244" spans="1:1" x14ac:dyDescent="0.2">
      <c r="A244" s="15">
        <v>63.25</v>
      </c>
    </row>
    <row r="245" spans="1:1" x14ac:dyDescent="0.2">
      <c r="A245" s="15">
        <v>63.5</v>
      </c>
    </row>
    <row r="246" spans="1:1" x14ac:dyDescent="0.2">
      <c r="A246" s="15">
        <v>63.75</v>
      </c>
    </row>
    <row r="247" spans="1:1" x14ac:dyDescent="0.2">
      <c r="A247" s="15">
        <v>64</v>
      </c>
    </row>
    <row r="248" spans="1:1" x14ac:dyDescent="0.2">
      <c r="A248" s="15">
        <v>64.25</v>
      </c>
    </row>
    <row r="249" spans="1:1" x14ac:dyDescent="0.2">
      <c r="A249" s="15">
        <v>64.5</v>
      </c>
    </row>
    <row r="250" spans="1:1" x14ac:dyDescent="0.2">
      <c r="A250" s="15">
        <v>64.75</v>
      </c>
    </row>
    <row r="251" spans="1:1" x14ac:dyDescent="0.2">
      <c r="A251" s="15">
        <v>65</v>
      </c>
    </row>
    <row r="252" spans="1:1" x14ac:dyDescent="0.2">
      <c r="A252" s="15">
        <v>65.25</v>
      </c>
    </row>
    <row r="253" spans="1:1" x14ac:dyDescent="0.2">
      <c r="A253" s="15">
        <v>65.5</v>
      </c>
    </row>
    <row r="254" spans="1:1" x14ac:dyDescent="0.2">
      <c r="A254" s="15">
        <v>65.75</v>
      </c>
    </row>
    <row r="255" spans="1:1" x14ac:dyDescent="0.2">
      <c r="A255" s="15">
        <v>66</v>
      </c>
    </row>
    <row r="256" spans="1:1" x14ac:dyDescent="0.2">
      <c r="A256" s="15">
        <v>66.25</v>
      </c>
    </row>
    <row r="257" spans="1:1" x14ac:dyDescent="0.2">
      <c r="A257" s="15">
        <v>66.5</v>
      </c>
    </row>
    <row r="258" spans="1:1" x14ac:dyDescent="0.2">
      <c r="A258" s="15">
        <v>66.75</v>
      </c>
    </row>
    <row r="259" spans="1:1" x14ac:dyDescent="0.2">
      <c r="A259" s="15">
        <v>67</v>
      </c>
    </row>
    <row r="260" spans="1:1" x14ac:dyDescent="0.2">
      <c r="A260" s="15">
        <v>67.25</v>
      </c>
    </row>
    <row r="261" spans="1:1" x14ac:dyDescent="0.2">
      <c r="A261" s="15">
        <v>67.5</v>
      </c>
    </row>
    <row r="262" spans="1:1" x14ac:dyDescent="0.2">
      <c r="A262" s="15">
        <v>67.75</v>
      </c>
    </row>
    <row r="263" spans="1:1" x14ac:dyDescent="0.2">
      <c r="A263" s="15">
        <v>68</v>
      </c>
    </row>
    <row r="264" spans="1:1" x14ac:dyDescent="0.2">
      <c r="A264" s="15">
        <v>68.25</v>
      </c>
    </row>
    <row r="265" spans="1:1" x14ac:dyDescent="0.2">
      <c r="A265" s="15">
        <v>68.5</v>
      </c>
    </row>
    <row r="266" spans="1:1" x14ac:dyDescent="0.2">
      <c r="A266" s="15">
        <v>68.75</v>
      </c>
    </row>
    <row r="267" spans="1:1" x14ac:dyDescent="0.2">
      <c r="A267" s="15">
        <v>69</v>
      </c>
    </row>
    <row r="268" spans="1:1" x14ac:dyDescent="0.2">
      <c r="A268" s="15">
        <v>69.25</v>
      </c>
    </row>
    <row r="269" spans="1:1" x14ac:dyDescent="0.2">
      <c r="A269" s="15">
        <v>69.5</v>
      </c>
    </row>
    <row r="270" spans="1:1" x14ac:dyDescent="0.2">
      <c r="A270" s="15">
        <v>69.75</v>
      </c>
    </row>
    <row r="271" spans="1:1" x14ac:dyDescent="0.2">
      <c r="A271" s="15">
        <v>70</v>
      </c>
    </row>
    <row r="272" spans="1:1" x14ac:dyDescent="0.2">
      <c r="A272" s="15">
        <v>70.25</v>
      </c>
    </row>
    <row r="273" spans="1:1" x14ac:dyDescent="0.2">
      <c r="A273" s="15">
        <v>70.5</v>
      </c>
    </row>
    <row r="274" spans="1:1" x14ac:dyDescent="0.2">
      <c r="A274" s="15">
        <v>70.75</v>
      </c>
    </row>
    <row r="275" spans="1:1" x14ac:dyDescent="0.2">
      <c r="A275" s="15">
        <v>71</v>
      </c>
    </row>
    <row r="276" spans="1:1" x14ac:dyDescent="0.2">
      <c r="A276" s="15">
        <v>71.25</v>
      </c>
    </row>
    <row r="277" spans="1:1" x14ac:dyDescent="0.2">
      <c r="A277" s="15">
        <v>71.5</v>
      </c>
    </row>
    <row r="278" spans="1:1" x14ac:dyDescent="0.2">
      <c r="A278" s="15">
        <v>71.75</v>
      </c>
    </row>
    <row r="279" spans="1:1" x14ac:dyDescent="0.2">
      <c r="A279" s="15">
        <v>72</v>
      </c>
    </row>
    <row r="280" spans="1:1" x14ac:dyDescent="0.2">
      <c r="A280" s="15">
        <v>72.25</v>
      </c>
    </row>
    <row r="281" spans="1:1" x14ac:dyDescent="0.2">
      <c r="A281" s="15">
        <v>72.5</v>
      </c>
    </row>
    <row r="282" spans="1:1" x14ac:dyDescent="0.2">
      <c r="A282" s="15">
        <v>72.75</v>
      </c>
    </row>
    <row r="283" spans="1:1" x14ac:dyDescent="0.2">
      <c r="A283" s="15">
        <v>9</v>
      </c>
    </row>
    <row r="284" spans="1:1" x14ac:dyDescent="0.2">
      <c r="A284" s="15">
        <v>9.25</v>
      </c>
    </row>
    <row r="285" spans="1:1" x14ac:dyDescent="0.2">
      <c r="A285" s="15">
        <v>9.5</v>
      </c>
    </row>
    <row r="286" spans="1:1" x14ac:dyDescent="0.2">
      <c r="A286" s="15">
        <v>9.75</v>
      </c>
    </row>
    <row r="287" spans="1:1" x14ac:dyDescent="0.2">
      <c r="A287" s="15">
        <v>10</v>
      </c>
    </row>
    <row r="288" spans="1:1" x14ac:dyDescent="0.2">
      <c r="A288" s="15">
        <v>10.25</v>
      </c>
    </row>
    <row r="289" spans="1:1" x14ac:dyDescent="0.2">
      <c r="A289" s="15">
        <v>10.5</v>
      </c>
    </row>
    <row r="290" spans="1:1" x14ac:dyDescent="0.2">
      <c r="A290" s="15">
        <v>10.75</v>
      </c>
    </row>
    <row r="291" spans="1:1" x14ac:dyDescent="0.2">
      <c r="A291" s="15">
        <v>11</v>
      </c>
    </row>
    <row r="292" spans="1:1" x14ac:dyDescent="0.2">
      <c r="A292" s="15">
        <v>11.25</v>
      </c>
    </row>
    <row r="293" spans="1:1" x14ac:dyDescent="0.2">
      <c r="A293" s="15">
        <v>11.5</v>
      </c>
    </row>
    <row r="294" spans="1:1" x14ac:dyDescent="0.2">
      <c r="A294" s="15">
        <v>11.75</v>
      </c>
    </row>
    <row r="295" spans="1:1" x14ac:dyDescent="0.2">
      <c r="A295" s="15">
        <v>12</v>
      </c>
    </row>
    <row r="296" spans="1:1" x14ac:dyDescent="0.2">
      <c r="A296" s="15">
        <v>12.25</v>
      </c>
    </row>
    <row r="297" spans="1:1" x14ac:dyDescent="0.2">
      <c r="A297" s="15">
        <v>12.5</v>
      </c>
    </row>
    <row r="298" spans="1:1" x14ac:dyDescent="0.2">
      <c r="A298" s="15">
        <v>12.75</v>
      </c>
    </row>
    <row r="299" spans="1:1" x14ac:dyDescent="0.2">
      <c r="A299" s="15">
        <v>13</v>
      </c>
    </row>
    <row r="300" spans="1:1" x14ac:dyDescent="0.2">
      <c r="A300" s="15">
        <v>13.25</v>
      </c>
    </row>
    <row r="301" spans="1:1" x14ac:dyDescent="0.2">
      <c r="A301" s="15">
        <v>13.5</v>
      </c>
    </row>
    <row r="302" spans="1:1" x14ac:dyDescent="0.2">
      <c r="A302" s="15">
        <v>13.75</v>
      </c>
    </row>
    <row r="303" spans="1:1" x14ac:dyDescent="0.2">
      <c r="A303" s="15">
        <v>14</v>
      </c>
    </row>
    <row r="304" spans="1:1" x14ac:dyDescent="0.2">
      <c r="A304" s="15">
        <v>14.25</v>
      </c>
    </row>
    <row r="305" spans="1:1" x14ac:dyDescent="0.2">
      <c r="A305" s="15">
        <v>14.5</v>
      </c>
    </row>
    <row r="306" spans="1:1" x14ac:dyDescent="0.2">
      <c r="A306" s="15">
        <v>14.75</v>
      </c>
    </row>
    <row r="307" spans="1:1" x14ac:dyDescent="0.2">
      <c r="A307" s="15">
        <v>15</v>
      </c>
    </row>
    <row r="308" spans="1:1" x14ac:dyDescent="0.2">
      <c r="A308" s="15">
        <v>15.25</v>
      </c>
    </row>
    <row r="309" spans="1:1" x14ac:dyDescent="0.2">
      <c r="A309" s="15">
        <v>15.5</v>
      </c>
    </row>
    <row r="310" spans="1:1" x14ac:dyDescent="0.2">
      <c r="A310" s="15">
        <v>15.75</v>
      </c>
    </row>
    <row r="311" spans="1:1" x14ac:dyDescent="0.2">
      <c r="A311" s="15">
        <v>16</v>
      </c>
    </row>
    <row r="312" spans="1:1" x14ac:dyDescent="0.2">
      <c r="A312" s="15">
        <v>16.25</v>
      </c>
    </row>
    <row r="313" spans="1:1" x14ac:dyDescent="0.2">
      <c r="A313" s="15">
        <v>16.5</v>
      </c>
    </row>
    <row r="314" spans="1:1" x14ac:dyDescent="0.2">
      <c r="A314" s="15">
        <v>16.75</v>
      </c>
    </row>
    <row r="315" spans="1:1" x14ac:dyDescent="0.2">
      <c r="A315" s="15">
        <v>17</v>
      </c>
    </row>
    <row r="316" spans="1:1" x14ac:dyDescent="0.2">
      <c r="A316" s="15">
        <v>17.25</v>
      </c>
    </row>
    <row r="317" spans="1:1" x14ac:dyDescent="0.2">
      <c r="A317" s="15">
        <v>17.5</v>
      </c>
    </row>
    <row r="318" spans="1:1" x14ac:dyDescent="0.2">
      <c r="A318" s="15">
        <v>17.75</v>
      </c>
    </row>
    <row r="319" spans="1:1" x14ac:dyDescent="0.2">
      <c r="A319" s="15">
        <v>18</v>
      </c>
    </row>
    <row r="320" spans="1:1" x14ac:dyDescent="0.2">
      <c r="A320" s="15">
        <v>18.25</v>
      </c>
    </row>
    <row r="321" spans="1:1" x14ac:dyDescent="0.2">
      <c r="A321" s="15">
        <v>18.5</v>
      </c>
    </row>
    <row r="322" spans="1:1" x14ac:dyDescent="0.2">
      <c r="A322" s="15">
        <v>18.75</v>
      </c>
    </row>
    <row r="323" spans="1:1" x14ac:dyDescent="0.2">
      <c r="A323" s="15">
        <v>19</v>
      </c>
    </row>
    <row r="324" spans="1:1" x14ac:dyDescent="0.2">
      <c r="A324" s="15">
        <v>19.25</v>
      </c>
    </row>
    <row r="325" spans="1:1" x14ac:dyDescent="0.2">
      <c r="A325" s="15">
        <v>19.5</v>
      </c>
    </row>
    <row r="326" spans="1:1" x14ac:dyDescent="0.2">
      <c r="A326" s="15">
        <v>19.75</v>
      </c>
    </row>
    <row r="327" spans="1:1" x14ac:dyDescent="0.2">
      <c r="A327" s="15">
        <v>20</v>
      </c>
    </row>
    <row r="328" spans="1:1" x14ac:dyDescent="0.2">
      <c r="A328" s="15">
        <v>20.25</v>
      </c>
    </row>
    <row r="329" spans="1:1" x14ac:dyDescent="0.2">
      <c r="A329" s="15">
        <v>20.5</v>
      </c>
    </row>
    <row r="330" spans="1:1" x14ac:dyDescent="0.2">
      <c r="A330" s="15">
        <v>20.75</v>
      </c>
    </row>
    <row r="331" spans="1:1" x14ac:dyDescent="0.2">
      <c r="A331" s="15">
        <v>21</v>
      </c>
    </row>
    <row r="332" spans="1:1" x14ac:dyDescent="0.2">
      <c r="A332" s="15">
        <v>21.25</v>
      </c>
    </row>
    <row r="333" spans="1:1" x14ac:dyDescent="0.2">
      <c r="A333" s="15">
        <v>21.5</v>
      </c>
    </row>
    <row r="334" spans="1:1" x14ac:dyDescent="0.2">
      <c r="A334" s="15">
        <v>21.75</v>
      </c>
    </row>
    <row r="335" spans="1:1" x14ac:dyDescent="0.2">
      <c r="A335" s="15">
        <v>22</v>
      </c>
    </row>
    <row r="336" spans="1:1" x14ac:dyDescent="0.2">
      <c r="A336" s="15">
        <v>22.25</v>
      </c>
    </row>
    <row r="337" spans="1:1" x14ac:dyDescent="0.2">
      <c r="A337" s="15">
        <v>22.5</v>
      </c>
    </row>
    <row r="338" spans="1:1" x14ac:dyDescent="0.2">
      <c r="A338" s="15">
        <v>22.75</v>
      </c>
    </row>
    <row r="339" spans="1:1" x14ac:dyDescent="0.2">
      <c r="A339" s="15">
        <v>23</v>
      </c>
    </row>
    <row r="340" spans="1:1" x14ac:dyDescent="0.2">
      <c r="A340" s="15">
        <v>23.25</v>
      </c>
    </row>
    <row r="341" spans="1:1" x14ac:dyDescent="0.2">
      <c r="A341" s="15">
        <v>23.5</v>
      </c>
    </row>
    <row r="342" spans="1:1" x14ac:dyDescent="0.2">
      <c r="A342" s="15">
        <v>23.75</v>
      </c>
    </row>
    <row r="343" spans="1:1" x14ac:dyDescent="0.2">
      <c r="A343" s="15">
        <v>24</v>
      </c>
    </row>
    <row r="344" spans="1:1" x14ac:dyDescent="0.2">
      <c r="A344" s="15">
        <v>24.25</v>
      </c>
    </row>
    <row r="345" spans="1:1" x14ac:dyDescent="0.2">
      <c r="A345" s="15">
        <v>24.5</v>
      </c>
    </row>
    <row r="346" spans="1:1" x14ac:dyDescent="0.2">
      <c r="A346" s="15">
        <v>24.75</v>
      </c>
    </row>
    <row r="347" spans="1:1" x14ac:dyDescent="0.2">
      <c r="A347" s="15">
        <v>25</v>
      </c>
    </row>
    <row r="348" spans="1:1" x14ac:dyDescent="0.2">
      <c r="A348" s="15">
        <v>25.25</v>
      </c>
    </row>
    <row r="349" spans="1:1" x14ac:dyDescent="0.2">
      <c r="A349" s="15">
        <v>25.5</v>
      </c>
    </row>
    <row r="350" spans="1:1" x14ac:dyDescent="0.2">
      <c r="A350" s="15">
        <v>25.75</v>
      </c>
    </row>
    <row r="351" spans="1:1" x14ac:dyDescent="0.2">
      <c r="A351" s="15">
        <v>26</v>
      </c>
    </row>
    <row r="352" spans="1:1" x14ac:dyDescent="0.2">
      <c r="A352" s="15">
        <v>26.25</v>
      </c>
    </row>
    <row r="353" spans="1:1" x14ac:dyDescent="0.2">
      <c r="A353" s="15">
        <v>26.5</v>
      </c>
    </row>
    <row r="354" spans="1:1" x14ac:dyDescent="0.2">
      <c r="A354" s="15">
        <v>26.75</v>
      </c>
    </row>
    <row r="355" spans="1:1" x14ac:dyDescent="0.2">
      <c r="A355" s="15">
        <v>27</v>
      </c>
    </row>
    <row r="356" spans="1:1" x14ac:dyDescent="0.2">
      <c r="A356" s="15">
        <v>27.25</v>
      </c>
    </row>
    <row r="357" spans="1:1" x14ac:dyDescent="0.2">
      <c r="A357" s="15">
        <v>27.5</v>
      </c>
    </row>
    <row r="358" spans="1:1" x14ac:dyDescent="0.2">
      <c r="A358" s="15">
        <v>27.75</v>
      </c>
    </row>
    <row r="359" spans="1:1" x14ac:dyDescent="0.2">
      <c r="A359" s="15">
        <v>28</v>
      </c>
    </row>
    <row r="360" spans="1:1" x14ac:dyDescent="0.2">
      <c r="A360" s="15">
        <v>28.25</v>
      </c>
    </row>
    <row r="361" spans="1:1" x14ac:dyDescent="0.2">
      <c r="A361" s="15">
        <v>28.5</v>
      </c>
    </row>
    <row r="362" spans="1:1" x14ac:dyDescent="0.2">
      <c r="A362" s="15">
        <v>28.75</v>
      </c>
    </row>
    <row r="363" spans="1:1" x14ac:dyDescent="0.2">
      <c r="A363" s="15">
        <v>29</v>
      </c>
    </row>
    <row r="364" spans="1:1" x14ac:dyDescent="0.2">
      <c r="A364" s="15">
        <v>29.25</v>
      </c>
    </row>
    <row r="365" spans="1:1" x14ac:dyDescent="0.2">
      <c r="A365" s="15">
        <v>29.5</v>
      </c>
    </row>
    <row r="366" spans="1:1" x14ac:dyDescent="0.2">
      <c r="A366" s="15">
        <v>29.75</v>
      </c>
    </row>
    <row r="367" spans="1:1" x14ac:dyDescent="0.2">
      <c r="A367" s="15">
        <v>30</v>
      </c>
    </row>
    <row r="368" spans="1:1" x14ac:dyDescent="0.2">
      <c r="A368" s="15">
        <v>30.25</v>
      </c>
    </row>
    <row r="369" spans="1:1" x14ac:dyDescent="0.2">
      <c r="A369" s="15">
        <v>30.5</v>
      </c>
    </row>
    <row r="370" spans="1:1" x14ac:dyDescent="0.2">
      <c r="A370" s="15">
        <v>30.75</v>
      </c>
    </row>
    <row r="371" spans="1:1" x14ac:dyDescent="0.2">
      <c r="A371" s="15">
        <v>31</v>
      </c>
    </row>
    <row r="372" spans="1:1" x14ac:dyDescent="0.2">
      <c r="A372" s="15">
        <v>31.25</v>
      </c>
    </row>
    <row r="373" spans="1:1" x14ac:dyDescent="0.2">
      <c r="A373" s="15">
        <v>31.5</v>
      </c>
    </row>
    <row r="374" spans="1:1" x14ac:dyDescent="0.2">
      <c r="A374" s="15">
        <v>31.75</v>
      </c>
    </row>
    <row r="375" spans="1:1" x14ac:dyDescent="0.2">
      <c r="A375" s="15">
        <v>32</v>
      </c>
    </row>
    <row r="376" spans="1:1" x14ac:dyDescent="0.2">
      <c r="A376" s="15">
        <v>32.25</v>
      </c>
    </row>
    <row r="377" spans="1:1" x14ac:dyDescent="0.2">
      <c r="A377" s="15">
        <v>32.5</v>
      </c>
    </row>
    <row r="378" spans="1:1" x14ac:dyDescent="0.2">
      <c r="A378" s="15">
        <v>32.75</v>
      </c>
    </row>
    <row r="379" spans="1:1" x14ac:dyDescent="0.2">
      <c r="A379" s="15">
        <v>33</v>
      </c>
    </row>
    <row r="380" spans="1:1" x14ac:dyDescent="0.2">
      <c r="A380" s="15">
        <v>33.25</v>
      </c>
    </row>
    <row r="381" spans="1:1" x14ac:dyDescent="0.2">
      <c r="A381" s="15">
        <v>33.5</v>
      </c>
    </row>
    <row r="382" spans="1:1" x14ac:dyDescent="0.2">
      <c r="A382" s="15">
        <v>33.75</v>
      </c>
    </row>
    <row r="383" spans="1:1" x14ac:dyDescent="0.2">
      <c r="A383" s="15">
        <v>34</v>
      </c>
    </row>
    <row r="384" spans="1:1" x14ac:dyDescent="0.2">
      <c r="A384" s="15">
        <v>34.25</v>
      </c>
    </row>
    <row r="385" spans="1:1" x14ac:dyDescent="0.2">
      <c r="A385" s="15">
        <v>34.5</v>
      </c>
    </row>
    <row r="386" spans="1:1" x14ac:dyDescent="0.2">
      <c r="A386" s="15">
        <v>34.75</v>
      </c>
    </row>
    <row r="387" spans="1:1" x14ac:dyDescent="0.2">
      <c r="A387" s="15">
        <v>35</v>
      </c>
    </row>
    <row r="388" spans="1:1" x14ac:dyDescent="0.2">
      <c r="A388" s="15">
        <v>35.25</v>
      </c>
    </row>
    <row r="389" spans="1:1" x14ac:dyDescent="0.2">
      <c r="A389" s="15">
        <v>35.5</v>
      </c>
    </row>
    <row r="390" spans="1:1" x14ac:dyDescent="0.2">
      <c r="A390" s="15">
        <v>35.75</v>
      </c>
    </row>
    <row r="391" spans="1:1" x14ac:dyDescent="0.2">
      <c r="A391" s="15">
        <v>36</v>
      </c>
    </row>
    <row r="392" spans="1:1" x14ac:dyDescent="0.2">
      <c r="A392" s="15">
        <v>36.25</v>
      </c>
    </row>
    <row r="393" spans="1:1" x14ac:dyDescent="0.2">
      <c r="A393" s="15">
        <v>36.5</v>
      </c>
    </row>
    <row r="394" spans="1:1" x14ac:dyDescent="0.2">
      <c r="A394" s="15">
        <v>36.75</v>
      </c>
    </row>
    <row r="395" spans="1:1" x14ac:dyDescent="0.2">
      <c r="A395" s="15">
        <v>37</v>
      </c>
    </row>
    <row r="396" spans="1:1" x14ac:dyDescent="0.2">
      <c r="A396" s="15">
        <v>37.25</v>
      </c>
    </row>
    <row r="397" spans="1:1" x14ac:dyDescent="0.2">
      <c r="A397" s="15">
        <v>37.5</v>
      </c>
    </row>
    <row r="398" spans="1:1" x14ac:dyDescent="0.2">
      <c r="A398" s="15">
        <v>37.75</v>
      </c>
    </row>
    <row r="399" spans="1:1" x14ac:dyDescent="0.2">
      <c r="A399" s="15">
        <v>38</v>
      </c>
    </row>
    <row r="400" spans="1:1" x14ac:dyDescent="0.2">
      <c r="A400" s="15">
        <v>38.25</v>
      </c>
    </row>
    <row r="401" spans="1:1" x14ac:dyDescent="0.2">
      <c r="A401" s="15">
        <v>38.5</v>
      </c>
    </row>
    <row r="402" spans="1:1" x14ac:dyDescent="0.2">
      <c r="A402" s="15">
        <v>38.75</v>
      </c>
    </row>
    <row r="403" spans="1:1" x14ac:dyDescent="0.2">
      <c r="A403" s="15">
        <v>39</v>
      </c>
    </row>
    <row r="404" spans="1:1" x14ac:dyDescent="0.2">
      <c r="A404" s="15">
        <v>39.25</v>
      </c>
    </row>
    <row r="405" spans="1:1" x14ac:dyDescent="0.2">
      <c r="A405" s="15">
        <v>39.5</v>
      </c>
    </row>
    <row r="406" spans="1:1" x14ac:dyDescent="0.2">
      <c r="A406" s="15">
        <v>39.75</v>
      </c>
    </row>
    <row r="407" spans="1:1" x14ac:dyDescent="0.2">
      <c r="A407" s="15">
        <v>40</v>
      </c>
    </row>
    <row r="408" spans="1:1" x14ac:dyDescent="0.2">
      <c r="A408" s="15">
        <v>40.25</v>
      </c>
    </row>
    <row r="409" spans="1:1" x14ac:dyDescent="0.2">
      <c r="A409" s="15">
        <v>40.5</v>
      </c>
    </row>
    <row r="410" spans="1:1" x14ac:dyDescent="0.2">
      <c r="A410" s="15">
        <v>40.75</v>
      </c>
    </row>
    <row r="411" spans="1:1" x14ac:dyDescent="0.2">
      <c r="A411" s="15">
        <v>41</v>
      </c>
    </row>
    <row r="412" spans="1:1" x14ac:dyDescent="0.2">
      <c r="A412" s="15">
        <v>41.25</v>
      </c>
    </row>
    <row r="413" spans="1:1" x14ac:dyDescent="0.2">
      <c r="A413" s="15">
        <v>41.5</v>
      </c>
    </row>
    <row r="414" spans="1:1" x14ac:dyDescent="0.2">
      <c r="A414" s="15">
        <v>41.75</v>
      </c>
    </row>
    <row r="415" spans="1:1" x14ac:dyDescent="0.2">
      <c r="A415" s="15">
        <v>42</v>
      </c>
    </row>
    <row r="416" spans="1:1" x14ac:dyDescent="0.2">
      <c r="A416" s="15">
        <v>42.25</v>
      </c>
    </row>
    <row r="417" spans="1:1" x14ac:dyDescent="0.2">
      <c r="A417" s="15">
        <v>42.5</v>
      </c>
    </row>
    <row r="418" spans="1:1" x14ac:dyDescent="0.2">
      <c r="A418" s="15">
        <v>42.75</v>
      </c>
    </row>
    <row r="419" spans="1:1" x14ac:dyDescent="0.2">
      <c r="A419" s="15">
        <v>43</v>
      </c>
    </row>
    <row r="420" spans="1:1" x14ac:dyDescent="0.2">
      <c r="A420" s="15">
        <v>43.25</v>
      </c>
    </row>
    <row r="421" spans="1:1" x14ac:dyDescent="0.2">
      <c r="A421" s="15">
        <v>43.5</v>
      </c>
    </row>
    <row r="422" spans="1:1" x14ac:dyDescent="0.2">
      <c r="A422" s="15">
        <v>43.75</v>
      </c>
    </row>
    <row r="423" spans="1:1" x14ac:dyDescent="0.2">
      <c r="A423" s="15">
        <v>44</v>
      </c>
    </row>
    <row r="424" spans="1:1" x14ac:dyDescent="0.2">
      <c r="A424" s="15">
        <v>44.25</v>
      </c>
    </row>
    <row r="425" spans="1:1" x14ac:dyDescent="0.2">
      <c r="A425" s="15">
        <v>44.5</v>
      </c>
    </row>
    <row r="426" spans="1:1" x14ac:dyDescent="0.2">
      <c r="A426" s="15">
        <v>44.75</v>
      </c>
    </row>
    <row r="427" spans="1:1" x14ac:dyDescent="0.2">
      <c r="A427" s="15">
        <v>45</v>
      </c>
    </row>
    <row r="428" spans="1:1" x14ac:dyDescent="0.2">
      <c r="A428" s="15">
        <v>45.25</v>
      </c>
    </row>
    <row r="429" spans="1:1" x14ac:dyDescent="0.2">
      <c r="A429" s="15">
        <v>45.5</v>
      </c>
    </row>
    <row r="430" spans="1:1" x14ac:dyDescent="0.2">
      <c r="A430" s="15">
        <v>45.75</v>
      </c>
    </row>
    <row r="431" spans="1:1" x14ac:dyDescent="0.2">
      <c r="A431" s="15">
        <v>46</v>
      </c>
    </row>
    <row r="432" spans="1:1" x14ac:dyDescent="0.2">
      <c r="A432" s="15">
        <v>46.25</v>
      </c>
    </row>
    <row r="433" spans="1:1" x14ac:dyDescent="0.2">
      <c r="A433" s="15">
        <v>46.5</v>
      </c>
    </row>
    <row r="434" spans="1:1" x14ac:dyDescent="0.2">
      <c r="A434" s="15">
        <v>46.75</v>
      </c>
    </row>
    <row r="435" spans="1:1" x14ac:dyDescent="0.2">
      <c r="A435" s="15">
        <v>47</v>
      </c>
    </row>
    <row r="436" spans="1:1" x14ac:dyDescent="0.2">
      <c r="A436" s="15">
        <v>47.25</v>
      </c>
    </row>
    <row r="437" spans="1:1" x14ac:dyDescent="0.2">
      <c r="A437" s="15">
        <v>47.5</v>
      </c>
    </row>
    <row r="438" spans="1:1" x14ac:dyDescent="0.2">
      <c r="A438" s="15">
        <v>47.75</v>
      </c>
    </row>
    <row r="439" spans="1:1" x14ac:dyDescent="0.2">
      <c r="A439" s="15">
        <v>48</v>
      </c>
    </row>
    <row r="440" spans="1:1" x14ac:dyDescent="0.2">
      <c r="A440" s="15">
        <v>48.25</v>
      </c>
    </row>
    <row r="441" spans="1:1" x14ac:dyDescent="0.2">
      <c r="A441" s="15">
        <v>48.5</v>
      </c>
    </row>
    <row r="442" spans="1:1" x14ac:dyDescent="0.2">
      <c r="A442" s="15">
        <v>48.75</v>
      </c>
    </row>
    <row r="443" spans="1:1" x14ac:dyDescent="0.2">
      <c r="A443" s="15">
        <v>49</v>
      </c>
    </row>
    <row r="444" spans="1:1" x14ac:dyDescent="0.2">
      <c r="A444" s="15">
        <v>49.25</v>
      </c>
    </row>
    <row r="445" spans="1:1" x14ac:dyDescent="0.2">
      <c r="A445" s="15">
        <v>49.5</v>
      </c>
    </row>
    <row r="446" spans="1:1" x14ac:dyDescent="0.2">
      <c r="A446" s="15">
        <v>49.75</v>
      </c>
    </row>
    <row r="447" spans="1:1" x14ac:dyDescent="0.2">
      <c r="A447" s="15">
        <v>50</v>
      </c>
    </row>
    <row r="448" spans="1:1" x14ac:dyDescent="0.2">
      <c r="A448" s="15">
        <v>50.25</v>
      </c>
    </row>
    <row r="449" spans="1:1" x14ac:dyDescent="0.2">
      <c r="A449" s="15">
        <v>50.5</v>
      </c>
    </row>
    <row r="450" spans="1:1" x14ac:dyDescent="0.2">
      <c r="A450" s="15">
        <v>50.75</v>
      </c>
    </row>
    <row r="451" spans="1:1" x14ac:dyDescent="0.2">
      <c r="A451" s="15">
        <v>51</v>
      </c>
    </row>
    <row r="452" spans="1:1" x14ac:dyDescent="0.2">
      <c r="A452" s="15">
        <v>51.25</v>
      </c>
    </row>
    <row r="453" spans="1:1" x14ac:dyDescent="0.2">
      <c r="A453" s="15">
        <v>51.5</v>
      </c>
    </row>
    <row r="454" spans="1:1" x14ac:dyDescent="0.2">
      <c r="A454" s="15">
        <v>51.75</v>
      </c>
    </row>
    <row r="455" spans="1:1" x14ac:dyDescent="0.2">
      <c r="A455" s="15">
        <v>52</v>
      </c>
    </row>
    <row r="456" spans="1:1" x14ac:dyDescent="0.2">
      <c r="A456" s="15">
        <v>52.25</v>
      </c>
    </row>
    <row r="457" spans="1:1" x14ac:dyDescent="0.2">
      <c r="A457" s="15">
        <v>52.5</v>
      </c>
    </row>
    <row r="458" spans="1:1" x14ac:dyDescent="0.2">
      <c r="A458" s="15">
        <v>52.75</v>
      </c>
    </row>
    <row r="459" spans="1:1" x14ac:dyDescent="0.2">
      <c r="A459" s="15">
        <v>53</v>
      </c>
    </row>
    <row r="460" spans="1:1" x14ac:dyDescent="0.2">
      <c r="A460" s="15">
        <v>53.25</v>
      </c>
    </row>
    <row r="461" spans="1:1" x14ac:dyDescent="0.2">
      <c r="A461" s="15">
        <v>53.5</v>
      </c>
    </row>
    <row r="462" spans="1:1" x14ac:dyDescent="0.2">
      <c r="A462" s="15">
        <v>53.75</v>
      </c>
    </row>
    <row r="463" spans="1:1" x14ac:dyDescent="0.2">
      <c r="A463" s="15">
        <v>54</v>
      </c>
    </row>
    <row r="464" spans="1:1" x14ac:dyDescent="0.2">
      <c r="A464" s="15">
        <v>54.25</v>
      </c>
    </row>
    <row r="465" spans="1:1" x14ac:dyDescent="0.2">
      <c r="A465" s="15">
        <v>54.5</v>
      </c>
    </row>
    <row r="466" spans="1:1" x14ac:dyDescent="0.2">
      <c r="A466" s="15">
        <v>54.75</v>
      </c>
    </row>
    <row r="467" spans="1:1" x14ac:dyDescent="0.2">
      <c r="A467" s="15">
        <v>55</v>
      </c>
    </row>
    <row r="468" spans="1:1" x14ac:dyDescent="0.2">
      <c r="A468" s="15">
        <v>55.25</v>
      </c>
    </row>
    <row r="469" spans="1:1" x14ac:dyDescent="0.2">
      <c r="A469" s="15">
        <v>55.5</v>
      </c>
    </row>
    <row r="470" spans="1:1" x14ac:dyDescent="0.2">
      <c r="A470" s="15">
        <v>55.75</v>
      </c>
    </row>
    <row r="471" spans="1:1" x14ac:dyDescent="0.2">
      <c r="A471" s="15">
        <v>56</v>
      </c>
    </row>
    <row r="472" spans="1:1" x14ac:dyDescent="0.2">
      <c r="A472" s="15">
        <v>56.25</v>
      </c>
    </row>
    <row r="473" spans="1:1" x14ac:dyDescent="0.2">
      <c r="A473" s="15">
        <v>56.5</v>
      </c>
    </row>
    <row r="474" spans="1:1" x14ac:dyDescent="0.2">
      <c r="A474" s="15">
        <v>56.75</v>
      </c>
    </row>
    <row r="475" spans="1:1" x14ac:dyDescent="0.2">
      <c r="A475" s="15">
        <v>57</v>
      </c>
    </row>
    <row r="476" spans="1:1" x14ac:dyDescent="0.2">
      <c r="A476" s="15">
        <v>57.25</v>
      </c>
    </row>
    <row r="477" spans="1:1" x14ac:dyDescent="0.2">
      <c r="A477" s="15">
        <v>57.5</v>
      </c>
    </row>
    <row r="478" spans="1:1" x14ac:dyDescent="0.2">
      <c r="A478" s="15">
        <v>57.75</v>
      </c>
    </row>
    <row r="479" spans="1:1" x14ac:dyDescent="0.2">
      <c r="A479" s="15">
        <v>58</v>
      </c>
    </row>
    <row r="480" spans="1:1" x14ac:dyDescent="0.2">
      <c r="A480" s="15">
        <v>58.25</v>
      </c>
    </row>
    <row r="481" spans="1:1" x14ac:dyDescent="0.2">
      <c r="A481" s="15">
        <v>58.5</v>
      </c>
    </row>
    <row r="482" spans="1:1" x14ac:dyDescent="0.2">
      <c r="A482" s="15">
        <v>58.75</v>
      </c>
    </row>
    <row r="483" spans="1:1" x14ac:dyDescent="0.2">
      <c r="A483" s="15">
        <v>59</v>
      </c>
    </row>
    <row r="484" spans="1:1" x14ac:dyDescent="0.2">
      <c r="A484" s="15">
        <v>59.25</v>
      </c>
    </row>
    <row r="485" spans="1:1" x14ac:dyDescent="0.2">
      <c r="A485" s="15">
        <v>59.5</v>
      </c>
    </row>
    <row r="486" spans="1:1" x14ac:dyDescent="0.2">
      <c r="A486" s="15">
        <v>59.75</v>
      </c>
    </row>
    <row r="487" spans="1:1" x14ac:dyDescent="0.2">
      <c r="A487" s="15">
        <v>60</v>
      </c>
    </row>
    <row r="488" spans="1:1" x14ac:dyDescent="0.2">
      <c r="A488" s="15">
        <v>60.25</v>
      </c>
    </row>
    <row r="489" spans="1:1" x14ac:dyDescent="0.2">
      <c r="A489" s="15">
        <v>60.5</v>
      </c>
    </row>
    <row r="490" spans="1:1" x14ac:dyDescent="0.2">
      <c r="A490" s="15">
        <v>60.75</v>
      </c>
    </row>
    <row r="491" spans="1:1" x14ac:dyDescent="0.2">
      <c r="A491" s="15">
        <v>61</v>
      </c>
    </row>
    <row r="492" spans="1:1" x14ac:dyDescent="0.2">
      <c r="A492" s="15">
        <v>61.25</v>
      </c>
    </row>
    <row r="493" spans="1:1" x14ac:dyDescent="0.2">
      <c r="A493" s="15">
        <v>61.5</v>
      </c>
    </row>
    <row r="494" spans="1:1" x14ac:dyDescent="0.2">
      <c r="A494" s="15">
        <v>61.75</v>
      </c>
    </row>
    <row r="495" spans="1:1" x14ac:dyDescent="0.2">
      <c r="A495" s="15">
        <v>62</v>
      </c>
    </row>
    <row r="496" spans="1:1" x14ac:dyDescent="0.2">
      <c r="A496" s="15">
        <v>62.25</v>
      </c>
    </row>
    <row r="497" spans="1:1" x14ac:dyDescent="0.2">
      <c r="A497" s="15">
        <v>62.5</v>
      </c>
    </row>
    <row r="498" spans="1:1" x14ac:dyDescent="0.2">
      <c r="A498" s="15">
        <v>62.75</v>
      </c>
    </row>
    <row r="499" spans="1:1" x14ac:dyDescent="0.2">
      <c r="A499" s="15">
        <v>63</v>
      </c>
    </row>
    <row r="500" spans="1:1" x14ac:dyDescent="0.2">
      <c r="A500" s="15">
        <v>63.25</v>
      </c>
    </row>
    <row r="501" spans="1:1" x14ac:dyDescent="0.2">
      <c r="A501" s="15">
        <v>63.5</v>
      </c>
    </row>
    <row r="502" spans="1:1" x14ac:dyDescent="0.2">
      <c r="A502" s="15">
        <v>63.75</v>
      </c>
    </row>
    <row r="503" spans="1:1" x14ac:dyDescent="0.2">
      <c r="A503" s="15">
        <v>64</v>
      </c>
    </row>
    <row r="504" spans="1:1" x14ac:dyDescent="0.2">
      <c r="A504" s="15">
        <v>64.25</v>
      </c>
    </row>
    <row r="505" spans="1:1" x14ac:dyDescent="0.2">
      <c r="A505" s="15">
        <v>64.5</v>
      </c>
    </row>
    <row r="506" spans="1:1" x14ac:dyDescent="0.2">
      <c r="A506" s="15">
        <v>64.75</v>
      </c>
    </row>
    <row r="507" spans="1:1" x14ac:dyDescent="0.2">
      <c r="A507" s="15">
        <v>65</v>
      </c>
    </row>
    <row r="508" spans="1:1" x14ac:dyDescent="0.2">
      <c r="A508" s="15">
        <v>65.25</v>
      </c>
    </row>
    <row r="509" spans="1:1" x14ac:dyDescent="0.2">
      <c r="A509" s="15">
        <v>65.5</v>
      </c>
    </row>
    <row r="510" spans="1:1" x14ac:dyDescent="0.2">
      <c r="A510" s="15">
        <v>65.75</v>
      </c>
    </row>
    <row r="511" spans="1:1" x14ac:dyDescent="0.2">
      <c r="A511" s="15">
        <v>66</v>
      </c>
    </row>
    <row r="512" spans="1:1" x14ac:dyDescent="0.2">
      <c r="A512" s="15">
        <v>66.25</v>
      </c>
    </row>
    <row r="513" spans="1:1" x14ac:dyDescent="0.2">
      <c r="A513" s="15">
        <v>66.5</v>
      </c>
    </row>
    <row r="514" spans="1:1" x14ac:dyDescent="0.2">
      <c r="A514" s="15">
        <v>66.75</v>
      </c>
    </row>
    <row r="515" spans="1:1" x14ac:dyDescent="0.2">
      <c r="A515" s="15">
        <v>67</v>
      </c>
    </row>
    <row r="516" spans="1:1" x14ac:dyDescent="0.2">
      <c r="A516" s="15">
        <v>67.25</v>
      </c>
    </row>
    <row r="517" spans="1:1" x14ac:dyDescent="0.2">
      <c r="A517" s="15">
        <v>67.5</v>
      </c>
    </row>
    <row r="518" spans="1:1" x14ac:dyDescent="0.2">
      <c r="A518" s="15">
        <v>67.75</v>
      </c>
    </row>
    <row r="519" spans="1:1" x14ac:dyDescent="0.2">
      <c r="A519" s="15">
        <v>68</v>
      </c>
    </row>
    <row r="520" spans="1:1" x14ac:dyDescent="0.2">
      <c r="A520" s="15">
        <v>68.25</v>
      </c>
    </row>
    <row r="521" spans="1:1" x14ac:dyDescent="0.2">
      <c r="A521" s="15">
        <v>68.5</v>
      </c>
    </row>
    <row r="522" spans="1:1" x14ac:dyDescent="0.2">
      <c r="A522" s="15">
        <v>68.75</v>
      </c>
    </row>
    <row r="523" spans="1:1" x14ac:dyDescent="0.2">
      <c r="A523" s="15">
        <v>69</v>
      </c>
    </row>
    <row r="524" spans="1:1" x14ac:dyDescent="0.2">
      <c r="A524" s="15">
        <v>69.25</v>
      </c>
    </row>
    <row r="525" spans="1:1" x14ac:dyDescent="0.2">
      <c r="A525" s="15">
        <v>69.5</v>
      </c>
    </row>
    <row r="526" spans="1:1" x14ac:dyDescent="0.2">
      <c r="A526" s="15">
        <v>69.75</v>
      </c>
    </row>
    <row r="527" spans="1:1" x14ac:dyDescent="0.2">
      <c r="A527" s="15">
        <v>70</v>
      </c>
    </row>
    <row r="528" spans="1:1" x14ac:dyDescent="0.2">
      <c r="A528" s="15">
        <v>70.25</v>
      </c>
    </row>
    <row r="529" spans="1:1" x14ac:dyDescent="0.2">
      <c r="A529" s="15">
        <v>70.5</v>
      </c>
    </row>
    <row r="530" spans="1:1" x14ac:dyDescent="0.2">
      <c r="A530" s="15">
        <v>70.75</v>
      </c>
    </row>
    <row r="531" spans="1:1" x14ac:dyDescent="0.2">
      <c r="A531" s="15">
        <v>71</v>
      </c>
    </row>
    <row r="532" spans="1:1" x14ac:dyDescent="0.2">
      <c r="A532" s="15">
        <v>71.25</v>
      </c>
    </row>
    <row r="533" spans="1:1" x14ac:dyDescent="0.2">
      <c r="A533" s="15">
        <v>71.5</v>
      </c>
    </row>
    <row r="534" spans="1:1" x14ac:dyDescent="0.2">
      <c r="A534" s="15">
        <v>71.75</v>
      </c>
    </row>
    <row r="535" spans="1:1" x14ac:dyDescent="0.2">
      <c r="A535" s="15">
        <v>72</v>
      </c>
    </row>
    <row r="536" spans="1:1" x14ac:dyDescent="0.2">
      <c r="A536" s="15">
        <v>72.25</v>
      </c>
    </row>
    <row r="537" spans="1:1" x14ac:dyDescent="0.2">
      <c r="A537" s="15">
        <v>72.5</v>
      </c>
    </row>
    <row r="538" spans="1:1" x14ac:dyDescent="0.2">
      <c r="A538" s="15">
        <v>72.75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Willey</dc:creator>
  <cp:lastModifiedBy>BRYCE WILLEY</cp:lastModifiedBy>
  <cp:lastPrinted>2011-11-21T02:03:30Z</cp:lastPrinted>
  <dcterms:created xsi:type="dcterms:W3CDTF">2011-10-11T00:41:20Z</dcterms:created>
  <dcterms:modified xsi:type="dcterms:W3CDTF">2012-12-12T19:11:55Z</dcterms:modified>
</cp:coreProperties>
</file>